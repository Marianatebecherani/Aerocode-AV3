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NIELRODRIGUESDEOLI\Documents\GitHub1\mariana\Aerocode-AV3\"/>
    </mc:Choice>
  </mc:AlternateContent>
  <xr:revisionPtr revIDLastSave="0" documentId="13_ncr:1_{51F13F40-C3CC-4D1B-9763-9B5EB07CD76B}" xr6:coauthVersionLast="47" xr6:coauthVersionMax="47" xr10:uidLastSave="{00000000-0000-0000-0000-000000000000}"/>
  <bookViews>
    <workbookView xWindow="-120" yWindow="-120" windowWidth="29040" windowHeight="15720" tabRatio="795" xr2:uid="{74C0C125-BC2B-4AAD-B801-6EDEC4E6B705}"/>
  </bookViews>
  <sheets>
    <sheet name="resultado-db-usuario-1" sheetId="4" r:id="rId1"/>
    <sheet name="resultado-db-usuario-5" sheetId="5" r:id="rId2"/>
    <sheet name="resultado-db-usuario-10" sheetId="6" r:id="rId3"/>
    <sheet name="Resumo-DB" sheetId="7" r:id="rId4"/>
    <sheet name="Resumo-JMeter" sheetId="1" r:id="rId5"/>
    <sheet name="Resumo" sheetId="9" r:id="rId6"/>
    <sheet name="Tempo" sheetId="11" r:id="rId7"/>
    <sheet name="Grafico-Pecas" sheetId="12" r:id="rId8"/>
    <sheet name="Grafico-Entidades" sheetId="14" r:id="rId9"/>
    <sheet name="Grafico-Media" sheetId="15" r:id="rId10"/>
  </sheets>
  <definedNames>
    <definedName name="DadosExternos_1" localSheetId="0" hidden="1">'resultado-db-usuario-1'!$A$1:$L$101</definedName>
    <definedName name="DadosExternos_1" localSheetId="2" hidden="1">'resultado-db-usuario-10'!$A$1:$L$1001</definedName>
    <definedName name="DadosExternos_1" localSheetId="1" hidden="1">'resultado-db-usuario-5'!$A$1:$L$501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1" l="1"/>
  <c r="E41" i="11"/>
  <c r="E40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5" i="11"/>
  <c r="E14" i="11"/>
  <c r="E13" i="11"/>
  <c r="E12" i="11"/>
  <c r="E11" i="11"/>
  <c r="E10" i="11"/>
  <c r="E9" i="11"/>
  <c r="E8" i="11"/>
  <c r="E7" i="11"/>
  <c r="E6" i="11"/>
  <c r="E5" i="11"/>
  <c r="E4" i="11"/>
  <c r="B42" i="11"/>
  <c r="B41" i="11"/>
  <c r="B40" i="11"/>
  <c r="B6" i="11"/>
  <c r="B9" i="11"/>
  <c r="B36" i="11"/>
  <c r="B33" i="11"/>
  <c r="B12" i="11"/>
  <c r="B30" i="11"/>
  <c r="B27" i="11"/>
  <c r="B24" i="11"/>
  <c r="B21" i="11"/>
  <c r="B15" i="11"/>
  <c r="B5" i="11"/>
  <c r="B8" i="11"/>
  <c r="B35" i="11"/>
  <c r="B32" i="11"/>
  <c r="B11" i="11"/>
  <c r="B29" i="11"/>
  <c r="B26" i="11"/>
  <c r="B23" i="11"/>
  <c r="B20" i="11"/>
  <c r="B14" i="11"/>
  <c r="B13" i="11"/>
  <c r="B19" i="11"/>
  <c r="B22" i="11"/>
  <c r="B25" i="11"/>
  <c r="B28" i="11"/>
  <c r="B10" i="11"/>
  <c r="B31" i="11"/>
  <c r="B34" i="11"/>
  <c r="B7" i="11"/>
  <c r="B4" i="11"/>
  <c r="BQ16" i="9"/>
  <c r="BP16" i="9"/>
  <c r="BO16" i="9"/>
  <c r="BQ15" i="9"/>
  <c r="BP15" i="9"/>
  <c r="BO15" i="9"/>
  <c r="BQ14" i="9"/>
  <c r="BP14" i="9"/>
  <c r="BO14" i="9"/>
  <c r="BQ13" i="9"/>
  <c r="BP13" i="9"/>
  <c r="BO13" i="9"/>
  <c r="BQ12" i="9"/>
  <c r="BP12" i="9"/>
  <c r="BO12" i="9"/>
  <c r="BQ11" i="9"/>
  <c r="BP11" i="9"/>
  <c r="BO11" i="9"/>
  <c r="BQ10" i="9"/>
  <c r="BP10" i="9"/>
  <c r="BO10" i="9"/>
  <c r="BQ9" i="9"/>
  <c r="BP9" i="9"/>
  <c r="BO9" i="9"/>
  <c r="BQ8" i="9"/>
  <c r="BP8" i="9"/>
  <c r="BO8" i="9"/>
  <c r="BQ7" i="9"/>
  <c r="BP7" i="9"/>
  <c r="BO7" i="9"/>
  <c r="BQ6" i="9"/>
  <c r="BP6" i="9"/>
  <c r="BO6" i="9"/>
  <c r="BK16" i="9"/>
  <c r="BJ16" i="9"/>
  <c r="BI16" i="9"/>
  <c r="BK15" i="9"/>
  <c r="BJ15" i="9"/>
  <c r="BI15" i="9"/>
  <c r="BK14" i="9"/>
  <c r="BJ14" i="9"/>
  <c r="BI14" i="9"/>
  <c r="BK13" i="9"/>
  <c r="BJ13" i="9"/>
  <c r="BI13" i="9"/>
  <c r="BK12" i="9"/>
  <c r="BJ12" i="9"/>
  <c r="BI12" i="9"/>
  <c r="BK11" i="9"/>
  <c r="BJ11" i="9"/>
  <c r="BI11" i="9"/>
  <c r="BK10" i="9"/>
  <c r="BJ10" i="9"/>
  <c r="BI10" i="9"/>
  <c r="BK9" i="9"/>
  <c r="BJ9" i="9"/>
  <c r="BI9" i="9"/>
  <c r="BK8" i="9"/>
  <c r="BJ8" i="9"/>
  <c r="BI8" i="9"/>
  <c r="BK7" i="9"/>
  <c r="BJ7" i="9"/>
  <c r="BI7" i="9"/>
  <c r="BK6" i="9"/>
  <c r="BJ6" i="9"/>
  <c r="BI6" i="9"/>
  <c r="BN16" i="9"/>
  <c r="BN15" i="9"/>
  <c r="BN14" i="9"/>
  <c r="BN13" i="9"/>
  <c r="BN12" i="9"/>
  <c r="BN11" i="9"/>
  <c r="BN10" i="9"/>
  <c r="BN9" i="9"/>
  <c r="BN8" i="9"/>
  <c r="BN7" i="9"/>
  <c r="BM16" i="9"/>
  <c r="BM15" i="9"/>
  <c r="BM14" i="9"/>
  <c r="BM13" i="9"/>
  <c r="BM12" i="9"/>
  <c r="BM11" i="9"/>
  <c r="BM10" i="9"/>
  <c r="BM9" i="9"/>
  <c r="BM8" i="9"/>
  <c r="BM7" i="9"/>
  <c r="BN6" i="9"/>
  <c r="BM6" i="9"/>
  <c r="BL6" i="9"/>
  <c r="BL16" i="9"/>
  <c r="BL15" i="9"/>
  <c r="BL14" i="9"/>
  <c r="BL13" i="9"/>
  <c r="BL12" i="9"/>
  <c r="BL11" i="9"/>
  <c r="BL10" i="9"/>
  <c r="BL9" i="9"/>
  <c r="BL8" i="9"/>
  <c r="BL7" i="9"/>
  <c r="AS16" i="9"/>
  <c r="AR16" i="9"/>
  <c r="AQ16" i="9"/>
  <c r="AS15" i="9"/>
  <c r="AR15" i="9"/>
  <c r="AQ15" i="9"/>
  <c r="AS14" i="9"/>
  <c r="AR14" i="9"/>
  <c r="AQ14" i="9"/>
  <c r="AS13" i="9"/>
  <c r="AR13" i="9"/>
  <c r="AQ13" i="9"/>
  <c r="AS12" i="9"/>
  <c r="AR12" i="9"/>
  <c r="AQ12" i="9"/>
  <c r="AS11" i="9"/>
  <c r="AR11" i="9"/>
  <c r="AQ11" i="9"/>
  <c r="AS10" i="9"/>
  <c r="AR10" i="9"/>
  <c r="AQ10" i="9"/>
  <c r="AS9" i="9"/>
  <c r="AR9" i="9"/>
  <c r="AQ9" i="9"/>
  <c r="AS8" i="9"/>
  <c r="AR8" i="9"/>
  <c r="AQ8" i="9"/>
  <c r="AS7" i="9"/>
  <c r="AR7" i="9"/>
  <c r="AQ7" i="9"/>
  <c r="AS6" i="9"/>
  <c r="AR6" i="9"/>
  <c r="AQ6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M6" i="9"/>
  <c r="AL6" i="9"/>
  <c r="AK6" i="9"/>
  <c r="AP6" i="9"/>
  <c r="AP16" i="9"/>
  <c r="AP15" i="9"/>
  <c r="AP14" i="9"/>
  <c r="AP13" i="9"/>
  <c r="AP12" i="9"/>
  <c r="AP11" i="9"/>
  <c r="AP10" i="9"/>
  <c r="AP9" i="9"/>
  <c r="AP8" i="9"/>
  <c r="AP7" i="9"/>
  <c r="AO6" i="9"/>
  <c r="AO16" i="9"/>
  <c r="AO15" i="9"/>
  <c r="AO14" i="9"/>
  <c r="AO13" i="9"/>
  <c r="AO12" i="9"/>
  <c r="AO11" i="9"/>
  <c r="AO10" i="9"/>
  <c r="AO9" i="9"/>
  <c r="AO8" i="9"/>
  <c r="AO7" i="9"/>
  <c r="AN6" i="9"/>
  <c r="AN16" i="9"/>
  <c r="AN15" i="9"/>
  <c r="AN14" i="9"/>
  <c r="AN13" i="9"/>
  <c r="AN12" i="9"/>
  <c r="AN11" i="9"/>
  <c r="AN10" i="9"/>
  <c r="AN9" i="9"/>
  <c r="AN8" i="9"/>
  <c r="AN7" i="9"/>
  <c r="R6" i="9"/>
  <c r="R16" i="9"/>
  <c r="R15" i="9"/>
  <c r="R14" i="9"/>
  <c r="R13" i="9"/>
  <c r="R12" i="9"/>
  <c r="R11" i="9"/>
  <c r="R10" i="9"/>
  <c r="R9" i="9"/>
  <c r="R8" i="9"/>
  <c r="R7" i="9"/>
  <c r="Q6" i="9"/>
  <c r="Q16" i="9"/>
  <c r="Q15" i="9"/>
  <c r="Q14" i="9"/>
  <c r="Q13" i="9"/>
  <c r="Q12" i="9"/>
  <c r="Q11" i="9"/>
  <c r="Q10" i="9"/>
  <c r="Q9" i="9"/>
  <c r="Q8" i="9"/>
  <c r="Q7" i="9"/>
  <c r="P6" i="9"/>
  <c r="P16" i="9"/>
  <c r="P15" i="9"/>
  <c r="P14" i="9"/>
  <c r="P13" i="9"/>
  <c r="P12" i="9"/>
  <c r="P11" i="9"/>
  <c r="P10" i="9"/>
  <c r="P9" i="9"/>
  <c r="P8" i="9"/>
  <c r="P7" i="9"/>
  <c r="B102" i="6"/>
  <c r="B202" i="6"/>
  <c r="B302" i="6"/>
  <c r="B402" i="6"/>
  <c r="B602" i="6"/>
  <c r="B702" i="6"/>
  <c r="B902" i="6"/>
  <c r="B802" i="6"/>
  <c r="B502" i="6"/>
  <c r="B2" i="6"/>
  <c r="B103" i="6"/>
  <c r="B203" i="6"/>
  <c r="B104" i="6"/>
  <c r="B303" i="6"/>
  <c r="B204" i="6"/>
  <c r="B403" i="6"/>
  <c r="B304" i="6"/>
  <c r="B603" i="6"/>
  <c r="B404" i="6"/>
  <c r="B703" i="6"/>
  <c r="B604" i="6"/>
  <c r="B704" i="6"/>
  <c r="B903" i="6"/>
  <c r="B904" i="6"/>
  <c r="B803" i="6"/>
  <c r="B503" i="6"/>
  <c r="B804" i="6"/>
  <c r="B504" i="6"/>
  <c r="B3" i="6"/>
  <c r="B4" i="6"/>
  <c r="B105" i="6"/>
  <c r="B106" i="6"/>
  <c r="B205" i="6"/>
  <c r="B206" i="6"/>
  <c r="B305" i="6"/>
  <c r="B306" i="6"/>
  <c r="B405" i="6"/>
  <c r="B406" i="6"/>
  <c r="B605" i="6"/>
  <c r="B705" i="6"/>
  <c r="B606" i="6"/>
  <c r="B107" i="6"/>
  <c r="B706" i="6"/>
  <c r="B207" i="6"/>
  <c r="B905" i="6"/>
  <c r="B307" i="6"/>
  <c r="B906" i="6"/>
  <c r="B407" i="6"/>
  <c r="B805" i="6"/>
  <c r="B607" i="6"/>
  <c r="B505" i="6"/>
  <c r="B806" i="6"/>
  <c r="B707" i="6"/>
  <c r="B5" i="6"/>
  <c r="B506" i="6"/>
  <c r="B108" i="6"/>
  <c r="B6" i="6"/>
  <c r="B907" i="6"/>
  <c r="B208" i="6"/>
  <c r="B109" i="6"/>
  <c r="B308" i="6"/>
  <c r="B807" i="6"/>
  <c r="B209" i="6"/>
  <c r="B408" i="6"/>
  <c r="B507" i="6"/>
  <c r="B309" i="6"/>
  <c r="B608" i="6"/>
  <c r="B7" i="6"/>
  <c r="B409" i="6"/>
  <c r="B708" i="6"/>
  <c r="B110" i="6"/>
  <c r="B609" i="6"/>
  <c r="B111" i="6"/>
  <c r="B210" i="6"/>
  <c r="B709" i="6"/>
  <c r="B908" i="6"/>
  <c r="B310" i="6"/>
  <c r="B211" i="6"/>
  <c r="B410" i="6"/>
  <c r="B311" i="6"/>
  <c r="B909" i="6"/>
  <c r="B808" i="6"/>
  <c r="B411" i="6"/>
  <c r="B610" i="6"/>
  <c r="B508" i="6"/>
  <c r="B611" i="6"/>
  <c r="B710" i="6"/>
  <c r="B809" i="6"/>
  <c r="B711" i="6"/>
  <c r="B8" i="6"/>
  <c r="B509" i="6"/>
  <c r="B910" i="6"/>
  <c r="B112" i="6"/>
  <c r="B9" i="6"/>
  <c r="B911" i="6"/>
  <c r="B212" i="6"/>
  <c r="B810" i="6"/>
  <c r="B113" i="6"/>
  <c r="B811" i="6"/>
  <c r="B312" i="6"/>
  <c r="B510" i="6"/>
  <c r="B511" i="6"/>
  <c r="B213" i="6"/>
  <c r="B114" i="6"/>
  <c r="B412" i="6"/>
  <c r="B10" i="6"/>
  <c r="B313" i="6"/>
  <c r="B11" i="6"/>
  <c r="B612" i="6"/>
  <c r="B214" i="6"/>
  <c r="B413" i="6"/>
  <c r="B115" i="6"/>
  <c r="B712" i="6"/>
  <c r="B116" i="6"/>
  <c r="B314" i="6"/>
  <c r="B613" i="6"/>
  <c r="B215" i="6"/>
  <c r="B414" i="6"/>
  <c r="B216" i="6"/>
  <c r="B713" i="6"/>
  <c r="B315" i="6"/>
  <c r="B614" i="6"/>
  <c r="B316" i="6"/>
  <c r="B912" i="6"/>
  <c r="B415" i="6"/>
  <c r="B714" i="6"/>
  <c r="B416" i="6"/>
  <c r="B615" i="6"/>
  <c r="B913" i="6"/>
  <c r="B812" i="6"/>
  <c r="B616" i="6"/>
  <c r="B715" i="6"/>
  <c r="B512" i="6"/>
  <c r="B716" i="6"/>
  <c r="B914" i="6"/>
  <c r="B813" i="6"/>
  <c r="B117" i="6"/>
  <c r="B12" i="6"/>
  <c r="B513" i="6"/>
  <c r="B915" i="6"/>
  <c r="B217" i="6"/>
  <c r="B916" i="6"/>
  <c r="B814" i="6"/>
  <c r="B13" i="6"/>
  <c r="B118" i="6"/>
  <c r="B317" i="6"/>
  <c r="B815" i="6"/>
  <c r="B514" i="6"/>
  <c r="B816" i="6"/>
  <c r="B218" i="6"/>
  <c r="B119" i="6"/>
  <c r="B515" i="6"/>
  <c r="B417" i="6"/>
  <c r="B14" i="6"/>
  <c r="B516" i="6"/>
  <c r="B318" i="6"/>
  <c r="B15" i="6"/>
  <c r="B219" i="6"/>
  <c r="B617" i="6"/>
  <c r="B16" i="6"/>
  <c r="B120" i="6"/>
  <c r="B418" i="6"/>
  <c r="B319" i="6"/>
  <c r="B717" i="6"/>
  <c r="B121" i="6"/>
  <c r="B220" i="6"/>
  <c r="B618" i="6"/>
  <c r="B419" i="6"/>
  <c r="B122" i="6"/>
  <c r="B123" i="6"/>
  <c r="B221" i="6"/>
  <c r="B718" i="6"/>
  <c r="B320" i="6"/>
  <c r="B619" i="6"/>
  <c r="B222" i="6"/>
  <c r="B223" i="6"/>
  <c r="B917" i="6"/>
  <c r="B321" i="6"/>
  <c r="B420" i="6"/>
  <c r="B719" i="6"/>
  <c r="B322" i="6"/>
  <c r="B323" i="6"/>
  <c r="B421" i="6"/>
  <c r="B620" i="6"/>
  <c r="B918" i="6"/>
  <c r="B817" i="6"/>
  <c r="B422" i="6"/>
  <c r="B423" i="6"/>
  <c r="B621" i="6"/>
  <c r="B720" i="6"/>
  <c r="B517" i="6"/>
  <c r="B622" i="6"/>
  <c r="B623" i="6"/>
  <c r="B919" i="6"/>
  <c r="B721" i="6"/>
  <c r="B818" i="6"/>
  <c r="B722" i="6"/>
  <c r="B17" i="6"/>
  <c r="B723" i="6"/>
  <c r="B124" i="6"/>
  <c r="B518" i="6"/>
  <c r="B920" i="6"/>
  <c r="B819" i="6"/>
  <c r="B921" i="6"/>
  <c r="B224" i="6"/>
  <c r="B125" i="6"/>
  <c r="B18" i="6"/>
  <c r="B519" i="6"/>
  <c r="B922" i="6"/>
  <c r="B923" i="6"/>
  <c r="B820" i="6"/>
  <c r="B324" i="6"/>
  <c r="B821" i="6"/>
  <c r="B225" i="6"/>
  <c r="B19" i="6"/>
  <c r="B822" i="6"/>
  <c r="B520" i="6"/>
  <c r="B424" i="6"/>
  <c r="B126" i="6"/>
  <c r="B521" i="6"/>
  <c r="B823" i="6"/>
  <c r="B325" i="6"/>
  <c r="B522" i="6"/>
  <c r="B20" i="6"/>
  <c r="B624" i="6"/>
  <c r="B127" i="6"/>
  <c r="B226" i="6"/>
  <c r="B21" i="6"/>
  <c r="B523" i="6"/>
  <c r="B425" i="6"/>
  <c r="B22" i="6"/>
  <c r="B724" i="6"/>
  <c r="B227" i="6"/>
  <c r="B326" i="6"/>
  <c r="B128" i="6"/>
  <c r="B625" i="6"/>
  <c r="B23" i="6"/>
  <c r="B129" i="6"/>
  <c r="B130" i="6"/>
  <c r="B131" i="6"/>
  <c r="B327" i="6"/>
  <c r="B426" i="6"/>
  <c r="B725" i="6"/>
  <c r="B228" i="6"/>
  <c r="B229" i="6"/>
  <c r="B230" i="6"/>
  <c r="B231" i="6"/>
  <c r="B924" i="6"/>
  <c r="B427" i="6"/>
  <c r="B626" i="6"/>
  <c r="B132" i="6"/>
  <c r="B328" i="6"/>
  <c r="B329" i="6"/>
  <c r="B330" i="6"/>
  <c r="B331" i="6"/>
  <c r="B726" i="6"/>
  <c r="B627" i="6"/>
  <c r="B232" i="6"/>
  <c r="B925" i="6"/>
  <c r="B428" i="6"/>
  <c r="B824" i="6"/>
  <c r="B429" i="6"/>
  <c r="B430" i="6"/>
  <c r="B431" i="6"/>
  <c r="B727" i="6"/>
  <c r="B133" i="6"/>
  <c r="B332" i="6"/>
  <c r="B628" i="6"/>
  <c r="B524" i="6"/>
  <c r="B629" i="6"/>
  <c r="B630" i="6"/>
  <c r="B631" i="6"/>
  <c r="B825" i="6"/>
  <c r="B926" i="6"/>
  <c r="B432" i="6"/>
  <c r="B233" i="6"/>
  <c r="B728" i="6"/>
  <c r="B24" i="6"/>
  <c r="B729" i="6"/>
  <c r="B730" i="6"/>
  <c r="B731" i="6"/>
  <c r="B525" i="6"/>
  <c r="B927" i="6"/>
  <c r="B632" i="6"/>
  <c r="B333" i="6"/>
  <c r="B826" i="6"/>
  <c r="B134" i="6"/>
  <c r="B25" i="6"/>
  <c r="B732" i="6"/>
  <c r="B433" i="6"/>
  <c r="B928" i="6"/>
  <c r="B526" i="6"/>
  <c r="B827" i="6"/>
  <c r="B929" i="6"/>
  <c r="B930" i="6"/>
  <c r="B931" i="6"/>
  <c r="B234" i="6"/>
  <c r="B633" i="6"/>
  <c r="B135" i="6"/>
  <c r="B527" i="6"/>
  <c r="B26" i="6"/>
  <c r="B828" i="6"/>
  <c r="B829" i="6"/>
  <c r="B830" i="6"/>
  <c r="B831" i="6"/>
  <c r="B334" i="6"/>
  <c r="B733" i="6"/>
  <c r="B932" i="6"/>
  <c r="B235" i="6"/>
  <c r="B528" i="6"/>
  <c r="B27" i="6"/>
  <c r="B529" i="6"/>
  <c r="B530" i="6"/>
  <c r="B531" i="6"/>
  <c r="B434" i="6"/>
  <c r="B136" i="6"/>
  <c r="B335" i="6"/>
  <c r="B28" i="6"/>
  <c r="B29" i="6"/>
  <c r="B30" i="6"/>
  <c r="B31" i="6"/>
  <c r="B634" i="6"/>
  <c r="B832" i="6"/>
  <c r="B236" i="6"/>
  <c r="B137" i="6"/>
  <c r="B933" i="6"/>
  <c r="B435" i="6"/>
  <c r="B734" i="6"/>
  <c r="B532" i="6"/>
  <c r="B138" i="6"/>
  <c r="B336" i="6"/>
  <c r="B237" i="6"/>
  <c r="B139" i="6"/>
  <c r="B140" i="6"/>
  <c r="B635" i="6"/>
  <c r="B141" i="6"/>
  <c r="B833" i="6"/>
  <c r="B238" i="6"/>
  <c r="B436" i="6"/>
  <c r="B337" i="6"/>
  <c r="B32" i="6"/>
  <c r="B735" i="6"/>
  <c r="B239" i="6"/>
  <c r="B240" i="6"/>
  <c r="B533" i="6"/>
  <c r="B241" i="6"/>
  <c r="B934" i="6"/>
  <c r="B338" i="6"/>
  <c r="B636" i="6"/>
  <c r="B437" i="6"/>
  <c r="B339" i="6"/>
  <c r="B340" i="6"/>
  <c r="B341" i="6"/>
  <c r="B33" i="6"/>
  <c r="B142" i="6"/>
  <c r="B438" i="6"/>
  <c r="B736" i="6"/>
  <c r="B637" i="6"/>
  <c r="B935" i="6"/>
  <c r="B439" i="6"/>
  <c r="B440" i="6"/>
  <c r="B441" i="6"/>
  <c r="B834" i="6"/>
  <c r="B242" i="6"/>
  <c r="B638" i="6"/>
  <c r="B143" i="6"/>
  <c r="B737" i="6"/>
  <c r="B639" i="6"/>
  <c r="B640" i="6"/>
  <c r="B641" i="6"/>
  <c r="B534" i="6"/>
  <c r="B342" i="6"/>
  <c r="B835" i="6"/>
  <c r="B738" i="6"/>
  <c r="B243" i="6"/>
  <c r="B739" i="6"/>
  <c r="B740" i="6"/>
  <c r="B936" i="6"/>
  <c r="B741" i="6"/>
  <c r="B34" i="6"/>
  <c r="B442" i="6"/>
  <c r="B535" i="6"/>
  <c r="B343" i="6"/>
  <c r="B937" i="6"/>
  <c r="B642" i="6"/>
  <c r="B144" i="6"/>
  <c r="B836" i="6"/>
  <c r="B443" i="6"/>
  <c r="B35" i="6"/>
  <c r="B938" i="6"/>
  <c r="B939" i="6"/>
  <c r="B940" i="6"/>
  <c r="B941" i="6"/>
  <c r="B837" i="6"/>
  <c r="B742" i="6"/>
  <c r="B536" i="6"/>
  <c r="B643" i="6"/>
  <c r="B244" i="6"/>
  <c r="B838" i="6"/>
  <c r="B839" i="6"/>
  <c r="B840" i="6"/>
  <c r="B145" i="6"/>
  <c r="B537" i="6"/>
  <c r="B841" i="6"/>
  <c r="B743" i="6"/>
  <c r="B36" i="6"/>
  <c r="B344" i="6"/>
  <c r="B538" i="6"/>
  <c r="B539" i="6"/>
  <c r="B540" i="6"/>
  <c r="B245" i="6"/>
  <c r="B37" i="6"/>
  <c r="B541" i="6"/>
  <c r="B444" i="6"/>
  <c r="B942" i="6"/>
  <c r="B38" i="6"/>
  <c r="B39" i="6"/>
  <c r="B40" i="6"/>
  <c r="B146" i="6"/>
  <c r="B345" i="6"/>
  <c r="B41" i="6"/>
  <c r="B943" i="6"/>
  <c r="B644" i="6"/>
  <c r="B147" i="6"/>
  <c r="B246" i="6"/>
  <c r="B148" i="6"/>
  <c r="B445" i="6"/>
  <c r="B842" i="6"/>
  <c r="B149" i="6"/>
  <c r="B150" i="6"/>
  <c r="B744" i="6"/>
  <c r="B151" i="6"/>
  <c r="B247" i="6"/>
  <c r="B346" i="6"/>
  <c r="B843" i="6"/>
  <c r="B645" i="6"/>
  <c r="B248" i="6"/>
  <c r="B542" i="6"/>
  <c r="B249" i="6"/>
  <c r="B250" i="6"/>
  <c r="B347" i="6"/>
  <c r="B251" i="6"/>
  <c r="B446" i="6"/>
  <c r="B543" i="6"/>
  <c r="B745" i="6"/>
  <c r="B348" i="6"/>
  <c r="B349" i="6"/>
  <c r="B350" i="6"/>
  <c r="B42" i="6"/>
  <c r="B944" i="6"/>
  <c r="B447" i="6"/>
  <c r="B351" i="6"/>
  <c r="B646" i="6"/>
  <c r="B448" i="6"/>
  <c r="B43" i="6"/>
  <c r="B449" i="6"/>
  <c r="B450" i="6"/>
  <c r="B152" i="6"/>
  <c r="B647" i="6"/>
  <c r="B451" i="6"/>
  <c r="B746" i="6"/>
  <c r="B648" i="6"/>
  <c r="B649" i="6"/>
  <c r="B844" i="6"/>
  <c r="B945" i="6"/>
  <c r="B650" i="6"/>
  <c r="B153" i="6"/>
  <c r="B747" i="6"/>
  <c r="B252" i="6"/>
  <c r="B651" i="6"/>
  <c r="B748" i="6"/>
  <c r="B749" i="6"/>
  <c r="B544" i="6"/>
  <c r="B750" i="6"/>
  <c r="B253" i="6"/>
  <c r="B352" i="6"/>
  <c r="B751" i="6"/>
  <c r="B845" i="6"/>
  <c r="B946" i="6"/>
  <c r="B44" i="6"/>
  <c r="B353" i="6"/>
  <c r="B452" i="6"/>
  <c r="B947" i="6"/>
  <c r="B545" i="6"/>
  <c r="B948" i="6"/>
  <c r="B949" i="6"/>
  <c r="B950" i="6"/>
  <c r="B453" i="6"/>
  <c r="B652" i="6"/>
  <c r="B846" i="6"/>
  <c r="B154" i="6"/>
  <c r="B951" i="6"/>
  <c r="B45" i="6"/>
  <c r="B847" i="6"/>
  <c r="B848" i="6"/>
  <c r="B849" i="6"/>
  <c r="B653" i="6"/>
  <c r="B850" i="6"/>
  <c r="B752" i="6"/>
  <c r="B546" i="6"/>
  <c r="B254" i="6"/>
  <c r="B547" i="6"/>
  <c r="B548" i="6"/>
  <c r="B549" i="6"/>
  <c r="B851" i="6"/>
  <c r="B155" i="6"/>
  <c r="B753" i="6"/>
  <c r="B550" i="6"/>
  <c r="B354" i="6"/>
  <c r="B46" i="6"/>
  <c r="B47" i="6"/>
  <c r="B48" i="6"/>
  <c r="B49" i="6"/>
  <c r="B551" i="6"/>
  <c r="B255" i="6"/>
  <c r="B50" i="6"/>
  <c r="B454" i="6"/>
  <c r="B952" i="6"/>
  <c r="B355" i="6"/>
  <c r="B953" i="6"/>
  <c r="B654" i="6"/>
  <c r="B51" i="6"/>
  <c r="B156" i="6"/>
  <c r="B157" i="6"/>
  <c r="B158" i="6"/>
  <c r="B159" i="6"/>
  <c r="B160" i="6"/>
  <c r="B852" i="6"/>
  <c r="B455" i="6"/>
  <c r="B754" i="6"/>
  <c r="B256" i="6"/>
  <c r="B257" i="6"/>
  <c r="B258" i="6"/>
  <c r="B259" i="6"/>
  <c r="B552" i="6"/>
  <c r="B853" i="6"/>
  <c r="B260" i="6"/>
  <c r="B161" i="6"/>
  <c r="B655" i="6"/>
  <c r="B356" i="6"/>
  <c r="B357" i="6"/>
  <c r="B358" i="6"/>
  <c r="B359" i="6"/>
  <c r="B553" i="6"/>
  <c r="B52" i="6"/>
  <c r="B360" i="6"/>
  <c r="B755" i="6"/>
  <c r="B261" i="6"/>
  <c r="B954" i="6"/>
  <c r="B456" i="6"/>
  <c r="B457" i="6"/>
  <c r="B458" i="6"/>
  <c r="B459" i="6"/>
  <c r="B460" i="6"/>
  <c r="B53" i="6"/>
  <c r="B361" i="6"/>
  <c r="B162" i="6"/>
  <c r="B656" i="6"/>
  <c r="B657" i="6"/>
  <c r="B658" i="6"/>
  <c r="B659" i="6"/>
  <c r="B660" i="6"/>
  <c r="B854" i="6"/>
  <c r="B461" i="6"/>
  <c r="B955" i="6"/>
  <c r="B262" i="6"/>
  <c r="B756" i="6"/>
  <c r="B163" i="6"/>
  <c r="B757" i="6"/>
  <c r="B758" i="6"/>
  <c r="B759" i="6"/>
  <c r="B760" i="6"/>
  <c r="B554" i="6"/>
  <c r="B661" i="6"/>
  <c r="B362" i="6"/>
  <c r="B263" i="6"/>
  <c r="B855" i="6"/>
  <c r="B761" i="6"/>
  <c r="B54" i="6"/>
  <c r="B462" i="6"/>
  <c r="B956" i="6"/>
  <c r="B957" i="6"/>
  <c r="B363" i="6"/>
  <c r="B958" i="6"/>
  <c r="B959" i="6"/>
  <c r="B960" i="6"/>
  <c r="B555" i="6"/>
  <c r="B662" i="6"/>
  <c r="B164" i="6"/>
  <c r="B856" i="6"/>
  <c r="B463" i="6"/>
  <c r="B857" i="6"/>
  <c r="B858" i="6"/>
  <c r="B859" i="6"/>
  <c r="B55" i="6"/>
  <c r="B961" i="6"/>
  <c r="B860" i="6"/>
  <c r="B762" i="6"/>
  <c r="B556" i="6"/>
  <c r="B264" i="6"/>
  <c r="B663" i="6"/>
  <c r="B557" i="6"/>
  <c r="B558" i="6"/>
  <c r="B559" i="6"/>
  <c r="B560" i="6"/>
  <c r="B165" i="6"/>
  <c r="B56" i="6"/>
  <c r="B364" i="6"/>
  <c r="B861" i="6"/>
  <c r="B763" i="6"/>
  <c r="B57" i="6"/>
  <c r="B58" i="6"/>
  <c r="B59" i="6"/>
  <c r="B60" i="6"/>
  <c r="B265" i="6"/>
  <c r="B464" i="6"/>
  <c r="B962" i="6"/>
  <c r="B561" i="6"/>
  <c r="B166" i="6"/>
  <c r="B167" i="6"/>
  <c r="B168" i="6"/>
  <c r="B169" i="6"/>
  <c r="B365" i="6"/>
  <c r="B664" i="6"/>
  <c r="B963" i="6"/>
  <c r="B61" i="6"/>
  <c r="B266" i="6"/>
  <c r="B862" i="6"/>
  <c r="B267" i="6"/>
  <c r="B465" i="6"/>
  <c r="B764" i="6"/>
  <c r="B268" i="6"/>
  <c r="B269" i="6"/>
  <c r="B366" i="6"/>
  <c r="B562" i="6"/>
  <c r="B170" i="6"/>
  <c r="B863" i="6"/>
  <c r="B367" i="6"/>
  <c r="B665" i="6"/>
  <c r="B368" i="6"/>
  <c r="B369" i="6"/>
  <c r="B466" i="6"/>
  <c r="B563" i="6"/>
  <c r="B467" i="6"/>
  <c r="B62" i="6"/>
  <c r="B270" i="6"/>
  <c r="B765" i="6"/>
  <c r="B468" i="6"/>
  <c r="B469" i="6"/>
  <c r="B964" i="6"/>
  <c r="B666" i="6"/>
  <c r="B667" i="6"/>
  <c r="B370" i="6"/>
  <c r="B63" i="6"/>
  <c r="B668" i="6"/>
  <c r="B669" i="6"/>
  <c r="B171" i="6"/>
  <c r="B766" i="6"/>
  <c r="B767" i="6"/>
  <c r="B864" i="6"/>
  <c r="B470" i="6"/>
  <c r="B768" i="6"/>
  <c r="B769" i="6"/>
  <c r="B965" i="6"/>
  <c r="B271" i="6"/>
  <c r="B172" i="6"/>
  <c r="B564" i="6"/>
  <c r="B670" i="6"/>
  <c r="B371" i="6"/>
  <c r="B272" i="6"/>
  <c r="B770" i="6"/>
  <c r="B966" i="6"/>
  <c r="B967" i="6"/>
  <c r="B968" i="6"/>
  <c r="B865" i="6"/>
  <c r="B64" i="6"/>
  <c r="B969" i="6"/>
  <c r="B471" i="6"/>
  <c r="B372" i="6"/>
  <c r="B866" i="6"/>
  <c r="B867" i="6"/>
  <c r="B565" i="6"/>
  <c r="B868" i="6"/>
  <c r="B671" i="6"/>
  <c r="B869" i="6"/>
  <c r="B173" i="6"/>
  <c r="B472" i="6"/>
  <c r="B566" i="6"/>
  <c r="B970" i="6"/>
  <c r="B567" i="6"/>
  <c r="B65" i="6"/>
  <c r="B568" i="6"/>
  <c r="B771" i="6"/>
  <c r="B569" i="6"/>
  <c r="B672" i="6"/>
  <c r="B273" i="6"/>
  <c r="B66" i="6"/>
  <c r="B67" i="6"/>
  <c r="B68" i="6"/>
  <c r="B870" i="6"/>
  <c r="B174" i="6"/>
  <c r="B69" i="6"/>
  <c r="B772" i="6"/>
  <c r="B373" i="6"/>
  <c r="B971" i="6"/>
  <c r="B175" i="6"/>
  <c r="B473" i="6"/>
  <c r="B570" i="6"/>
  <c r="B274" i="6"/>
  <c r="B176" i="6"/>
  <c r="B177" i="6"/>
  <c r="B275" i="6"/>
  <c r="B871" i="6"/>
  <c r="B673" i="6"/>
  <c r="B374" i="6"/>
  <c r="B70" i="6"/>
  <c r="B972" i="6"/>
  <c r="B276" i="6"/>
  <c r="B375" i="6"/>
  <c r="B277" i="6"/>
  <c r="B571" i="6"/>
  <c r="B773" i="6"/>
  <c r="B474" i="6"/>
  <c r="B376" i="6"/>
  <c r="B178" i="6"/>
  <c r="B475" i="6"/>
  <c r="B377" i="6"/>
  <c r="B674" i="6"/>
  <c r="B872" i="6"/>
  <c r="B71" i="6"/>
  <c r="B476" i="6"/>
  <c r="B675" i="6"/>
  <c r="B278" i="6"/>
  <c r="B477" i="6"/>
  <c r="B774" i="6"/>
  <c r="B572" i="6"/>
  <c r="B973" i="6"/>
  <c r="B676" i="6"/>
  <c r="B179" i="6"/>
  <c r="B775" i="6"/>
  <c r="B378" i="6"/>
  <c r="B677" i="6"/>
  <c r="B72" i="6"/>
  <c r="B776" i="6"/>
  <c r="B279" i="6"/>
  <c r="B478" i="6"/>
  <c r="B777" i="6"/>
  <c r="B873" i="6"/>
  <c r="B974" i="6"/>
  <c r="B180" i="6"/>
  <c r="B975" i="6"/>
  <c r="B379" i="6"/>
  <c r="B678" i="6"/>
  <c r="B573" i="6"/>
  <c r="B874" i="6"/>
  <c r="B280" i="6"/>
  <c r="B479" i="6"/>
  <c r="B778" i="6"/>
  <c r="B976" i="6"/>
  <c r="B977" i="6"/>
  <c r="B875" i="6"/>
  <c r="B73" i="6"/>
  <c r="B574" i="6"/>
  <c r="B380" i="6"/>
  <c r="B679" i="6"/>
  <c r="B876" i="6"/>
  <c r="B575" i="6"/>
  <c r="B74" i="6"/>
  <c r="B877" i="6"/>
  <c r="B181" i="6"/>
  <c r="B480" i="6"/>
  <c r="B779" i="6"/>
  <c r="B576" i="6"/>
  <c r="B978" i="6"/>
  <c r="B75" i="6"/>
  <c r="B577" i="6"/>
  <c r="B680" i="6"/>
  <c r="B281" i="6"/>
  <c r="B76" i="6"/>
  <c r="B182" i="6"/>
  <c r="B878" i="6"/>
  <c r="B77" i="6"/>
  <c r="B381" i="6"/>
  <c r="B183" i="6"/>
  <c r="B780" i="6"/>
  <c r="B979" i="6"/>
  <c r="B282" i="6"/>
  <c r="B578" i="6"/>
  <c r="B184" i="6"/>
  <c r="B481" i="6"/>
  <c r="B283" i="6"/>
  <c r="B382" i="6"/>
  <c r="B185" i="6"/>
  <c r="B284" i="6"/>
  <c r="B78" i="6"/>
  <c r="B879" i="6"/>
  <c r="B681" i="6"/>
  <c r="B383" i="6"/>
  <c r="B980" i="6"/>
  <c r="B482" i="6"/>
  <c r="B285" i="6"/>
  <c r="B384" i="6"/>
  <c r="B579" i="6"/>
  <c r="B781" i="6"/>
  <c r="B483" i="6"/>
  <c r="B186" i="6"/>
  <c r="B682" i="6"/>
  <c r="B385" i="6"/>
  <c r="B484" i="6"/>
  <c r="B79" i="6"/>
  <c r="B880" i="6"/>
  <c r="B683" i="6"/>
  <c r="B782" i="6"/>
  <c r="B286" i="6"/>
  <c r="B485" i="6"/>
  <c r="B684" i="6"/>
  <c r="B981" i="6"/>
  <c r="B580" i="6"/>
  <c r="B783" i="6"/>
  <c r="B386" i="6"/>
  <c r="B685" i="6"/>
  <c r="B784" i="6"/>
  <c r="B80" i="6"/>
  <c r="B486" i="6"/>
  <c r="B785" i="6"/>
  <c r="B982" i="6"/>
  <c r="B881" i="6"/>
  <c r="B686" i="6"/>
  <c r="B983" i="6"/>
  <c r="B984" i="6"/>
  <c r="B187" i="6"/>
  <c r="B581" i="6"/>
  <c r="B882" i="6"/>
  <c r="B786" i="6"/>
  <c r="B883" i="6"/>
  <c r="B985" i="6"/>
  <c r="B287" i="6"/>
  <c r="B582" i="6"/>
  <c r="B884" i="6"/>
  <c r="B81" i="6"/>
  <c r="B583" i="6"/>
  <c r="B387" i="6"/>
  <c r="B584" i="6"/>
  <c r="B82" i="6"/>
  <c r="B986" i="6"/>
  <c r="B83" i="6"/>
  <c r="B885" i="6"/>
  <c r="B487" i="6"/>
  <c r="B188" i="6"/>
  <c r="B84" i="6"/>
  <c r="B585" i="6"/>
  <c r="B687" i="6"/>
  <c r="B189" i="6"/>
  <c r="B288" i="6"/>
  <c r="B190" i="6"/>
  <c r="B886" i="6"/>
  <c r="B85" i="6"/>
  <c r="B787" i="6"/>
  <c r="B191" i="6"/>
  <c r="B388" i="6"/>
  <c r="B289" i="6"/>
  <c r="B586" i="6"/>
  <c r="B290" i="6"/>
  <c r="B389" i="6"/>
  <c r="B488" i="6"/>
  <c r="B291" i="6"/>
  <c r="B390" i="6"/>
  <c r="B86" i="6"/>
  <c r="B489" i="6"/>
  <c r="B391" i="6"/>
  <c r="B688" i="6"/>
  <c r="B987" i="6"/>
  <c r="B490" i="6"/>
  <c r="B192" i="6"/>
  <c r="B689" i="6"/>
  <c r="B491" i="6"/>
  <c r="B788" i="6"/>
  <c r="B690" i="6"/>
  <c r="B887" i="6"/>
  <c r="B789" i="6"/>
  <c r="B691" i="6"/>
  <c r="B292" i="6"/>
  <c r="B790" i="6"/>
  <c r="B587" i="6"/>
  <c r="B791" i="6"/>
  <c r="B392" i="6"/>
  <c r="B988" i="6"/>
  <c r="B989" i="6"/>
  <c r="B888" i="6"/>
  <c r="B492" i="6"/>
  <c r="B87" i="6"/>
  <c r="B588" i="6"/>
  <c r="B692" i="6"/>
  <c r="B889" i="6"/>
  <c r="B990" i="6"/>
  <c r="B991" i="6"/>
  <c r="B88" i="6"/>
  <c r="B792" i="6"/>
  <c r="B193" i="6"/>
  <c r="B589" i="6"/>
  <c r="B890" i="6"/>
  <c r="B293" i="6"/>
  <c r="B590" i="6"/>
  <c r="B891" i="6"/>
  <c r="B89" i="6"/>
  <c r="B992" i="6"/>
  <c r="B393" i="6"/>
  <c r="B90" i="6"/>
  <c r="B591" i="6"/>
  <c r="B194" i="6"/>
  <c r="B493" i="6"/>
  <c r="B91" i="6"/>
  <c r="B195" i="6"/>
  <c r="B892" i="6"/>
  <c r="B693" i="6"/>
  <c r="B294" i="6"/>
  <c r="B592" i="6"/>
  <c r="B196" i="6"/>
  <c r="B793" i="6"/>
  <c r="B295" i="6"/>
  <c r="B394" i="6"/>
  <c r="B296" i="6"/>
  <c r="B395" i="6"/>
  <c r="B494" i="6"/>
  <c r="B92" i="6"/>
  <c r="B993" i="6"/>
  <c r="B396" i="6"/>
  <c r="B495" i="6"/>
  <c r="B694" i="6"/>
  <c r="B197" i="6"/>
  <c r="B496" i="6"/>
  <c r="B695" i="6"/>
  <c r="B794" i="6"/>
  <c r="B893" i="6"/>
  <c r="B696" i="6"/>
  <c r="B795" i="6"/>
  <c r="B297" i="6"/>
  <c r="B593" i="6"/>
  <c r="B796" i="6"/>
  <c r="B397" i="6"/>
  <c r="B994" i="6"/>
  <c r="B995" i="6"/>
  <c r="B93" i="6"/>
  <c r="B497" i="6"/>
  <c r="B894" i="6"/>
  <c r="B996" i="6"/>
  <c r="B697" i="6"/>
  <c r="B895" i="6"/>
  <c r="B198" i="6"/>
  <c r="B594" i="6"/>
  <c r="B797" i="6"/>
  <c r="B595" i="6"/>
  <c r="B94" i="6"/>
  <c r="B298" i="6"/>
  <c r="B896" i="6"/>
  <c r="B398" i="6"/>
  <c r="B596" i="6"/>
  <c r="B95" i="6"/>
  <c r="B997" i="6"/>
  <c r="B498" i="6"/>
  <c r="B96" i="6"/>
  <c r="B199" i="6"/>
  <c r="B698" i="6"/>
  <c r="B798" i="6"/>
  <c r="B897" i="6"/>
  <c r="B299" i="6"/>
  <c r="B597" i="6"/>
  <c r="B399" i="6"/>
  <c r="B499" i="6"/>
  <c r="B998" i="6"/>
  <c r="B97" i="6"/>
  <c r="B699" i="6"/>
  <c r="B799" i="6"/>
  <c r="B200" i="6"/>
  <c r="B898" i="6"/>
  <c r="B598" i="6"/>
  <c r="B300" i="6"/>
  <c r="B999" i="6"/>
  <c r="B400" i="6"/>
  <c r="B98" i="6"/>
  <c r="B500" i="6"/>
  <c r="B899" i="6"/>
  <c r="B700" i="6"/>
  <c r="B201" i="6"/>
  <c r="B599" i="6"/>
  <c r="B800" i="6"/>
  <c r="B301" i="6"/>
  <c r="B99" i="6"/>
  <c r="B401" i="6"/>
  <c r="B1000" i="6"/>
  <c r="B501" i="6"/>
  <c r="B701" i="6"/>
  <c r="B900" i="6"/>
  <c r="B801" i="6"/>
  <c r="B600" i="6"/>
  <c r="B100" i="6"/>
  <c r="B1001" i="6"/>
  <c r="B901" i="6"/>
  <c r="B601" i="6"/>
  <c r="B101" i="6"/>
  <c r="B52" i="5"/>
  <c r="B102" i="5"/>
  <c r="B152" i="5"/>
  <c r="B202" i="5"/>
  <c r="B302" i="5"/>
  <c r="B352" i="5"/>
  <c r="B452" i="5"/>
  <c r="B402" i="5"/>
  <c r="B252" i="5"/>
  <c r="B2" i="5"/>
  <c r="B53" i="5"/>
  <c r="B103" i="5"/>
  <c r="B153" i="5"/>
  <c r="B203" i="5"/>
  <c r="B303" i="5"/>
  <c r="B353" i="5"/>
  <c r="B453" i="5"/>
  <c r="B403" i="5"/>
  <c r="B253" i="5"/>
  <c r="B3" i="5"/>
  <c r="B54" i="5"/>
  <c r="B55" i="5"/>
  <c r="B104" i="5"/>
  <c r="B154" i="5"/>
  <c r="B105" i="5"/>
  <c r="B204" i="5"/>
  <c r="B155" i="5"/>
  <c r="B304" i="5"/>
  <c r="B205" i="5"/>
  <c r="B354" i="5"/>
  <c r="B305" i="5"/>
  <c r="B355" i="5"/>
  <c r="B454" i="5"/>
  <c r="B455" i="5"/>
  <c r="B404" i="5"/>
  <c r="B254" i="5"/>
  <c r="B405" i="5"/>
  <c r="B4" i="5"/>
  <c r="B255" i="5"/>
  <c r="B56" i="5"/>
  <c r="B5" i="5"/>
  <c r="B106" i="5"/>
  <c r="B57" i="5"/>
  <c r="B156" i="5"/>
  <c r="B206" i="5"/>
  <c r="B107" i="5"/>
  <c r="B306" i="5"/>
  <c r="B157" i="5"/>
  <c r="B58" i="5"/>
  <c r="B356" i="5"/>
  <c r="B207" i="5"/>
  <c r="B108" i="5"/>
  <c r="B307" i="5"/>
  <c r="B158" i="5"/>
  <c r="B357" i="5"/>
  <c r="B208" i="5"/>
  <c r="B456" i="5"/>
  <c r="B308" i="5"/>
  <c r="B358" i="5"/>
  <c r="B457" i="5"/>
  <c r="B406" i="5"/>
  <c r="B256" i="5"/>
  <c r="B458" i="5"/>
  <c r="B407" i="5"/>
  <c r="B6" i="5"/>
  <c r="B257" i="5"/>
  <c r="B408" i="5"/>
  <c r="B7" i="5"/>
  <c r="B258" i="5"/>
  <c r="B59" i="5"/>
  <c r="B60" i="5"/>
  <c r="B8" i="5"/>
  <c r="B109" i="5"/>
  <c r="B110" i="5"/>
  <c r="B159" i="5"/>
  <c r="B61" i="5"/>
  <c r="B160" i="5"/>
  <c r="B209" i="5"/>
  <c r="B111" i="5"/>
  <c r="B210" i="5"/>
  <c r="B62" i="5"/>
  <c r="B309" i="5"/>
  <c r="B161" i="5"/>
  <c r="B310" i="5"/>
  <c r="B359" i="5"/>
  <c r="B211" i="5"/>
  <c r="B112" i="5"/>
  <c r="B360" i="5"/>
  <c r="B311" i="5"/>
  <c r="B162" i="5"/>
  <c r="B361" i="5"/>
  <c r="B212" i="5"/>
  <c r="B459" i="5"/>
  <c r="B460" i="5"/>
  <c r="B312" i="5"/>
  <c r="B409" i="5"/>
  <c r="B362" i="5"/>
  <c r="B461" i="5"/>
  <c r="B410" i="5"/>
  <c r="B259" i="5"/>
  <c r="B260" i="5"/>
  <c r="B9" i="5"/>
  <c r="B411" i="5"/>
  <c r="B462" i="5"/>
  <c r="B10" i="5"/>
  <c r="B63" i="5"/>
  <c r="B261" i="5"/>
  <c r="B113" i="5"/>
  <c r="B412" i="5"/>
  <c r="B11" i="5"/>
  <c r="B64" i="5"/>
  <c r="B163" i="5"/>
  <c r="B262" i="5"/>
  <c r="B114" i="5"/>
  <c r="B65" i="5"/>
  <c r="B213" i="5"/>
  <c r="B12" i="5"/>
  <c r="B66" i="5"/>
  <c r="B164" i="5"/>
  <c r="B115" i="5"/>
  <c r="B313" i="5"/>
  <c r="B116" i="5"/>
  <c r="B67" i="5"/>
  <c r="B214" i="5"/>
  <c r="B165" i="5"/>
  <c r="B363" i="5"/>
  <c r="B166" i="5"/>
  <c r="B314" i="5"/>
  <c r="B117" i="5"/>
  <c r="B215" i="5"/>
  <c r="B216" i="5"/>
  <c r="B364" i="5"/>
  <c r="B167" i="5"/>
  <c r="B315" i="5"/>
  <c r="B463" i="5"/>
  <c r="B316" i="5"/>
  <c r="B217" i="5"/>
  <c r="B365" i="5"/>
  <c r="B366" i="5"/>
  <c r="B317" i="5"/>
  <c r="B464" i="5"/>
  <c r="B413" i="5"/>
  <c r="B367" i="5"/>
  <c r="B263" i="5"/>
  <c r="B465" i="5"/>
  <c r="B466" i="5"/>
  <c r="B414" i="5"/>
  <c r="B13" i="5"/>
  <c r="B415" i="5"/>
  <c r="B264" i="5"/>
  <c r="B467" i="5"/>
  <c r="B416" i="5"/>
  <c r="B265" i="5"/>
  <c r="B14" i="5"/>
  <c r="B68" i="5"/>
  <c r="B266" i="5"/>
  <c r="B15" i="5"/>
  <c r="B118" i="5"/>
  <c r="B417" i="5"/>
  <c r="B16" i="5"/>
  <c r="B69" i="5"/>
  <c r="B168" i="5"/>
  <c r="B267" i="5"/>
  <c r="B70" i="5"/>
  <c r="B119" i="5"/>
  <c r="B71" i="5"/>
  <c r="B218" i="5"/>
  <c r="B17" i="5"/>
  <c r="B120" i="5"/>
  <c r="B169" i="5"/>
  <c r="B121" i="5"/>
  <c r="B318" i="5"/>
  <c r="B170" i="5"/>
  <c r="B219" i="5"/>
  <c r="B72" i="5"/>
  <c r="B171" i="5"/>
  <c r="B368" i="5"/>
  <c r="B220" i="5"/>
  <c r="B319" i="5"/>
  <c r="B221" i="5"/>
  <c r="B122" i="5"/>
  <c r="B320" i="5"/>
  <c r="B369" i="5"/>
  <c r="B321" i="5"/>
  <c r="B172" i="5"/>
  <c r="B370" i="5"/>
  <c r="B468" i="5"/>
  <c r="B371" i="5"/>
  <c r="B222" i="5"/>
  <c r="B469" i="5"/>
  <c r="B418" i="5"/>
  <c r="B322" i="5"/>
  <c r="B470" i="5"/>
  <c r="B471" i="5"/>
  <c r="B419" i="5"/>
  <c r="B268" i="5"/>
  <c r="B372" i="5"/>
  <c r="B420" i="5"/>
  <c r="B269" i="5"/>
  <c r="B421" i="5"/>
  <c r="B18" i="5"/>
  <c r="B270" i="5"/>
  <c r="B271" i="5"/>
  <c r="B19" i="5"/>
  <c r="B73" i="5"/>
  <c r="B472" i="5"/>
  <c r="B20" i="5"/>
  <c r="B21" i="5"/>
  <c r="B123" i="5"/>
  <c r="B74" i="5"/>
  <c r="B422" i="5"/>
  <c r="B75" i="5"/>
  <c r="B173" i="5"/>
  <c r="B76" i="5"/>
  <c r="B124" i="5"/>
  <c r="B272" i="5"/>
  <c r="B223" i="5"/>
  <c r="B125" i="5"/>
  <c r="B174" i="5"/>
  <c r="B126" i="5"/>
  <c r="B22" i="5"/>
  <c r="B323" i="5"/>
  <c r="B175" i="5"/>
  <c r="B224" i="5"/>
  <c r="B176" i="5"/>
  <c r="B77" i="5"/>
  <c r="B373" i="5"/>
  <c r="B225" i="5"/>
  <c r="B324" i="5"/>
  <c r="B226" i="5"/>
  <c r="B127" i="5"/>
  <c r="B374" i="5"/>
  <c r="B325" i="5"/>
  <c r="B326" i="5"/>
  <c r="B177" i="5"/>
  <c r="B473" i="5"/>
  <c r="B375" i="5"/>
  <c r="B376" i="5"/>
  <c r="B227" i="5"/>
  <c r="B474" i="5"/>
  <c r="B327" i="5"/>
  <c r="B423" i="5"/>
  <c r="B475" i="5"/>
  <c r="B476" i="5"/>
  <c r="B377" i="5"/>
  <c r="B424" i="5"/>
  <c r="B273" i="5"/>
  <c r="B425" i="5"/>
  <c r="B274" i="5"/>
  <c r="B426" i="5"/>
  <c r="B23" i="5"/>
  <c r="B275" i="5"/>
  <c r="B477" i="5"/>
  <c r="B276" i="5"/>
  <c r="B24" i="5"/>
  <c r="B25" i="5"/>
  <c r="B78" i="5"/>
  <c r="B26" i="5"/>
  <c r="B427" i="5"/>
  <c r="B79" i="5"/>
  <c r="B128" i="5"/>
  <c r="B80" i="5"/>
  <c r="B277" i="5"/>
  <c r="B81" i="5"/>
  <c r="B178" i="5"/>
  <c r="B129" i="5"/>
  <c r="B130" i="5"/>
  <c r="B27" i="5"/>
  <c r="B228" i="5"/>
  <c r="B179" i="5"/>
  <c r="B131" i="5"/>
  <c r="B180" i="5"/>
  <c r="B328" i="5"/>
  <c r="B229" i="5"/>
  <c r="B181" i="5"/>
  <c r="B82" i="5"/>
  <c r="B230" i="5"/>
  <c r="B378" i="5"/>
  <c r="B329" i="5"/>
  <c r="B231" i="5"/>
  <c r="B330" i="5"/>
  <c r="B132" i="5"/>
  <c r="B379" i="5"/>
  <c r="B331" i="5"/>
  <c r="B380" i="5"/>
  <c r="B182" i="5"/>
  <c r="B478" i="5"/>
  <c r="B381" i="5"/>
  <c r="B232" i="5"/>
  <c r="B479" i="5"/>
  <c r="B480" i="5"/>
  <c r="B332" i="5"/>
  <c r="B481" i="5"/>
  <c r="B428" i="5"/>
  <c r="B429" i="5"/>
  <c r="B382" i="5"/>
  <c r="B430" i="5"/>
  <c r="B278" i="5"/>
  <c r="B431" i="5"/>
  <c r="B279" i="5"/>
  <c r="B280" i="5"/>
  <c r="B28" i="5"/>
  <c r="B281" i="5"/>
  <c r="B29" i="5"/>
  <c r="B482" i="5"/>
  <c r="B30" i="5"/>
  <c r="B83" i="5"/>
  <c r="B31" i="5"/>
  <c r="B84" i="5"/>
  <c r="B85" i="5"/>
  <c r="B432" i="5"/>
  <c r="B133" i="5"/>
  <c r="B134" i="5"/>
  <c r="B86" i="5"/>
  <c r="B282" i="5"/>
  <c r="B183" i="5"/>
  <c r="B135" i="5"/>
  <c r="B184" i="5"/>
  <c r="B136" i="5"/>
  <c r="B185" i="5"/>
  <c r="B233" i="5"/>
  <c r="B32" i="5"/>
  <c r="B234" i="5"/>
  <c r="B186" i="5"/>
  <c r="B235" i="5"/>
  <c r="B333" i="5"/>
  <c r="B334" i="5"/>
  <c r="B236" i="5"/>
  <c r="B335" i="5"/>
  <c r="B87" i="5"/>
  <c r="B383" i="5"/>
  <c r="B384" i="5"/>
  <c r="B336" i="5"/>
  <c r="B385" i="5"/>
  <c r="B137" i="5"/>
  <c r="B386" i="5"/>
  <c r="B187" i="5"/>
  <c r="B483" i="5"/>
  <c r="B484" i="5"/>
  <c r="B485" i="5"/>
  <c r="B237" i="5"/>
  <c r="B433" i="5"/>
  <c r="B434" i="5"/>
  <c r="B337" i="5"/>
  <c r="B486" i="5"/>
  <c r="B283" i="5"/>
  <c r="B435" i="5"/>
  <c r="B284" i="5"/>
  <c r="B387" i="5"/>
  <c r="B33" i="5"/>
  <c r="B285" i="5"/>
  <c r="B34" i="5"/>
  <c r="B436" i="5"/>
  <c r="B35" i="5"/>
  <c r="B88" i="5"/>
  <c r="B286" i="5"/>
  <c r="B487" i="5"/>
  <c r="B89" i="5"/>
  <c r="B138" i="5"/>
  <c r="B36" i="5"/>
  <c r="B139" i="5"/>
  <c r="B90" i="5"/>
  <c r="B437" i="5"/>
  <c r="B188" i="5"/>
  <c r="B189" i="5"/>
  <c r="B140" i="5"/>
  <c r="B287" i="5"/>
  <c r="B238" i="5"/>
  <c r="B239" i="5"/>
  <c r="B190" i="5"/>
  <c r="B338" i="5"/>
  <c r="B339" i="5"/>
  <c r="B37" i="5"/>
  <c r="B240" i="5"/>
  <c r="B388" i="5"/>
  <c r="B389" i="5"/>
  <c r="B340" i="5"/>
  <c r="B91" i="5"/>
  <c r="B390" i="5"/>
  <c r="B141" i="5"/>
  <c r="B488" i="5"/>
  <c r="B489" i="5"/>
  <c r="B191" i="5"/>
  <c r="B438" i="5"/>
  <c r="B490" i="5"/>
  <c r="B288" i="5"/>
  <c r="B241" i="5"/>
  <c r="B439" i="5"/>
  <c r="B38" i="5"/>
  <c r="B341" i="5"/>
  <c r="B289" i="5"/>
  <c r="B440" i="5"/>
  <c r="B391" i="5"/>
  <c r="B290" i="5"/>
  <c r="B39" i="5"/>
  <c r="B92" i="5"/>
  <c r="B40" i="5"/>
  <c r="B142" i="5"/>
  <c r="B93" i="5"/>
  <c r="B491" i="5"/>
  <c r="B192" i="5"/>
  <c r="B94" i="5"/>
  <c r="B143" i="5"/>
  <c r="B242" i="5"/>
  <c r="B441" i="5"/>
  <c r="B291" i="5"/>
  <c r="B193" i="5"/>
  <c r="B342" i="5"/>
  <c r="B144" i="5"/>
  <c r="B41" i="5"/>
  <c r="B392" i="5"/>
  <c r="B243" i="5"/>
  <c r="B194" i="5"/>
  <c r="B343" i="5"/>
  <c r="B95" i="5"/>
  <c r="B244" i="5"/>
  <c r="B393" i="5"/>
  <c r="B492" i="5"/>
  <c r="B344" i="5"/>
  <c r="B145" i="5"/>
  <c r="B394" i="5"/>
  <c r="B195" i="5"/>
  <c r="B493" i="5"/>
  <c r="B245" i="5"/>
  <c r="B442" i="5"/>
  <c r="B345" i="5"/>
  <c r="B292" i="5"/>
  <c r="B494" i="5"/>
  <c r="B443" i="5"/>
  <c r="B395" i="5"/>
  <c r="B293" i="5"/>
  <c r="B42" i="5"/>
  <c r="B444" i="5"/>
  <c r="B43" i="5"/>
  <c r="B294" i="5"/>
  <c r="B96" i="5"/>
  <c r="B495" i="5"/>
  <c r="B44" i="5"/>
  <c r="B146" i="5"/>
  <c r="B97" i="5"/>
  <c r="B196" i="5"/>
  <c r="B147" i="5"/>
  <c r="B445" i="5"/>
  <c r="B246" i="5"/>
  <c r="B197" i="5"/>
  <c r="B295" i="5"/>
  <c r="B346" i="5"/>
  <c r="B247" i="5"/>
  <c r="B396" i="5"/>
  <c r="B45" i="5"/>
  <c r="B347" i="5"/>
  <c r="B397" i="5"/>
  <c r="B98" i="5"/>
  <c r="B496" i="5"/>
  <c r="B148" i="5"/>
  <c r="B497" i="5"/>
  <c r="B198" i="5"/>
  <c r="B446" i="5"/>
  <c r="B248" i="5"/>
  <c r="B296" i="5"/>
  <c r="B447" i="5"/>
  <c r="B348" i="5"/>
  <c r="B46" i="5"/>
  <c r="B297" i="5"/>
  <c r="B398" i="5"/>
  <c r="B47" i="5"/>
  <c r="B99" i="5"/>
  <c r="B149" i="5"/>
  <c r="B498" i="5"/>
  <c r="B199" i="5"/>
  <c r="B249" i="5"/>
  <c r="B448" i="5"/>
  <c r="B349" i="5"/>
  <c r="B298" i="5"/>
  <c r="B399" i="5"/>
  <c r="B48" i="5"/>
  <c r="B100" i="5"/>
  <c r="B499" i="5"/>
  <c r="B150" i="5"/>
  <c r="B449" i="5"/>
  <c r="B200" i="5"/>
  <c r="B299" i="5"/>
  <c r="B250" i="5"/>
  <c r="B49" i="5"/>
  <c r="B350" i="5"/>
  <c r="B400" i="5"/>
  <c r="B101" i="5"/>
  <c r="B151" i="5"/>
  <c r="B500" i="5"/>
  <c r="B201" i="5"/>
  <c r="B251" i="5"/>
  <c r="B450" i="5"/>
  <c r="B351" i="5"/>
  <c r="B300" i="5"/>
  <c r="B401" i="5"/>
  <c r="B50" i="5"/>
  <c r="B501" i="5"/>
  <c r="B451" i="5"/>
  <c r="B301" i="5"/>
  <c r="B51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O6" i="9" l="1"/>
  <c r="U6" i="9" s="1"/>
  <c r="O16" i="9"/>
  <c r="U16" i="9" s="1"/>
  <c r="O15" i="9"/>
  <c r="U15" i="9" s="1"/>
  <c r="O14" i="9"/>
  <c r="U14" i="9" s="1"/>
  <c r="O13" i="9"/>
  <c r="U13" i="9" s="1"/>
  <c r="O12" i="9"/>
  <c r="U12" i="9" s="1"/>
  <c r="O11" i="9"/>
  <c r="U11" i="9" s="1"/>
  <c r="O10" i="9"/>
  <c r="U10" i="9" s="1"/>
  <c r="O9" i="9"/>
  <c r="U9" i="9"/>
  <c r="O8" i="9"/>
  <c r="U8" i="9" s="1"/>
  <c r="O7" i="9"/>
  <c r="U7" i="9" s="1"/>
  <c r="N6" i="9"/>
  <c r="T6" i="9" s="1"/>
  <c r="N16" i="9"/>
  <c r="T16" i="9" s="1"/>
  <c r="N15" i="9"/>
  <c r="T15" i="9" s="1"/>
  <c r="N14" i="9"/>
  <c r="T14" i="9" s="1"/>
  <c r="N13" i="9"/>
  <c r="T13" i="9" s="1"/>
  <c r="N12" i="9"/>
  <c r="T12" i="9" s="1"/>
  <c r="N11" i="9"/>
  <c r="T11" i="9" s="1"/>
  <c r="N10" i="9"/>
  <c r="T10" i="9" s="1"/>
  <c r="N9" i="9"/>
  <c r="T9" i="9"/>
  <c r="N8" i="9"/>
  <c r="T8" i="9"/>
  <c r="N7" i="9"/>
  <c r="T7" i="9" s="1"/>
  <c r="M6" i="9"/>
  <c r="S6" i="9" s="1"/>
  <c r="M16" i="9"/>
  <c r="S16" i="9" s="1"/>
  <c r="M15" i="9"/>
  <c r="S15" i="9" s="1"/>
  <c r="M14" i="9"/>
  <c r="S14" i="9" s="1"/>
  <c r="M13" i="9"/>
  <c r="S13" i="9" s="1"/>
  <c r="M12" i="9"/>
  <c r="S12" i="9" s="1"/>
  <c r="M11" i="9"/>
  <c r="S11" i="9"/>
  <c r="M10" i="9"/>
  <c r="S10" i="9" s="1"/>
  <c r="M9" i="9"/>
  <c r="S9" i="9" s="1"/>
  <c r="M8" i="9"/>
  <c r="S8" i="9" s="1"/>
  <c r="M7" i="9"/>
  <c r="S7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7D91D6-FF0C-4572-BAEC-D43B78EE49AD}" keepAlive="1" name="Consulta - resultado-db-usuario-1" description="Conexão com a consulta 'resultado-db-usuario-1' na pasta de trabalho." type="5" refreshedVersion="8" background="1" saveData="1">
    <dbPr connection="Provider=Microsoft.Mashup.OleDb.1;Data Source=$Workbook$;Location=resultado-db-usuario-1;Extended Properties=&quot;&quot;" command="SELECT * FROM [resultado-db-usuario-1]"/>
  </connection>
  <connection id="2" xr16:uid="{8E4004E4-EFF5-4CDC-9F2F-3C083ED3C849}" keepAlive="1" name="Consulta - resultado-db-usuario-10" description="Conexão com a consulta 'resultado-db-usuario-10' na pasta de trabalho." type="5" refreshedVersion="8" background="1" saveData="1">
    <dbPr connection="Provider=Microsoft.Mashup.OleDb.1;Data Source=$Workbook$;Location=resultado-db-usuario-10;Extended Properties=&quot;&quot;" command="SELECT * FROM [resultado-db-usuario-10]"/>
  </connection>
  <connection id="3" xr16:uid="{F1FE2EF9-AA8B-4B89-AA39-66BFDDB15965}" keepAlive="1" name="Consulta - resultado-db-usuario-5" description="Conexão com a consulta 'resultado-db-usuario-5' na pasta de trabalho." type="5" refreshedVersion="8" background="1" saveData="1">
    <dbPr connection="Provider=Microsoft.Mashup.OleDb.1;Data Source=$Workbook$;Location=resultado-db-usuario-5;Extended Properties=&quot;&quot;" command="SELECT * FROM [resultado-db-usuario-5]"/>
  </connection>
</connections>
</file>

<file path=xl/sharedStrings.xml><?xml version="1.0" encoding="utf-8"?>
<sst xmlns="http://schemas.openxmlformats.org/spreadsheetml/2006/main" count="10063" uniqueCount="1838">
  <si>
    <t>id</t>
  </si>
  <si>
    <t>metodo</t>
  </si>
  <si>
    <t>caminho</t>
  </si>
  <si>
    <t>rota</t>
  </si>
  <si>
    <t>statusCode</t>
  </si>
  <si>
    <t>duracaoMs</t>
  </si>
  <si>
    <t>iniciadoEm</t>
  </si>
  <si>
    <t>finalizadoEm</t>
  </si>
  <si>
    <t>ip</t>
  </si>
  <si>
    <t>userAgent</t>
  </si>
  <si>
    <t>createdAt</t>
  </si>
  <si>
    <t>cmpjwmnc6008ew2rwaioxjmpe</t>
  </si>
  <si>
    <t>GET</t>
  </si>
  <si>
    <t>/api/v1/aeronaves</t>
  </si>
  <si>
    <t>/api/v1/aeronaves/</t>
  </si>
  <si>
    <t>::ffff:127.0.0.1</t>
  </si>
  <si>
    <t>Apache-HttpClient/4.5.14 (Java/21.0.11)</t>
  </si>
  <si>
    <t>cmpjwmncf008fw2rw7mxvcckz</t>
  </si>
  <si>
    <t>/api/v1/etapas</t>
  </si>
  <si>
    <t>/api/v1/etapas/</t>
  </si>
  <si>
    <t>cmpjwmncl008gw2rwfyiav8s5</t>
  </si>
  <si>
    <t>/api/v1/funcionarios</t>
  </si>
  <si>
    <t>/api/v1/funcionarios/</t>
  </si>
  <si>
    <t>cmpjwmncq008hw2rw63g83731</t>
  </si>
  <si>
    <t>/api/v1/pecas</t>
  </si>
  <si>
    <t>/api/v1/pecas/</t>
  </si>
  <si>
    <t>cmpjwmncx008iw2rwgvwomy0e</t>
  </si>
  <si>
    <t>/api/v1/relatorios</t>
  </si>
  <si>
    <t>/api/v1/relatorios/</t>
  </si>
  <si>
    <t>cmpjwmnd2008jw2rw0zkiqdo5</t>
  </si>
  <si>
    <t>/api/v1/testes</t>
  </si>
  <si>
    <t>/api/v1/testes/</t>
  </si>
  <si>
    <t>cmpjwmndn008kw2rwir1fjgw0</t>
  </si>
  <si>
    <t>POST</t>
  </si>
  <si>
    <t>cmpjwmne2008lw2rwi4i2b6mr</t>
  </si>
  <si>
    <t>PATCH</t>
  </si>
  <si>
    <t>/api/v1/pecas/21</t>
  </si>
  <si>
    <t>/api/v1/pecas/:id</t>
  </si>
  <si>
    <t>cmpjwmne6008mw2rwmjnss1gl</t>
  </si>
  <si>
    <t>cmpjwmned008nw2rw28xkyim4</t>
  </si>
  <si>
    <t>DELETE</t>
  </si>
  <si>
    <t>cmpjwmnew008ow2rw5tlyl3m7</t>
  </si>
  <si>
    <t>cmpjwmnf5008pw2rw7fmei8o5</t>
  </si>
  <si>
    <t>cmpjwmnfb008qw2rwqviwnbev</t>
  </si>
  <si>
    <t>cmpjwmnfh008rw2rw8e6d1kgg</t>
  </si>
  <si>
    <t>cmpjwmnfm008sw2rwo7fdm62m</t>
  </si>
  <si>
    <t>cmpjwmnft008tw2rwgrixth80</t>
  </si>
  <si>
    <t>cmpjwmng6008uw2rw46gtirl9</t>
  </si>
  <si>
    <t>cmpjwmngj008vw2rwmwfkyf7r</t>
  </si>
  <si>
    <t>cmpjwmngr008ww2rweyhbziuj</t>
  </si>
  <si>
    <t>cmpjwmngz008xw2rwymi3m97o</t>
  </si>
  <si>
    <t>cmpjwmnhe008yw2rww5vx1sb8</t>
  </si>
  <si>
    <t>cmpjwmnhm008zw2rwyu8phg0p</t>
  </si>
  <si>
    <t>cmpjwmnhr0090w2rwvy0og93u</t>
  </si>
  <si>
    <t>cmpjwmnhw0091w2rwr9fx7che</t>
  </si>
  <si>
    <t>cmpjwmni30092w2rwtw3xla4z</t>
  </si>
  <si>
    <t>cmpjwmni80093w2rw5bo5gy8x</t>
  </si>
  <si>
    <t>cmpjwmnij0094w2rwpw6c05bm</t>
  </si>
  <si>
    <t>cmpjwmniu0095w2rw9ee08hhp</t>
  </si>
  <si>
    <t>cmpjwmnj00096w2rw881e0koo</t>
  </si>
  <si>
    <t>cmpjwmnj70097w2rwbmc3nzlk</t>
  </si>
  <si>
    <t>cmpjwmnjo0098w2rwfrj18mg2</t>
  </si>
  <si>
    <t>cmpjwmnjv0099w2rwr9qflz2y</t>
  </si>
  <si>
    <t>cmpjwmnk1009aw2rwrt8ltkyz</t>
  </si>
  <si>
    <t>cmpjwmnk7009bw2rwng2p4rh9</t>
  </si>
  <si>
    <t>cmpjwmnkd009cw2rwi10k4wwh</t>
  </si>
  <si>
    <t>cmpjwmnki009dw2rwuts2zc58</t>
  </si>
  <si>
    <t>cmpjwmnkw009ew2rwkq2r4pua</t>
  </si>
  <si>
    <t>cmpjwmnl9009fw2rwfkqlj712</t>
  </si>
  <si>
    <t>cmpjwmnld009gw2rw0zsm9spj</t>
  </si>
  <si>
    <t>cmpjwmnln009hw2rwk3ib1clc</t>
  </si>
  <si>
    <t>cmpjwmnm4009iw2rwlomoqwqk</t>
  </si>
  <si>
    <t>cmpjwmnmb009jw2rwegtvdis1</t>
  </si>
  <si>
    <t>cmpjwmnmh009kw2rwj2j8bpe8</t>
  </si>
  <si>
    <t>cmpjwmnmo009lw2rwt9ufgh1m</t>
  </si>
  <si>
    <t>cmpjwmnmu009mw2rwbwm6vo7z</t>
  </si>
  <si>
    <t>cmpjwmnmy009nw2rwbk8ottp1</t>
  </si>
  <si>
    <t>cmpjwmnnb009ow2rwj0101aoq</t>
  </si>
  <si>
    <t>cmpjwmnnm009pw2rw1nv7jofo</t>
  </si>
  <si>
    <t>cmpjwmnnq009qw2rwrtwpkbl9</t>
  </si>
  <si>
    <t>cmpjwmnny009rw2rwd21e4m3m</t>
  </si>
  <si>
    <t>cmpjwmnoh009sw2rw040v0hwv</t>
  </si>
  <si>
    <t>cmpjwmnop009tw2rw2c493y9l</t>
  </si>
  <si>
    <t>cmpjwmnov009uw2rw96imfxwf</t>
  </si>
  <si>
    <t>cmpjwmnp2009vw2rwh7ecs0pa</t>
  </si>
  <si>
    <t>cmpjwmnp7009ww2rwtr1w6ehj</t>
  </si>
  <si>
    <t>cmpjwmnpd009xw2rwv0mjdh7j</t>
  </si>
  <si>
    <t>cmpjwmnpp009yw2rw1g9waqne</t>
  </si>
  <si>
    <t>cmpjwmnq0009zw2rw44s5yd0z</t>
  </si>
  <si>
    <t>cmpjwmnq400a0w2rwe98ib570</t>
  </si>
  <si>
    <t>cmpjwmnqc00a1w2rwr3290ijr</t>
  </si>
  <si>
    <t>cmpjwmnqu00a2w2rwl9jrr84p</t>
  </si>
  <si>
    <t>cmpjwmnr500a3w2rwdp9yfrsv</t>
  </si>
  <si>
    <t>cmpjwmnrf00a4w2rwf1s4n8ta</t>
  </si>
  <si>
    <t>cmpjwmnrm00a5w2rwiiaztbk3</t>
  </si>
  <si>
    <t>cmpjwmnrs00a6w2rwzcxwjuyf</t>
  </si>
  <si>
    <t>cmpjwmnry00a7w2rwcnygbq64</t>
  </si>
  <si>
    <t>cmpjwmns900a8w2rw0acy3mdz</t>
  </si>
  <si>
    <t>cmpjwmnsj00a9w2rw1lvxec21</t>
  </si>
  <si>
    <t>cmpjwmnso00aaw2rwnn977fa7</t>
  </si>
  <si>
    <t>cmpjwmnsw00abw2rwwlpplyvw</t>
  </si>
  <si>
    <t>cmpjwmnto00acw2rw43ebpkid</t>
  </si>
  <si>
    <t>cmpjwmnu000adw2rw5u6da9h5</t>
  </si>
  <si>
    <t>cmpjwmnu500aew2rwdh0mw760</t>
  </si>
  <si>
    <t>cmpjwmnub00afw2rwyu6i9jxw</t>
  </si>
  <si>
    <t>cmpjwmnuh00agw2rwc8jydiyn</t>
  </si>
  <si>
    <t>cmpjwmnun00ahw2rw5aqpb9he</t>
  </si>
  <si>
    <t>cmpjwmnv100aiw2rw84s15vp1</t>
  </si>
  <si>
    <t>cmpjwmnve00ajw2rwdrs3bvl1</t>
  </si>
  <si>
    <t>cmpjwmnvh00akw2rw6t1bs8hl</t>
  </si>
  <si>
    <t>cmpjwmnvp00alw2rwcw8p71jn</t>
  </si>
  <si>
    <t>cmpjwmnw400amw2rwykr4wdf8</t>
  </si>
  <si>
    <t>cmpjwmnwb00anw2rwa2ybt202</t>
  </si>
  <si>
    <t>cmpjwmnwf00aow2rwmi8ozkhj</t>
  </si>
  <si>
    <t>cmpjwmnwk00apw2rwq2ckkns0</t>
  </si>
  <si>
    <t>cmpjwmnwq00aqw2rw4gcub044</t>
  </si>
  <si>
    <t>cmpjwmnwv00arw2rwr49g7dbm</t>
  </si>
  <si>
    <t>cmpjwmnx700asw2rwuz3g9n1g</t>
  </si>
  <si>
    <t>cmpjwmnxk00atw2rwnpwizbn7</t>
  </si>
  <si>
    <t>cmpjwmnxp00auw2rwzy91o3s6</t>
  </si>
  <si>
    <t>cmpjwmnxx00avw2rwpk3qrs20</t>
  </si>
  <si>
    <t>cmpjwmnyd00aww2rwvgup7sc4</t>
  </si>
  <si>
    <t>cmpjwmnyo00axw2rwors7dehp</t>
  </si>
  <si>
    <t>cmpjwmnyt00ayw2rwtg4sdn4a</t>
  </si>
  <si>
    <t>cmpjwmnz000azw2rw39mkba8z</t>
  </si>
  <si>
    <t>cmpjwmnz700b0w2rwggcd4hqe</t>
  </si>
  <si>
    <t>cmpjwmnzc00b1w2rw36995zw5</t>
  </si>
  <si>
    <t>cmpjwmnzp00b2w2rw014uebp5</t>
  </si>
  <si>
    <t>cmpjwmo0000b3w2rw4y6d92c1</t>
  </si>
  <si>
    <t>cmpjwmo0400b4w2rw01kh7ph9</t>
  </si>
  <si>
    <t>cmpjwmo0c00b5w2rw5zcwjlyk</t>
  </si>
  <si>
    <t>3.35</t>
  </si>
  <si>
    <t>11.14</t>
  </si>
  <si>
    <t>5.56</t>
  </si>
  <si>
    <t>5</t>
  </si>
  <si>
    <t>requisição</t>
  </si>
  <si>
    <t>cmpjx8zl300b6w2rwdeqa0p1m</t>
  </si>
  <si>
    <t>cmpjx8zlb00b7w2rw222yci5x</t>
  </si>
  <si>
    <t>cmpjx8zlh00b8w2rwc2hjw2ah</t>
  </si>
  <si>
    <t>cmpjx8zlo00b9w2rwrnnbt027</t>
  </si>
  <si>
    <t>cmpjx8zlz00baw2rw7w7300wq</t>
  </si>
  <si>
    <t>6.34</t>
  </si>
  <si>
    <t>cmpjx8zm600bbw2rwz9z7cgat</t>
  </si>
  <si>
    <t>cmpjx8zmm00bcw2rwkx9qjgmr</t>
  </si>
  <si>
    <t>14</t>
  </si>
  <si>
    <t>cmpjx8zmz00bdw2rwuuxdgq97</t>
  </si>
  <si>
    <t>cmpjx8zn400bew2rw7nwobzqb</t>
  </si>
  <si>
    <t>cmpjx8znd00bfw2rw33km2qiu</t>
  </si>
  <si>
    <t>cmpjx8znx00bgw2rwfce9pjee</t>
  </si>
  <si>
    <t>cmpjx8zo700bhw2rwqsr5z6mu</t>
  </si>
  <si>
    <t>cmpjx8zoe00biw2rw4lajyzi8</t>
  </si>
  <si>
    <t>cmpjx8zok00bjw2rwm6rq11oe</t>
  </si>
  <si>
    <t>cmpjx8zor00bkw2rw5mfhlhm9</t>
  </si>
  <si>
    <t>cmpjx8zow00blw2rw0px9v5jt</t>
  </si>
  <si>
    <t>cmpjx8zpb00bmw2rwmomjt9mi</t>
  </si>
  <si>
    <t>cmpjx8zpm00bnw2rwwqkqixo6</t>
  </si>
  <si>
    <t>cmpjx8zpr00bow2rwyj6mv6te</t>
  </si>
  <si>
    <t>cmpjx8zq200bpw2rw5w4i2dk6</t>
  </si>
  <si>
    <t>cmpjx8zqh00bqw2rwm922689q</t>
  </si>
  <si>
    <t>cmpjx8zr200brw2rwfxuh83bo</t>
  </si>
  <si>
    <t>cmpjx8zr600bsw2rw1igglg5e</t>
  </si>
  <si>
    <t>cmpjx8zre00btw2rwvoalfv5i</t>
  </si>
  <si>
    <t>cmpjx8zri00buw2rwi5mqz0g5</t>
  </si>
  <si>
    <t>cmpjx8zrr00bvw2rw436ychea</t>
  </si>
  <si>
    <t>cmpjx8zru00bww2rwo2gs4s2t</t>
  </si>
  <si>
    <t>cmpjx8zs100bxw2rwnkifbe9v</t>
  </si>
  <si>
    <t>cmpjx8zs400byw2rw8u9gollu</t>
  </si>
  <si>
    <t>cmpjx8zsb00bzw2rwhc4vx28i</t>
  </si>
  <si>
    <t>cmpjx8zsf00c0w2rw6joomdwm</t>
  </si>
  <si>
    <t>cmpjx8zso00c1w2rwaeh8kzh7</t>
  </si>
  <si>
    <t>cmpjx8zt000c2w2rwayx84fwa</t>
  </si>
  <si>
    <t>cmpjx8zt400c3w2rwd8boovte</t>
  </si>
  <si>
    <t>cmpjx8ztb00c4w2rwogbm9jrd</t>
  </si>
  <si>
    <t>/api/v1/pecas/ID_NAO_ENCONTRADO</t>
  </si>
  <si>
    <t>cmpjx8ztg00c5w2rwlg72h3ow</t>
  </si>
  <si>
    <t>cmpjx8ztl00c6w2rwa0znvoz7</t>
  </si>
  <si>
    <t>cmpjx8ztp00c7w2rw9dfn7db4</t>
  </si>
  <si>
    <t>cmpjx8ztt00c8w2rwehfiwe9m</t>
  </si>
  <si>
    <t>cmpjx8zud00c9w2rwlj37nqrh</t>
  </si>
  <si>
    <t>cmpjx8zuf00caw2rwx9tm8wf9</t>
  </si>
  <si>
    <t>cmpjx8zuu00cbw2rw7abqqyr7</t>
  </si>
  <si>
    <t>cmpjx8zv900ccw2rwh7yq6m7d</t>
  </si>
  <si>
    <t>cmpjx8zvd00cdw2rw2vr02gdn</t>
  </si>
  <si>
    <t>cmpjx8zvp00cew2rwq2xu4hoj</t>
  </si>
  <si>
    <t>cmpjx8zvw00cfw2rwkrvu1nva</t>
  </si>
  <si>
    <t>cmpjx8zwc00cgw2rw2vi8pzts</t>
  </si>
  <si>
    <t>cmpjx8zwj00chw2rwevr3pmsg</t>
  </si>
  <si>
    <t>cmpjx8zwr00ciw2rw11leky95</t>
  </si>
  <si>
    <t>cmpjx8zx100cjw2rwarr125bt</t>
  </si>
  <si>
    <t>cmpjx8zx600ckw2rwzfe9bw6i</t>
  </si>
  <si>
    <t>cmpjx8zxa00clw2rwl54il7sl</t>
  </si>
  <si>
    <t>cmpjx8zxg00cmw2rwqz521wo8</t>
  </si>
  <si>
    <t>cmpjx8zxj00cnw2rw5oq7mts3</t>
  </si>
  <si>
    <t>cmpjx8zxo00cow2rw0rxso9mf</t>
  </si>
  <si>
    <t>cmpjx8zxr00cpw2rwg9ip4ikb</t>
  </si>
  <si>
    <t>cmpjx8zxt00cqw2rwwm3fow4x</t>
  </si>
  <si>
    <t>cmpjx8zxy00crw2rwv0y4z167</t>
  </si>
  <si>
    <t>cmpjx8zy400csw2rwpfb07n4h</t>
  </si>
  <si>
    <t>cmpjx8zy600ctw2rwr0j7tvc2</t>
  </si>
  <si>
    <t>11.29</t>
  </si>
  <si>
    <t>cmpjx8zy900cuw2rw22h2sfit</t>
  </si>
  <si>
    <t>cmpjx8zyh00cvw2rwibvio093</t>
  </si>
  <si>
    <t>cmpjx8zyk00cww2rwct5k56x1</t>
  </si>
  <si>
    <t>cmpjx8zyl00cxw2rwvx50a9dl</t>
  </si>
  <si>
    <t>/api/v1/pecas/22</t>
  </si>
  <si>
    <t>cmpjx8zyq00cyw2rw4m6x9z43</t>
  </si>
  <si>
    <t>cmpjx8zyt00czw2rwlt5rw9mv</t>
  </si>
  <si>
    <t>cmpjx8zz000d0w2rwin295g10</t>
  </si>
  <si>
    <t>/api/v1/pecas/23</t>
  </si>
  <si>
    <t>cmpjx8zz700d1w2rwm48se7zi</t>
  </si>
  <si>
    <t>cmpjx8zze00d2w2rwu7f9lawv</t>
  </si>
  <si>
    <t>cmpjx8zzp00d3w2rworls6hwu</t>
  </si>
  <si>
    <t>cmpjx8zzx00d4w2rw68u6i8kn</t>
  </si>
  <si>
    <t>cmpjx900100d5w2rwqqdxgxhu</t>
  </si>
  <si>
    <t>cmpjx900b00d6w2rwjiplljsk</t>
  </si>
  <si>
    <t>cmpjx900f00d7w2rw8xavg6w1</t>
  </si>
  <si>
    <t>cmpjx900x00d8w2rw4es414j1</t>
  </si>
  <si>
    <t>cmpjx901400d9w2rwpz09e0mg</t>
  </si>
  <si>
    <t>cmpjx901800daw2rw1i0azr5x</t>
  </si>
  <si>
    <t>cmpjx901f00dbw2rwyt2kh55n</t>
  </si>
  <si>
    <t>cmpjx901i00dcw2rwbnybvaqc</t>
  </si>
  <si>
    <t>cmpjx901k00ddw2rwf3pl1q4b</t>
  </si>
  <si>
    <t>8.93</t>
  </si>
  <si>
    <t>cmpjx902000dew2rwwxz82284</t>
  </si>
  <si>
    <t>23</t>
  </si>
  <si>
    <t>cmpjx902200dfw2rwosnru4wo</t>
  </si>
  <si>
    <t>cmpjx902500dgw2rw2c2r4q97</t>
  </si>
  <si>
    <t>cmpjx902800dhw2rwkkxbqvc5</t>
  </si>
  <si>
    <t>cmpjx902g00diw2rw40y04x8y</t>
  </si>
  <si>
    <t>cmpjx902i00djw2rw8sodhsxy</t>
  </si>
  <si>
    <t>cmpjx902l00dkw2rwgy9a275g</t>
  </si>
  <si>
    <t>cmpjx902o00dlw2rw0vrev3q4</t>
  </si>
  <si>
    <t>cmpjx902v00dmw2rw3l39xv3j</t>
  </si>
  <si>
    <t>cmpjx902x00dnw2rwxnu8i08m</t>
  </si>
  <si>
    <t>cmpjx903400dow2rwbjtj2i9b</t>
  </si>
  <si>
    <t>cmpjx903500dpw2rww6yv99ah</t>
  </si>
  <si>
    <t>cmpjx903700dqw2rw1u1xui35</t>
  </si>
  <si>
    <t>cmpjx903d00drw2rw68m6wii1</t>
  </si>
  <si>
    <t>cmpjx903k00dsw2rwnykphtfa</t>
  </si>
  <si>
    <t>cmpjx903n00dtw2rwnajy55sq</t>
  </si>
  <si>
    <t>5.32</t>
  </si>
  <si>
    <t>cmpjx903t00duw2rwhz8p9iix</t>
  </si>
  <si>
    <t>cmpjx903v00dvw2rwnji1vzmh</t>
  </si>
  <si>
    <t>cmpjx903x00dww2rwi6owdqbu</t>
  </si>
  <si>
    <t>cmpjx903z00dxw2rwyjpbqmq0</t>
  </si>
  <si>
    <t>8.74</t>
  </si>
  <si>
    <t>cmpjx904900dyw2rwt7317eoy</t>
  </si>
  <si>
    <t>cmpjx904e00dzw2rwb59m10ma</t>
  </si>
  <si>
    <t>cmpjx904j00e0w2rwrjajnqwu</t>
  </si>
  <si>
    <t>cmpjx904m00e1w2rwow3vnnzr</t>
  </si>
  <si>
    <t>cmpjx904z00e2w2rw77dxizg0</t>
  </si>
  <si>
    <t>cmpjx905a00e3w2rwueeok1us</t>
  </si>
  <si>
    <t>cmpjx905c00e4w2rwrz1crbfx</t>
  </si>
  <si>
    <t>cmpjx905t00e5w2rwxwascedd</t>
  </si>
  <si>
    <t>cmpjx905v00e6w2rwwnp2ghja</t>
  </si>
  <si>
    <t>cmpjx905y00e7w2rw942imdl9</t>
  </si>
  <si>
    <t>cmpjx906600e8w2rwncosckf0</t>
  </si>
  <si>
    <t>cmpjx906a00e9w2rw35t4sig5</t>
  </si>
  <si>
    <t>cmpjx906g00eaw2rwh18fznu7</t>
  </si>
  <si>
    <t>cmpjx906p00ebw2rwrk5wmgpa</t>
  </si>
  <si>
    <t>cmpjx907100ecw2rwx9uy9wso</t>
  </si>
  <si>
    <t>cmpjx907a00edw2rwgiv2fn50</t>
  </si>
  <si>
    <t>cmpjx907d00eew2rw78m9nweb</t>
  </si>
  <si>
    <t>cmpjx907o00efw2rwyeha3hft</t>
  </si>
  <si>
    <t>cmpjx907r00egw2rwh6y3dnso</t>
  </si>
  <si>
    <t>cmpjx907v00ehw2rw79pc28o7</t>
  </si>
  <si>
    <t>cmpjx907x00eiw2rw4rbbt858</t>
  </si>
  <si>
    <t>cmpjx908b00ejw2rw0h244xlz</t>
  </si>
  <si>
    <t>cmpjx908l00ekw2rw4rtx3d99</t>
  </si>
  <si>
    <t>cmpjx908n00elw2rwi0jk0sxd</t>
  </si>
  <si>
    <t>cmpjx908o00emw2rw1rx09ds0</t>
  </si>
  <si>
    <t>cmpjx908v00enw2rwtzjq972r</t>
  </si>
  <si>
    <t>cmpjx909200eow2rw823e73rb</t>
  </si>
  <si>
    <t>cmpjx909400epw2rwrlbk7cxu</t>
  </si>
  <si>
    <t>cmpjx909600eqw2rw3487jue3</t>
  </si>
  <si>
    <t>cmpjx909800erw2rwg8s11d3z</t>
  </si>
  <si>
    <t>cmpjx909d00esw2rwat0vgyin</t>
  </si>
  <si>
    <t>cmpjx909f00etw2rwn1o1u6yb</t>
  </si>
  <si>
    <t>cmpjx909h00euw2rwwiutb0ll</t>
  </si>
  <si>
    <t>cmpjx909j00evw2rwjesmek6c</t>
  </si>
  <si>
    <t>cmpjx909n00eww2rwvv8twxhb</t>
  </si>
  <si>
    <t>cmpjx909q00exw2rwpi3zgll0</t>
  </si>
  <si>
    <t>cmpjx909s00eyw2rwxc30ltbx</t>
  </si>
  <si>
    <t>cmpjx909v00ezw2rw3c1gxl3f</t>
  </si>
  <si>
    <t>cmpjx90a200f0w2rwr3jvsefx</t>
  </si>
  <si>
    <t>cmpjx90a300f1w2rwk0s97lbp</t>
  </si>
  <si>
    <t>cmpjx90a500f2w2rwg51mqlb9</t>
  </si>
  <si>
    <t>cmpjx90a900f3w2rwm5fpxl3i</t>
  </si>
  <si>
    <t>cmpjx90ae00f4w2rw2elyrgll</t>
  </si>
  <si>
    <t>cmpjx90ah00f5w2rw86twpvgz</t>
  </si>
  <si>
    <t>cmpjx90al00f6w2rwcengsxc0</t>
  </si>
  <si>
    <t>cmpjx90aq00f7w2rw2lacz9qm</t>
  </si>
  <si>
    <t>cmpjx90as00f8w2rw49dt01ny</t>
  </si>
  <si>
    <t>cmpjx90ay00f9w2rwebxh2l88</t>
  </si>
  <si>
    <t>cmpjx90b000faw2rwtcoknnlr</t>
  </si>
  <si>
    <t>cmpjx90b200fbw2rwyizhn7so</t>
  </si>
  <si>
    <t>cmpjx90b500fcw2rw8yx1cwts</t>
  </si>
  <si>
    <t>cmpjx90b900fdw2rwcr6n9120</t>
  </si>
  <si>
    <t>cmpjx90be00few2rw7hy3t36c</t>
  </si>
  <si>
    <t>cmpjx90bi00ffw2rwufw4oyag</t>
  </si>
  <si>
    <t>cmpjx90bp00fgw2rw967jaw3m</t>
  </si>
  <si>
    <t>cmpjx90bu00fhw2rwiuzeloz9</t>
  </si>
  <si>
    <t>cmpjx90c000fiw2rw86533xtj</t>
  </si>
  <si>
    <t>cmpjx90c700fjw2rw770kq3wq</t>
  </si>
  <si>
    <t>cmpjx90c800fkw2rwjwc6town</t>
  </si>
  <si>
    <t>/api/v1/pecas/24</t>
  </si>
  <si>
    <t>cmpjx90ce00flw2rw80nprlhi</t>
  </si>
  <si>
    <t>cmpjx90ch00fmw2rwg6wvn189</t>
  </si>
  <si>
    <t>cmpjx90cn00fnw2rw1ocycpgs</t>
  </si>
  <si>
    <t>cmpjx90cp00fow2rw5nx9ikp6</t>
  </si>
  <si>
    <t>cmpjx90cw00fpw2rw4nn0fmaq</t>
  </si>
  <si>
    <t>cmpjx90d600fqw2rwoae9wbbh</t>
  </si>
  <si>
    <t>cmpjx90dh00frw2rwzpz33wuu</t>
  </si>
  <si>
    <t>cmpjx90dk00fsw2rwob61fb2r</t>
  </si>
  <si>
    <t>cmpjx90dn00ftw2rw2kaook3b</t>
  </si>
  <si>
    <t>cmpjx90dq00fuw2rwi6456hk0</t>
  </si>
  <si>
    <t>cmpjx90du00fvw2rwlyc77nxw</t>
  </si>
  <si>
    <t>cmpjx90dy00fww2rwk68srl7z</t>
  </si>
  <si>
    <t>cmpjx90e000fxw2rw6fk717i4</t>
  </si>
  <si>
    <t>7.1</t>
  </si>
  <si>
    <t>cmpjx90e600fyw2rw393f5uoj</t>
  </si>
  <si>
    <t>cmpjx90e700fzw2rw88u0erau</t>
  </si>
  <si>
    <t>cmpjx90eg00g0w2rwzq4ivvvf</t>
  </si>
  <si>
    <t>cmpjx90ej00g1w2rw1x1i889c</t>
  </si>
  <si>
    <t>11.04</t>
  </si>
  <si>
    <t>cmpjx90el00g2w2rwx3131usm</t>
  </si>
  <si>
    <t>cmpjx90en00g3w2rwhw7rkh3k</t>
  </si>
  <si>
    <t>cmpjx90er00g4w2rw2xcd8nbq</t>
  </si>
  <si>
    <t>cmpjx90ev00g5w2rwvclblx5v</t>
  </si>
  <si>
    <t>cmpjx90ey00g6w2rwwph9ctn0</t>
  </si>
  <si>
    <t>cmpjx90f000g7w2rwi4gn8o21</t>
  </si>
  <si>
    <t>cmpjx90f400g8w2rwpief88h8</t>
  </si>
  <si>
    <t>cmpjx90f900g9w2rw6xkotdei</t>
  </si>
  <si>
    <t>cmpjx90fd00gaw2rwfzbgkuy4</t>
  </si>
  <si>
    <t>cmpjx90ff00gbw2rwjlhoxol3</t>
  </si>
  <si>
    <t>cmpjx90fi00gcw2rwwuw25ziz</t>
  </si>
  <si>
    <t>cmpjx90fm00gdw2rwg6hpi681</t>
  </si>
  <si>
    <t>cmpjx90ft00gew2rw84jyauk7</t>
  </si>
  <si>
    <t>cmpjx90fx00gfw2rwc7ujkm5j</t>
  </si>
  <si>
    <t>cmpjx90g400ggw2rw019fgqki</t>
  </si>
  <si>
    <t>cmpjx90g800ghw2rwdpxvbusp</t>
  </si>
  <si>
    <t>cmpjx90ga00giw2rwxncjby43</t>
  </si>
  <si>
    <t>cmpjx90ge00gjw2rwzlimc35o</t>
  </si>
  <si>
    <t>cmpjx90gk00gkw2rw62s5iets</t>
  </si>
  <si>
    <t>cmpjx90gm00glw2rweu60ghog</t>
  </si>
  <si>
    <t>cmpjx90gp00gmw2rw5ikj7pvd</t>
  </si>
  <si>
    <t>cmpjx90gs00gnw2rwj527yjgl</t>
  </si>
  <si>
    <t>cmpjx90gw00gow2rw272ia707</t>
  </si>
  <si>
    <t>cmpjx90gy00gpw2rwi3p5zhk6</t>
  </si>
  <si>
    <t>cmpjx90gz00gqw2rwfgcygzi1</t>
  </si>
  <si>
    <t>cmpjx90h900grw2rwa5nbdu11</t>
  </si>
  <si>
    <t>cmpjx90ha00gsw2rwhb4ope11</t>
  </si>
  <si>
    <t>cmpjx90hi00gtw2rwlzuubvwx</t>
  </si>
  <si>
    <t>cmpjx90ho00guw2rw4ulocxas</t>
  </si>
  <si>
    <t>cmpjx90hs00gvw2rwy94v5u5n</t>
  </si>
  <si>
    <t>cmpjx90hv00gww2rwcuu403c1</t>
  </si>
  <si>
    <t>cmpjx90i000gxw2rwbkltrn62</t>
  </si>
  <si>
    <t>cmpjx90i800gyw2rw6lnss1j6</t>
  </si>
  <si>
    <t>cmpjx90in00gzw2rwstwnyui5</t>
  </si>
  <si>
    <t>cmpjx90j100h0w2rwo73zyhgh</t>
  </si>
  <si>
    <t>cmpjx90jc00h1w2rwtgqlgmk5</t>
  </si>
  <si>
    <t>cmpjx90jf00h2w2rw5moauupi</t>
  </si>
  <si>
    <t>cmpjx90jp00h3w2rwq38vl4fy</t>
  </si>
  <si>
    <t>cmpjx90js00h4w2rw4pyuavzv</t>
  </si>
  <si>
    <t>cmpjx90jz00h5w2rw7diuf49k</t>
  </si>
  <si>
    <t>cmpjx90k500h6w2rw7kd5h0uy</t>
  </si>
  <si>
    <t>cmpjx90k800h7w2rw0qz8f74s</t>
  </si>
  <si>
    <t>cmpjx90kb00h8w2rw1l3ha85u</t>
  </si>
  <si>
    <t>cmpjx90ke00h9w2rwot20rzgk</t>
  </si>
  <si>
    <t>cmpjx90ki00haw2rwkbdx6a1n</t>
  </si>
  <si>
    <t>cmpjx90kq00hbw2rwl8hftllb</t>
  </si>
  <si>
    <t>cmpjx90ku00hcw2rwookyid9u</t>
  </si>
  <si>
    <t>9.47</t>
  </si>
  <si>
    <t>cmpjx90kx00hdw2rwrfykelld</t>
  </si>
  <si>
    <t>cmpjx90l500hew2rw72hvnh1h</t>
  </si>
  <si>
    <t>cmpjx90lh00hfw2rwdgrfhj59</t>
  </si>
  <si>
    <t>cmpjx90lj00hgw2rw7weg86uc</t>
  </si>
  <si>
    <t>cmpjx90lm00hhw2rwnpmiosum</t>
  </si>
  <si>
    <t>cmpjx90lp00hiw2rwcnmbwdww</t>
  </si>
  <si>
    <t>cmpjx90ls00hjw2rw3e1lwyjn</t>
  </si>
  <si>
    <t>cmpjx90m200hkw2rwchn5lo8w</t>
  </si>
  <si>
    <t>cmpjx90m500hlw2rwabjw9sew</t>
  </si>
  <si>
    <t>cmpjx90m800hmw2rwylgekpih</t>
  </si>
  <si>
    <t>cmpjx90mb00hnw2rwbf3wh351</t>
  </si>
  <si>
    <t>cmpjx90mh00how2rw8a8fijd5</t>
  </si>
  <si>
    <t>cmpjx90mj00hpw2rw09ukfgks</t>
  </si>
  <si>
    <t>cmpjx90mm00hqw2rwnbx577x5</t>
  </si>
  <si>
    <t>cmpjx90mp00hrw2rw1o4k5u9s</t>
  </si>
  <si>
    <t>cmpjx90mz00hsw2rwuo4lo3c3</t>
  </si>
  <si>
    <t>cmpjx90n100htw2rwyl74o3q2</t>
  </si>
  <si>
    <t>cmpjx90n700huw2rwnbk2ei5t</t>
  </si>
  <si>
    <t>cmpjx90n900hvw2rwqihlicaj</t>
  </si>
  <si>
    <t>cmpjx90nd00hww2rw3jk8uss2</t>
  </si>
  <si>
    <t>cmpjx90ng00hxw2rw7j8vjlr9</t>
  </si>
  <si>
    <t>cmpjx90nl00hyw2rw4s0li459</t>
  </si>
  <si>
    <t>9.21</t>
  </si>
  <si>
    <t>cmpjx90no00hzw2rwcsody61s</t>
  </si>
  <si>
    <t>cmpjx90ns00i0w2rwxb7qxvvy</t>
  </si>
  <si>
    <t>cmpjx90ny00i1w2rw42evjn10</t>
  </si>
  <si>
    <t>cmpjx90o700i2w2rwzl1adxe0</t>
  </si>
  <si>
    <t>11.18</t>
  </si>
  <si>
    <t>cmpjx90oa00i3w2rw6f9vkn59</t>
  </si>
  <si>
    <t>cmpjx90of00i4w2rwulsf9yjt</t>
  </si>
  <si>
    <t>cmpjx90om00i5w2rw19xhd7g7</t>
  </si>
  <si>
    <t>cmpjx90os00i6w2rwtm0m6m6u</t>
  </si>
  <si>
    <t>cmpjx90oy00i7w2rwf0rgcsxg</t>
  </si>
  <si>
    <t>cmpjx90p100i8w2rwbm9uyzzf</t>
  </si>
  <si>
    <t>cmpjx90pk00i9w2rwyl52k9oe</t>
  </si>
  <si>
    <t>cmpjx90pv00iaw2rwhnfwe0oe</t>
  </si>
  <si>
    <t>cmpjx90q500ibw2rwudh1khhx</t>
  </si>
  <si>
    <t>cmpjx90qc00icw2rwn22hlbn4</t>
  </si>
  <si>
    <t>cmpjx90qj00idw2rw0tfasmph</t>
  </si>
  <si>
    <t>cmpjx90qn00iew2rwvpj1sn8n</t>
  </si>
  <si>
    <t>cmpjx90qu00ifw2rwvqwvirct</t>
  </si>
  <si>
    <t>cmpjx90r200igw2rw03bbsw83</t>
  </si>
  <si>
    <t>cmpjx90r700ihw2rwk4t8lpmu</t>
  </si>
  <si>
    <t>cmpjx90r900iiw2rwhmosgvg7</t>
  </si>
  <si>
    <t>cmpjx90rb00ijw2rw6tg1eunb</t>
  </si>
  <si>
    <t>cmpjx90rf00ikw2rwpc3xx08b</t>
  </si>
  <si>
    <t>cmpjx90rj00ilw2rw7d2qcofr</t>
  </si>
  <si>
    <t>cmpjx90rk00imw2rwma2y81fu</t>
  </si>
  <si>
    <t>cmpjx90rm00inw2rwxccaweyq</t>
  </si>
  <si>
    <t>cmpjx90ro00iow2rwic1jmddq</t>
  </si>
  <si>
    <t>cmpjx90rq00ipw2rwnubnxwtd</t>
  </si>
  <si>
    <t>cmpjx90s100iqw2rw87dnz06b</t>
  </si>
  <si>
    <t>cmpjx90s300irw2rw7fm0bt3i</t>
  </si>
  <si>
    <t>cmpjx90s500isw2rwel5ej0fp</t>
  </si>
  <si>
    <t>cmpjx90sb00itw2rwlzhpcqgz</t>
  </si>
  <si>
    <t>cmpjx90sd00iuw2rw79v2ee6r</t>
  </si>
  <si>
    <t>cmpjx90si00ivw2rwt965oakf</t>
  </si>
  <si>
    <t>cmpjx90sl00iww2rwahfcqdqu</t>
  </si>
  <si>
    <t>cmpjx90sn00ixw2rwdfc3x6mi</t>
  </si>
  <si>
    <t>cmpjx90sp00iyw2rwx52rdhk6</t>
  </si>
  <si>
    <t>cmpjx90st00izw2rwr2olupre</t>
  </si>
  <si>
    <t>12.17</t>
  </si>
  <si>
    <t>cmpjx90sy00j0w2rwfo82v6zt</t>
  </si>
  <si>
    <t>cmpjx90t100j1w2rwl09co9j0</t>
  </si>
  <si>
    <t>cmpjx90t400j2w2rw37vlo6x3</t>
  </si>
  <si>
    <t>cmpjx90t600j3w2rwdh4eibje</t>
  </si>
  <si>
    <t>cmpjx90td00j4w2rwu08jlbwi</t>
  </si>
  <si>
    <t>cmpjx90tg00j5w2rwvytpos8r</t>
  </si>
  <si>
    <t>cmpjx90tk00j6w2rwjdvmc19r</t>
  </si>
  <si>
    <t>cmpjx90tr00j7w2rwai1dtx5l</t>
  </si>
  <si>
    <t>cmpjx90tu00j8w2rw7kilt59t</t>
  </si>
  <si>
    <t>cmpjx90tw00j9w2rwfeiwvt7p</t>
  </si>
  <si>
    <t>cmpjx90tz00jaw2rw7x9lcljz</t>
  </si>
  <si>
    <t>cmpjx90u300jbw2rw78yo1u22</t>
  </si>
  <si>
    <t>cmpjx90ua00jcw2rwrjpkpzq8</t>
  </si>
  <si>
    <t>cmpjx90ud00jdw2rw7ix2wabj</t>
  </si>
  <si>
    <t>cmpjx90ue00jew2rwve79n8bd</t>
  </si>
  <si>
    <t>cmpjx90ug00jfw2rw5dmer3r3</t>
  </si>
  <si>
    <t>cmpjx90ul00jgw2rwfzbttan0</t>
  </si>
  <si>
    <t>cmpjx90uq00jhw2rw8gmwplsp</t>
  </si>
  <si>
    <t>cmpjx90ut00jiw2rwaco0t0g2</t>
  </si>
  <si>
    <t>cmpjx90uw00jjw2rwxql4ztad</t>
  </si>
  <si>
    <t>cmpjx90v200jkw2rwk4jdvov2</t>
  </si>
  <si>
    <t>cmpjx90v500jlw2rwfxo02usr</t>
  </si>
  <si>
    <t>cmpjx90v800jmw2rwmiq7v5q5</t>
  </si>
  <si>
    <t>cmpjx90vb00jnw2rwalcnqdbc</t>
  </si>
  <si>
    <t>cmpjx90vu00jow2rwzz3lwizr</t>
  </si>
  <si>
    <t>cmpjx90w600jpw2rwif9s1u4v</t>
  </si>
  <si>
    <t>cmpjx90wl00jqw2rwnwjyrn4s</t>
  </si>
  <si>
    <t>cmpjx90wt00jrw2rw50b8bci8</t>
  </si>
  <si>
    <t>cmpjx90ww00jsw2rwtoczdwb4</t>
  </si>
  <si>
    <t>cmpjx90x000jtw2rwzme9apgx</t>
  </si>
  <si>
    <t>cmpjx90xi00juw2rwmpzfs9xs</t>
  </si>
  <si>
    <t>cmpjx90xr00jvw2rwr3ajxrbu</t>
  </si>
  <si>
    <t>cmpjx90xu00jww2rwhsgplati</t>
  </si>
  <si>
    <t>cmpjx90xx00jxw2rwrtb59nmm</t>
  </si>
  <si>
    <t>cmpjx90y100jyw2rwyixg2w4l</t>
  </si>
  <si>
    <t>cmpjx90yb00jzw2rw2g2ujvtt</t>
  </si>
  <si>
    <t>cmpjx90ye00k0w2rwnihud54n</t>
  </si>
  <si>
    <t>cmpjx90yh00k1w2rw85rkha3a</t>
  </si>
  <si>
    <t>cmpjx90yj00k2w2rwp47qhrbq</t>
  </si>
  <si>
    <t>cmpjx90yl00k3w2rwu7xnuvnt</t>
  </si>
  <si>
    <t>cmpjx90yq00k4w2rw0km1gb9f</t>
  </si>
  <si>
    <t>cmpjx90ys00k5w2rwsv4bm0iy</t>
  </si>
  <si>
    <t>cmpjx90z500k6w2rw38u7xgc9</t>
  </si>
  <si>
    <t>cmpjx90zc00k7w2rwov0pw52c</t>
  </si>
  <si>
    <t>cmpjx910600k8w2rwrj5tjg39</t>
  </si>
  <si>
    <t>cmpjx910d00k9w2rweunbyh8d</t>
  </si>
  <si>
    <t>cmpjx910g00kaw2rwdqyulyvd</t>
  </si>
  <si>
    <t>cmpjx910n00kbw2rw8n139f5v</t>
  </si>
  <si>
    <t>cmpjx910q00kcw2rwh7xk2hct</t>
  </si>
  <si>
    <t>cmpjx911000kdw2rw6nposcki</t>
  </si>
  <si>
    <t>cmpjx911300kew2rw0lgu3ewg</t>
  </si>
  <si>
    <t>cmpjx911700kfw2rw1k631cp7</t>
  </si>
  <si>
    <t>cmpjx911b00kgw2rwrqjyuxs3</t>
  </si>
  <si>
    <t>cmpjx911j00khw2rwzq9knlw4</t>
  </si>
  <si>
    <t>cmpjx911l00kiw2rwxjiioar4</t>
  </si>
  <si>
    <t>cmpjx911p00kjw2rwat0y87an</t>
  </si>
  <si>
    <t>cmpjx911s00kkw2rwcx1ejhza</t>
  </si>
  <si>
    <t>cmpjx911y00klw2rw7mho91oq</t>
  </si>
  <si>
    <t>cmpjx912200kmw2rwtaoyu3ig</t>
  </si>
  <si>
    <t>cmpjx912900knw2rwewknxrjt</t>
  </si>
  <si>
    <t>cmpjx912a00kow2rw18nmprpr</t>
  </si>
  <si>
    <t>cmpjx912d00kpw2rwalwc1310</t>
  </si>
  <si>
    <t>cmpjx912e00kqw2rwnrlwcf1z</t>
  </si>
  <si>
    <t>cmpjx912g00krw2rw287auw86</t>
  </si>
  <si>
    <t>cmpjx912i00ksw2rwy17lzsun</t>
  </si>
  <si>
    <t>cmpjx912l00ktw2rwjsq4ogo1</t>
  </si>
  <si>
    <t>cmpjx912n00kuw2rwc4f1iryj</t>
  </si>
  <si>
    <t>cmpjx912r00kvw2rwtstazi8u</t>
  </si>
  <si>
    <t>cmpjx912t00kww2rwtnrvcq1i</t>
  </si>
  <si>
    <t>cmpjx912w00kxw2rwlkzxk6ud</t>
  </si>
  <si>
    <t>cmpjx912z00kyw2rw1f030oio</t>
  </si>
  <si>
    <t>cmpjx913b00kzw2rwa3dbhhd1</t>
  </si>
  <si>
    <t>cmpjx913f00l0w2rw1c8tspku</t>
  </si>
  <si>
    <t>cmpjx913g00l1w2rw4w8ml570</t>
  </si>
  <si>
    <t>cmpjx913m00l2w2rwos2f9zym</t>
  </si>
  <si>
    <t>cmpjx913p00l3w2rwczu1wdn3</t>
  </si>
  <si>
    <t>cmpjx914000l4w2rw8jqjcbri</t>
  </si>
  <si>
    <t>cmpjx914300l5w2rwkxf8imuy</t>
  </si>
  <si>
    <t>cmpjx914500l6w2rwpwhmmtuw</t>
  </si>
  <si>
    <t>cmpjx914g00l7w2rwur6fzqql</t>
  </si>
  <si>
    <t>cmpjx914j00l8w2rwjxflcyzy</t>
  </si>
  <si>
    <t>cmpjx914m00l9w2rwqj6qmbrf</t>
  </si>
  <si>
    <t>cmpjx914n00law2rwedm3cqsz</t>
  </si>
  <si>
    <t>cmpjx914s00lbw2rwhpd9jyz1</t>
  </si>
  <si>
    <t>cmpjx914u00lcw2rwa8ei8zm4</t>
  </si>
  <si>
    <t>cmpjx914w00ldw2rwktlzrf6s</t>
  </si>
  <si>
    <t>cmpjx914y00lew2rwb6ei6wgg</t>
  </si>
  <si>
    <t>cmpjx915100lfw2rwom0ytk7i</t>
  </si>
  <si>
    <t>cmpjx915400lgw2rwiwrgvk4b</t>
  </si>
  <si>
    <t>3.88</t>
  </si>
  <si>
    <t>cmpjx915700lhw2rwu9qdwncr</t>
  </si>
  <si>
    <t>cmpjx915800liw2rw11ii1jxr</t>
  </si>
  <si>
    <t>cmpjx915b00ljw2rwzulkmfku</t>
  </si>
  <si>
    <t>cmpjx915f00lkw2rw8ke9rh7r</t>
  </si>
  <si>
    <t>cmpjx915i00llw2rw7u2d03ib</t>
  </si>
  <si>
    <t>cmpjx915o00lmw2rw315cdrm6</t>
  </si>
  <si>
    <t>cmpjx915u00lnw2rwesbzny31</t>
  </si>
  <si>
    <t>cmpjx915z00low2rw1lclm6dy</t>
  </si>
  <si>
    <t>cmpjx916300lpw2rwt221dtn2</t>
  </si>
  <si>
    <t>cmpjx916400lqw2rwc1qqhurc</t>
  </si>
  <si>
    <t>cmpjx916700lrw2rwtdmsg2w2</t>
  </si>
  <si>
    <t>cmpjx916c00lsw2rw0dd1nqld</t>
  </si>
  <si>
    <t>cmpjx916e00ltw2rw1j7pn2aj</t>
  </si>
  <si>
    <t>cmpjx916i00luw2rwsy72mjn6</t>
  </si>
  <si>
    <t>cmpjx916j00lvw2rwvu9rtx9d</t>
  </si>
  <si>
    <t>cmpjx916l00lww2rwsbpotrgy</t>
  </si>
  <si>
    <t>cmpjx916o00lxw2rwz1m2ce49</t>
  </si>
  <si>
    <t>cmpjx916u00lyw2rwqc1dadtl</t>
  </si>
  <si>
    <t>cmpjx916x00lzw2rwg5xk36q4</t>
  </si>
  <si>
    <t>cmpjx916z00m0w2rwtglkmow8</t>
  </si>
  <si>
    <t>cmpjx917000m1w2rw855pn458</t>
  </si>
  <si>
    <t>cmpjx917a00m2w2rwbwfoobsb</t>
  </si>
  <si>
    <t>cmpjx917c00m3w2rwucmg5q59</t>
  </si>
  <si>
    <t>cmpjx917e00m4w2rwdtncmzk7</t>
  </si>
  <si>
    <t>cmpjx917q00m5w2rw3hrq6cj2</t>
  </si>
  <si>
    <t>cmpjx918600m6w2rwb8odqi5n</t>
  </si>
  <si>
    <t>cmpjx918b00m7w2rwklosz6ye</t>
  </si>
  <si>
    <t>cmpjx918m00m8w2rwjvc7dvv8</t>
  </si>
  <si>
    <t>cmpjx918o00m9w2rw9b6bj9c9</t>
  </si>
  <si>
    <t>cmpjx919000maw2rww10ygkat</t>
  </si>
  <si>
    <t>cmpjx919600mbw2rwshvwf8fo</t>
  </si>
  <si>
    <t>cmpjx919800mcw2rw4z7folk4</t>
  </si>
  <si>
    <t>cmpjx919d00mdw2rwdqjhx71r</t>
  </si>
  <si>
    <t>cmpjx919e00mew2rwypnqapym</t>
  </si>
  <si>
    <t>cmpjx919o00mfw2rws7umi4tf</t>
  </si>
  <si>
    <t>cmpjx919q00mgw2rwsy0fd1j7</t>
  </si>
  <si>
    <t>cmpjx919r00mhw2rw92qrjn29</t>
  </si>
  <si>
    <t>cmpjx919w00miw2rw4eg1ela1</t>
  </si>
  <si>
    <t>cmpjx91a000mjw2rw67z2pqk1</t>
  </si>
  <si>
    <t>cmpjx91a200mkw2rwm9g0ydiz</t>
  </si>
  <si>
    <t>cmpjx91a600mlw2rwoono0p90</t>
  </si>
  <si>
    <t>cmpjx91a900mmw2rwssjz7n8p</t>
  </si>
  <si>
    <t>cmpjx91ak00mnw2rw49wckolk</t>
  </si>
  <si>
    <t>cmpjx91av00mow2rwcrfs3hcj</t>
  </si>
  <si>
    <t>cmpjx91ay00mpw2rw60jbpxal</t>
  </si>
  <si>
    <t>cmpjx91ba00mqw2rwm0qkeqq0</t>
  </si>
  <si>
    <t>cmpjx91bc00mrw2rw5it0d1y4</t>
  </si>
  <si>
    <t>cmpjx91bf00msw2rwpl3i3gvk</t>
  </si>
  <si>
    <t>cmpjx91bj00mtw2rwz4qx1lae</t>
  </si>
  <si>
    <t>cmpjx91bp00muw2rw5rrqmmmo</t>
  </si>
  <si>
    <t>cmpjx91br00mvw2rw4rq0r4ed</t>
  </si>
  <si>
    <t>cmpjx91bu00mww2rw1e4ihdrz</t>
  </si>
  <si>
    <t>cmpjx91bx00mxw2rw6x17cx02</t>
  </si>
  <si>
    <t>cmpjx91c100myw2rwp8ibuy52</t>
  </si>
  <si>
    <t>cmpjx91c700mzw2rw8ankwdlb</t>
  </si>
  <si>
    <t>cmpjx91c900n0w2rwvgtq80mb</t>
  </si>
  <si>
    <t>cmpjx91cb00n1w2rwbmbttqgm</t>
  </si>
  <si>
    <t>cmpjx91ce00n2w2rwjprb14fk</t>
  </si>
  <si>
    <t>cmpjx91cl00n3w2rwa2zwd7mf</t>
  </si>
  <si>
    <t>cmpjx91cn00n4w2rwv4fwy1q1</t>
  </si>
  <si>
    <t>cmpjx91cp00n5w2rwbmece3xi</t>
  </si>
  <si>
    <t>cmpjx91cw00n6w2rwet9ats3b</t>
  </si>
  <si>
    <t>15</t>
  </si>
  <si>
    <t>cmpjx91d500n7w2rwufif13p5</t>
  </si>
  <si>
    <t>cmpjx91dd00n8w2rw1lu53k3n</t>
  </si>
  <si>
    <t>cmpjx91dj00n9w2rwelizskgq</t>
  </si>
  <si>
    <t>cmpjx91do00naw2rw2duymjgb</t>
  </si>
  <si>
    <t>cmpjx91e100nbw2rw3tipu3ub</t>
  </si>
  <si>
    <t>12</t>
  </si>
  <si>
    <t>cmpjx91e700ncw2rwi6m7sm4k</t>
  </si>
  <si>
    <t>cmpjx91eb00ndw2rwmneh6jwm</t>
  </si>
  <si>
    <t>cmpjx91eg00new2rw99ol3oc1</t>
  </si>
  <si>
    <t>cmpjx91ej00nfw2rwr19fpkpt</t>
  </si>
  <si>
    <t>cmpjx91el00ngw2rwwmh1he7g</t>
  </si>
  <si>
    <t>cmpjx91eo00nhw2rwicazsdod</t>
  </si>
  <si>
    <t>cmpjx91es00niw2rwpq4lau08</t>
  </si>
  <si>
    <t>cmpjx91eu00njw2rwdl6lxjvk</t>
  </si>
  <si>
    <t>cmpjx91ey00nkw2rwopsl9swn</t>
  </si>
  <si>
    <t>cmpjx91f400nlw2rw6fc15old</t>
  </si>
  <si>
    <t>cmpjx91f600nmw2rw2sdsqt2w</t>
  </si>
  <si>
    <t>cmpjx91f900nnw2rwjpxi0r82</t>
  </si>
  <si>
    <t>cmpjx91fe00now2rwixf8ln9i</t>
  </si>
  <si>
    <t>cmpjx91fv00npw2rwsdj1k8iv</t>
  </si>
  <si>
    <t>cmpjx91g000nqw2rwy88kiycy</t>
  </si>
  <si>
    <t>cmpjx91g200nrw2rw32uptiid</t>
  </si>
  <si>
    <t>cmpjx91gc00nsw2rwv2idmaea</t>
  </si>
  <si>
    <t>cmpjx91gh00ntw2rw5we9gvzh</t>
  </si>
  <si>
    <t>cmpjx91gi00nuw2rwjompl4bp</t>
  </si>
  <si>
    <t>cmpjx91gk00nvw2rw1ewxhjc9</t>
  </si>
  <si>
    <t>cmpjx91gr00nww2rwxy9191cs</t>
  </si>
  <si>
    <t>cmpjx91gu00nxw2rwz8kp5qch</t>
  </si>
  <si>
    <t>cmpjx91gx00nyw2rwpith6g7c</t>
  </si>
  <si>
    <t>cmpjx91gz00nzw2rwd6r17nzq</t>
  </si>
  <si>
    <t>cmpjx91h300o0w2rws8oyqcp8</t>
  </si>
  <si>
    <t>cmpjx91h500o1w2rwl6bany1k</t>
  </si>
  <si>
    <t>cmpjx91h800o2w2rwzx3aws17</t>
  </si>
  <si>
    <t>cmpjx91hm00o3w2rw9j3obx7a</t>
  </si>
  <si>
    <t>cmpjx91hs00o4w2rw3z114bx2</t>
  </si>
  <si>
    <t>cmpjx91i200o5w2rwmeeo9vyv</t>
  </si>
  <si>
    <t>cmpjx91i500o6w2rwd84y6a1y</t>
  </si>
  <si>
    <t>cmpjx91id00o7w2rw3mc2v7xj</t>
  </si>
  <si>
    <t>cmpjx91ik00o8w2rwlccouveh</t>
  </si>
  <si>
    <t>cmpjx91in00o9w2rw0wcmp63u</t>
  </si>
  <si>
    <t>12.88</t>
  </si>
  <si>
    <t>cmpjx91ir00oaw2rw8aoy1kdg</t>
  </si>
  <si>
    <t>cmpjx91it00obw2rwu2z6ph60</t>
  </si>
  <si>
    <t>cmpjx91iz00ocw2rwelqkl4e0</t>
  </si>
  <si>
    <t>cmpjx91j100odw2rw1z9zjlyb</t>
  </si>
  <si>
    <t>cmpjx91jy00oew2rwtll4f88g</t>
  </si>
  <si>
    <t>cmpjx91k000ofw2rwgfhd1fqx</t>
  </si>
  <si>
    <t>cmpjx91kc00ogw2rwwltss5by</t>
  </si>
  <si>
    <t>cmpjx91kg00ohw2rwcgf88ufc</t>
  </si>
  <si>
    <t>cmpjx91ki00oiw2rw371a3t91</t>
  </si>
  <si>
    <t>cmpjx91kn00ojw2rwkijlu57u</t>
  </si>
  <si>
    <t>cmpjx91kp00okw2rwryyc58ew</t>
  </si>
  <si>
    <t>cmpjx91kx00olw2rwpj7fq1o1</t>
  </si>
  <si>
    <t>cmpjx91l000omw2rwzbgbc4vq</t>
  </si>
  <si>
    <t>cmpjx91l900onw2rwj0mqznfi</t>
  </si>
  <si>
    <t>cmpjx91ld00oow2rws0rapioo</t>
  </si>
  <si>
    <t>cmpjx91lm00opw2rwllcbtbts</t>
  </si>
  <si>
    <t>cmpjx91lo00oqw2rwywu5f3hs</t>
  </si>
  <si>
    <t>cmpjx91lr00orw2rw0hjdt9si</t>
  </si>
  <si>
    <t>cmpjx91lw00osw2rwrxj411qd</t>
  </si>
  <si>
    <t>cmpjx91ly00otw2rwjdxonyso</t>
  </si>
  <si>
    <t>cmpjx91m000ouw2rwn6jrbu9e</t>
  </si>
  <si>
    <t>cmpjx91m200ovw2rwfop2cq2r</t>
  </si>
  <si>
    <t>cmpjx91m700oww2rw9357t62f</t>
  </si>
  <si>
    <t>cmpjx91ma00oxw2rwd2vgjltd</t>
  </si>
  <si>
    <t>5.15</t>
  </si>
  <si>
    <t>cmpjx91mh00oyw2rw419jy8cb</t>
  </si>
  <si>
    <t>cmpjx91mr00ozw2rwrlrbfcy4</t>
  </si>
  <si>
    <t>cmpjx91mv00p0w2rwoekigsf2</t>
  </si>
  <si>
    <t>cmpjx91n200p1w2rw7kybgrfc</t>
  </si>
  <si>
    <t>cmpjxfr2200p2w2rwzhldxvhe</t>
  </si>
  <si>
    <t>cmpjxfr2800p3w2rwdrrm6pol</t>
  </si>
  <si>
    <t>cmpjxfr2c00p4w2rwarye0782</t>
  </si>
  <si>
    <t>cmpjxfr2f00p5w2rwxb69tnpn</t>
  </si>
  <si>
    <t>cmpjxfr2k00p6w2rwqckofbyd</t>
  </si>
  <si>
    <t>cmpjxfr2n00p7w2rwadnxuzao</t>
  </si>
  <si>
    <t>cmpjxfr2w00p8w2rw16oblazy</t>
  </si>
  <si>
    <t>7.54</t>
  </si>
  <si>
    <t>cmpjxfr3400p9w2rw29p70i7v</t>
  </si>
  <si>
    <t>cmpjxfr3700paw2rwz1t13pbf</t>
  </si>
  <si>
    <t>cmpjxfr3c00pbw2rwja53ycv5</t>
  </si>
  <si>
    <t>4</t>
  </si>
  <si>
    <t>cmpjxfr4600pcw2rws44dluqy</t>
  </si>
  <si>
    <t>29</t>
  </si>
  <si>
    <t>cmpjxfr4d00pdw2rwo3g4mhkn</t>
  </si>
  <si>
    <t>cmpjxfr4k00pew2rwvlpq2t44</t>
  </si>
  <si>
    <t>cmpjxfr4l00pfw2rw8wjuqn9b</t>
  </si>
  <si>
    <t>cmpjxfr4q00pgw2rw59xaet5t</t>
  </si>
  <si>
    <t>cmpjxfr4s00phw2rwxg758xjy</t>
  </si>
  <si>
    <t>cmpjxfr4v00piw2rwucfwti73</t>
  </si>
  <si>
    <t>cmpjxfr4y00pjw2rwee34ep9d</t>
  </si>
  <si>
    <t>cmpjxfr5300pkw2rwj05oozxz</t>
  </si>
  <si>
    <t>cmpjxfr5400plw2rwavf1ix4a</t>
  </si>
  <si>
    <t>cmpjxfr5800pmw2rwspf6fzxm</t>
  </si>
  <si>
    <t>cmpjxfr5c00pnw2rw9ftg6uza</t>
  </si>
  <si>
    <t>cmpjxfr5f00pow2rwse2an3nn</t>
  </si>
  <si>
    <t>cmpjxfr5k00ppw2rwcz7f5529</t>
  </si>
  <si>
    <t>cmpjxfr5n00pqw2rw7yzr49mi</t>
  </si>
  <si>
    <t>6.22</t>
  </si>
  <si>
    <t>cmpjxfr5q00prw2rwn23pjez1</t>
  </si>
  <si>
    <t>cmpjxfr5t00psw2rw8sslkecg</t>
  </si>
  <si>
    <t>cmpjxfr5w00ptw2rwdo47j685</t>
  </si>
  <si>
    <t>cmpjxfr5x00puw2rwmvqcreq0</t>
  </si>
  <si>
    <t>cmpjxfr6500pvw2rwhvfq6uow</t>
  </si>
  <si>
    <t>cmpjxfr6a00pww2rwv27xa9ce</t>
  </si>
  <si>
    <t>11.43</t>
  </si>
  <si>
    <t>cmpjxfr6j00pxw2rw7ki0pifx</t>
  </si>
  <si>
    <t>cmpjxfr6l00pyw2rw9ttqh12m</t>
  </si>
  <si>
    <t>cmpjxfr6q00pzw2rwz901aigw</t>
  </si>
  <si>
    <t>cmpjxfr6s00q0w2rwbd2j43h9</t>
  </si>
  <si>
    <t>cmpjxfr6v00q1w2rwe1sso89x</t>
  </si>
  <si>
    <t>cmpjxfr6x00q2w2rwbjngk0su</t>
  </si>
  <si>
    <t>cmpjxfr7200q3w2rwe6h3ifmw</t>
  </si>
  <si>
    <t>cmpjxfr7400q4w2rw7l6ohcbm</t>
  </si>
  <si>
    <t>cmpjxfr7c00q5w2rwqk4s7kpr</t>
  </si>
  <si>
    <t>cmpjxfr7d00q6w2rwdwpjc21n</t>
  </si>
  <si>
    <t>cmpjxfr7f00q7w2rwpwi2tcqu</t>
  </si>
  <si>
    <t>cmpjxfr7m00q8w2rw1epij6ar</t>
  </si>
  <si>
    <t>cmpjxfr7p00q9w2rw4d07e0ia</t>
  </si>
  <si>
    <t>cmpjxfr7s00qaw2rwrxr46tt7</t>
  </si>
  <si>
    <t>cmpjxfr7t00qbw2rw5tt8mkb1</t>
  </si>
  <si>
    <t>cmpjxfr7x00qcw2rwy53n2i35</t>
  </si>
  <si>
    <t>cmpjxfr8100qdw2rwmq6d0wma</t>
  </si>
  <si>
    <t>cmpjxfr8200qew2rwnaphrbu4</t>
  </si>
  <si>
    <t>2.54</t>
  </si>
  <si>
    <t>cmpjxfr8600qfw2rwinvfd19z</t>
  </si>
  <si>
    <t>cmpjxfr8700qgw2rwj6k3l4zi</t>
  </si>
  <si>
    <t>3.56</t>
  </si>
  <si>
    <t>cmpjxfr8800qhw2rwctskibah</t>
  </si>
  <si>
    <t>cmpjxfr8d00qiw2rwcwwf99d8</t>
  </si>
  <si>
    <t>cmpjxfr8g00qjw2rwmcyvwf1s</t>
  </si>
  <si>
    <t>5.24</t>
  </si>
  <si>
    <t>cmpjxfr8h00qkw2rwg1oi1f2y</t>
  </si>
  <si>
    <t>cmpjxfr8r00qlw2rwt0koyp16</t>
  </si>
  <si>
    <t>cmpjxfr8s00qmw2rwskn6tssg</t>
  </si>
  <si>
    <t>cmpjxfr8t00qnw2rwfpcnm9uh</t>
  </si>
  <si>
    <t>11.34</t>
  </si>
  <si>
    <t>cmpjxfr9300qow2rwtor98iwl</t>
  </si>
  <si>
    <t>8.35</t>
  </si>
  <si>
    <t>cmpjxfr9b00qpw2rw96ctw3ee</t>
  </si>
  <si>
    <t>cmpjxfr9c00qqw2rwari8x77b</t>
  </si>
  <si>
    <t>cmpjxfr9f00qrw2rw7ehpsasa</t>
  </si>
  <si>
    <t>cmpjxfr9j00qsw2rwahotzd1y</t>
  </si>
  <si>
    <t>cmpjxfr9l00qtw2rwqn9gs56h</t>
  </si>
  <si>
    <t>cmpjxfr9m00quw2rwjzld1yd8</t>
  </si>
  <si>
    <t>cmpjxfr9q00qvw2rw05k98p7c</t>
  </si>
  <si>
    <t>cmpjxfr9s00qww2rwooke8jma</t>
  </si>
  <si>
    <t>cmpjxfr9v00qxw2rwv4559lja</t>
  </si>
  <si>
    <t>cmpjxfr9x00qyw2rwginx66xg</t>
  </si>
  <si>
    <t>cmpjxfra000qzw2rw57o1yw72</t>
  </si>
  <si>
    <t>cmpjxfra700r0w2rwtnqnpccp</t>
  </si>
  <si>
    <t>cmpjxfrab00r1w2rwkrr13xgs</t>
  </si>
  <si>
    <t>cmpjxfrah00r2w2rwm9iyss7q</t>
  </si>
  <si>
    <t>16</t>
  </si>
  <si>
    <t>cmpjxfral00r3w2rwckdfirgy</t>
  </si>
  <si>
    <t>cmpjxfram00r4w2rw8ebz04ea</t>
  </si>
  <si>
    <t>cmpjxfrap00r5w2rwwnvlj200</t>
  </si>
  <si>
    <t>cmpjxfrar00r6w2rws1co1uen</t>
  </si>
  <si>
    <t>cmpjxfrat00r7w2rwsj3euzel</t>
  </si>
  <si>
    <t>cmpjxfray00r8w2rwpnpz4muh</t>
  </si>
  <si>
    <t>cmpjxfraz00r9w2rw931z0m00</t>
  </si>
  <si>
    <t>cmpjxfrb200raw2rwjlyuvqon</t>
  </si>
  <si>
    <t>cmpjxfrb400rbw2rw9up87cgt</t>
  </si>
  <si>
    <t>cmpjxfrb700rcw2rw5qurw9du</t>
  </si>
  <si>
    <t>cmpjxfrb800rdw2rwg3npvga2</t>
  </si>
  <si>
    <t>cmpjxfrbc00rew2rwzhbftkk1</t>
  </si>
  <si>
    <t>cmpjxfrbe00rfw2rw6ue0jl70</t>
  </si>
  <si>
    <t>cmpjxfrbf00rgw2rw5am5jc6c</t>
  </si>
  <si>
    <t>cmpjxfrbh00rhw2rwt0qwu59l</t>
  </si>
  <si>
    <t>cmpjxfrbl00riw2rw3m9t2u1g</t>
  </si>
  <si>
    <t>cmpjxfrbm00rjw2rwhrjwut5f</t>
  </si>
  <si>
    <t>cmpjxfrbn00rkw2rwddyyvue7</t>
  </si>
  <si>
    <t>cmpjxfrbv00rlw2rw2ac7jtiq</t>
  </si>
  <si>
    <t>cmpjxfrc100rmw2rwaql1xn6c</t>
  </si>
  <si>
    <t>cmpjxfrc200rnw2rwu9tc6b53</t>
  </si>
  <si>
    <t>cmpjxfrc400row2rwgzke4xhf</t>
  </si>
  <si>
    <t>cmpjxfrcd00rpw2rwdght5dkz</t>
  </si>
  <si>
    <t>cmpjxfrcd00rqw2rwplbul0wv</t>
  </si>
  <si>
    <t>cmpjxfrck00rrw2rwpcsxjm6x</t>
  </si>
  <si>
    <t>cmpjxfrcl00rsw2rwwzheraav</t>
  </si>
  <si>
    <t>cmpjxfrcr00rtw2rwelmga6zz</t>
  </si>
  <si>
    <t>cmpjxfrct00ruw2rwmacapgta</t>
  </si>
  <si>
    <t>cmpjxfrcu00rvw2rwn1mperj3</t>
  </si>
  <si>
    <t>cmpjxfrcw00rww2rwcp3jbfu6</t>
  </si>
  <si>
    <t>cmpjxfrd700rxw2rwgj8qctld</t>
  </si>
  <si>
    <t>cmpjxfrd900ryw2rw1ub7edrn</t>
  </si>
  <si>
    <t>cmpjxfrdc00rzw2rw78acmg0m</t>
  </si>
  <si>
    <t>cmpjxfrde00s0w2rwtgzsp8cn</t>
  </si>
  <si>
    <t>cmpjxfrdf00s1w2rwy2402dwa</t>
  </si>
  <si>
    <t>cmpjxfrdk00s2w2rwh9k9ihnr</t>
  </si>
  <si>
    <t>cmpjxfrdo00s3w2rwib7cafo4</t>
  </si>
  <si>
    <t>cmpjxfrdq00s4w2rw41vb6y5b</t>
  </si>
  <si>
    <t>8.06</t>
  </si>
  <si>
    <t>cmpjxfrdw00s5w2rwyy1f4evw</t>
  </si>
  <si>
    <t>cmpjxfre300s6w2rwspz0i7jl</t>
  </si>
  <si>
    <t>cmpjxfre500s7w2rwzwbnnv2o</t>
  </si>
  <si>
    <t>cmpjxfre700s8w2rw80cws3qd</t>
  </si>
  <si>
    <t>cmpjxfre800s9w2rw4ejscfrn</t>
  </si>
  <si>
    <t>cmpjxfred00saw2rwx5d2m3ta</t>
  </si>
  <si>
    <t>cmpjxfreh00sbw2rwxxl8n9v1</t>
  </si>
  <si>
    <t>cmpjxfrek00scw2rwg486zjm1</t>
  </si>
  <si>
    <t>cmpjxfrel00sdw2rwlpfufr1t</t>
  </si>
  <si>
    <t>cmpjxfreo00sew2rwminrnfvq</t>
  </si>
  <si>
    <t>cmpjxfres00sfw2rwym67v0uk</t>
  </si>
  <si>
    <t>cmpjxfret00sgw2rw96kdh58c</t>
  </si>
  <si>
    <t>cmpjxfreu00shw2rwkku148h2</t>
  </si>
  <si>
    <t>cmpjxfrew00siw2rwloxyf422</t>
  </si>
  <si>
    <t>cmpjxfrf100sjw2rwj2crxidi</t>
  </si>
  <si>
    <t>cmpjxfrf300skw2rwur65jeos</t>
  </si>
  <si>
    <t>cmpjxfrf500slw2rweicib3um</t>
  </si>
  <si>
    <t>cmpjxfrf900smw2rw9k7bpi5q</t>
  </si>
  <si>
    <t>cmpjxfrfb00snw2rw6cukmx3f</t>
  </si>
  <si>
    <t>cmpjxfrfd00sow2rwaku1sbmk</t>
  </si>
  <si>
    <t>cmpjxfrfh00spw2rw7a5s03rz</t>
  </si>
  <si>
    <t>cmpjxfrfl00sqw2rwe5i86kwa</t>
  </si>
  <si>
    <t>cmpjxfrfp00srw2rwyevu6p2q</t>
  </si>
  <si>
    <t>cmpjxfrfq00ssw2rw7hsmttbl</t>
  </si>
  <si>
    <t>cmpjxfrfv00stw2rw4k7ygrxx</t>
  </si>
  <si>
    <t>cmpjxfrfz00suw2rwe736fmwq</t>
  </si>
  <si>
    <t>cmpjxfrg200svw2rwc72luyfc</t>
  </si>
  <si>
    <t>cmpjxfrg500sww2rwx6bc4n0s</t>
  </si>
  <si>
    <t>cmpjxfrg800sxw2rw5nuuitn1</t>
  </si>
  <si>
    <t>cmpjxfrga00syw2rwjy6hfnqt</t>
  </si>
  <si>
    <t>cmpjxfrgf00szw2rwz6ru908l</t>
  </si>
  <si>
    <t>cmpjxfrgh00t0w2rw11ml5rk8</t>
  </si>
  <si>
    <t>cmpjxfrgi00t1w2rwu3vok0u5</t>
  </si>
  <si>
    <t>cmpjxfrgo00t2w2rwthbwm2gg</t>
  </si>
  <si>
    <t>cmpjxfrgu00t3w2rwsr426eav</t>
  </si>
  <si>
    <t>cmpjxfrgx00t4w2rwce5mnzci</t>
  </si>
  <si>
    <t>7.23</t>
  </si>
  <si>
    <t>cmpjxfrgz00t5w2rwh34subah</t>
  </si>
  <si>
    <t>cmpjxfrh200t6w2rw0ytmw5af</t>
  </si>
  <si>
    <t>cmpjxfrh500t7w2rwdijvc655</t>
  </si>
  <si>
    <t>cmpjxfrhd00t8w2rw9e11n0mt</t>
  </si>
  <si>
    <t>cmpjxfrhe00t9w2rwuek9rcos</t>
  </si>
  <si>
    <t>cmpjxfrhg00taw2rwciihpm7c</t>
  </si>
  <si>
    <t>cmpjxfrhi00tbw2rwr3tc5qxv</t>
  </si>
  <si>
    <t>cmpjxfrhj00tcw2rwqjjpri14</t>
  </si>
  <si>
    <t>cmpjxfrhn00tdw2rwf2cpg3th</t>
  </si>
  <si>
    <t>cmpjxfrhq00tew2rwiwrghpd8</t>
  </si>
  <si>
    <t>cmpjxfrhs00tfw2rwkqtn2m0i</t>
  </si>
  <si>
    <t>cmpjxfrhw00tgw2rwt826yr8m</t>
  </si>
  <si>
    <t>cmpjxfrhz00thw2rw5g0vzkw5</t>
  </si>
  <si>
    <t>cmpjxfri400tiw2rwf9mbq5oo</t>
  </si>
  <si>
    <t>cmpjxfri600tjw2rw1iuhtg1o</t>
  </si>
  <si>
    <t>cmpjxfria00tkw2rwxxspradv</t>
  </si>
  <si>
    <t>cmpjxfrid00tlw2rwxjodmuud</t>
  </si>
  <si>
    <t>cmpjxfrik00tmw2rwpeyjxl8z</t>
  </si>
  <si>
    <t>cmpjxfrir00tnw2rwx37oltjr</t>
  </si>
  <si>
    <t>cmpjxfris00tow2rww1ok42pd</t>
  </si>
  <si>
    <t>cmpjxfriu00tpw2rw8zifmes3</t>
  </si>
  <si>
    <t>cmpjxfrj200tqw2rwke4m5izs</t>
  </si>
  <si>
    <t>cmpjxfrjb00trw2rwj3ro9z30</t>
  </si>
  <si>
    <t>cmpjxfrje00tsw2rwxtb9iv30</t>
  </si>
  <si>
    <t>cmpjxfrjn00ttw2rwjbjwmbhe</t>
  </si>
  <si>
    <t>10.15</t>
  </si>
  <si>
    <t>cmpjxfrjo00tuw2rwaq16fmzt</t>
  </si>
  <si>
    <t>cmpjxfrjq00tvw2rwyyqqc5it</t>
  </si>
  <si>
    <t>cmpjxfrjt00tww2rw03sbgpge</t>
  </si>
  <si>
    <t>cmpjxfrjv00txw2rwxbpsbjt3</t>
  </si>
  <si>
    <t>cmpjxfrjw00tyw2rw8pz5ap04</t>
  </si>
  <si>
    <t>cmpjxfrjz00tzw2rw107ltefj</t>
  </si>
  <si>
    <t>cmpjxfrk300u0w2rwn7mdadn9</t>
  </si>
  <si>
    <t>cmpjxfrk500u1w2rwp58pfxdn</t>
  </si>
  <si>
    <t>cmpjxfrk700u2w2rww0ay9key</t>
  </si>
  <si>
    <t>cmpjxfrk800u3w2rwth0matnb</t>
  </si>
  <si>
    <t>cmpjxfrkb00u4w2rwuw5cdkus</t>
  </si>
  <si>
    <t>cmpjxfrke00u5w2rwqyt8bw2h</t>
  </si>
  <si>
    <t>cmpjxfrkg00u6w2rw5bsb1vpc</t>
  </si>
  <si>
    <t>cmpjxfrkh00u7w2rwybtjisa5</t>
  </si>
  <si>
    <t>cmpjxfrkj00u8w2rwwm1mbria</t>
  </si>
  <si>
    <t>cmpjxfrkk00u9w2rwpc47isda</t>
  </si>
  <si>
    <t>cmpjxfrkn00uaw2rw0atoah1z</t>
  </si>
  <si>
    <t>cmpjxfrkr00ubw2rwadx764q7</t>
  </si>
  <si>
    <t>cmpjxfrkt00ucw2rwlnd3feh2</t>
  </si>
  <si>
    <t>cmpjxfrkv00udw2rwy72fr89c</t>
  </si>
  <si>
    <t>cmpjxfrky00uew2rw378o6vku</t>
  </si>
  <si>
    <t>cmpjxfrkz00ufw2rwxf90wcxn</t>
  </si>
  <si>
    <t>cmpjxfrl100ugw2rwcyyjqg7y</t>
  </si>
  <si>
    <t>cmpjxfrl400uhw2rwqiuv1rmy</t>
  </si>
  <si>
    <t>cmpjxfrla00uiw2rw5wted02s</t>
  </si>
  <si>
    <t>cmpjxfrlc00ujw2rwadwk83zs</t>
  </si>
  <si>
    <t>cmpjxfrlf00ukw2rw2033nsog</t>
  </si>
  <si>
    <t>cmpjxfrll00ulw2rwcp5x8qof</t>
  </si>
  <si>
    <t>cmpjxfrln00umw2rwyrtoutp6</t>
  </si>
  <si>
    <t>cmpjxfrlq00unw2rwgx2xfu21</t>
  </si>
  <si>
    <t>cmpjxfrlr00uow2rw6gei8ljn</t>
  </si>
  <si>
    <t>cmpjxfrly00upw2rwcoheesoc</t>
  </si>
  <si>
    <t>cmpjxfrm200uqw2rwxyo82jm0</t>
  </si>
  <si>
    <t>9.7</t>
  </si>
  <si>
    <t>cmpjxfrm600urw2rwd1k5tdbs</t>
  </si>
  <si>
    <t>cmpjxfrm800usw2rwpvikxy6i</t>
  </si>
  <si>
    <t>cmpjxfrm900utw2rw0dmpysoa</t>
  </si>
  <si>
    <t>cmpjxfrmb00uuw2rwgpogrx4k</t>
  </si>
  <si>
    <t>cmpjxfrmd00uvw2rwg67yareu</t>
  </si>
  <si>
    <t>cmpjxfrmf00uww2rwf9ext0np</t>
  </si>
  <si>
    <t>7.69</t>
  </si>
  <si>
    <t>cmpjxfrmi00uxw2rw03yq8hov</t>
  </si>
  <si>
    <t>cmpjxfrmk00uyw2rw5tcex7bt</t>
  </si>
  <si>
    <t>cmpjxfrmp00uzw2rwurhangzf</t>
  </si>
  <si>
    <t>cmpjxfrms00v0w2rwd36hqp4m</t>
  </si>
  <si>
    <t>cmpjxfrmu00v1w2rwmclm5xij</t>
  </si>
  <si>
    <t>cmpjxfrmw00v2w2rwsw6ya6jm</t>
  </si>
  <si>
    <t>cmpjxfrn000v3w2rw0b6w54da</t>
  </si>
  <si>
    <t>cmpjxfrn400v4w2rw7jz4qd1b</t>
  </si>
  <si>
    <t>cmpjxfrn500v5w2rw6th7r6te</t>
  </si>
  <si>
    <t>cmpjxfrn800v6w2rwzz2zhwmd</t>
  </si>
  <si>
    <t>/api/v1/pecas/25</t>
  </si>
  <si>
    <t>cmpjxfrn900v7w2rw8nu5hhx3</t>
  </si>
  <si>
    <t>cmpjxfrng00v8w2rwjjompmqj</t>
  </si>
  <si>
    <t>9.81</t>
  </si>
  <si>
    <t>cmpjxfrni00v9w2rw7ef4vps2</t>
  </si>
  <si>
    <t>11.35</t>
  </si>
  <si>
    <t>cmpjxfrnl00vaw2rw6ub9eouu</t>
  </si>
  <si>
    <t>cmpjxfrnt00vbw2rwvx1pa18l</t>
  </si>
  <si>
    <t>cmpjxfrnw00vcw2rw6w06mfum</t>
  </si>
  <si>
    <t>cmpjxfrnx00vdw2rw7mkdrh7k</t>
  </si>
  <si>
    <t>cmpjxfrnz00vew2rwrloeq9uz</t>
  </si>
  <si>
    <t>cmpjxfro000vfw2rwg7vhr2wb</t>
  </si>
  <si>
    <t>cmpjxfro500vgw2rw90u7gz0k</t>
  </si>
  <si>
    <t>10.86</t>
  </si>
  <si>
    <t>cmpjxfroc00vhw2rwmyhji6wa</t>
  </si>
  <si>
    <t>cmpjxfroe00viw2rw0xhv2cas</t>
  </si>
  <si>
    <t>cmpjxfrog00vjw2rwob2bqow2</t>
  </si>
  <si>
    <t>cmpjxfroq00vkw2rwq33js7uh</t>
  </si>
  <si>
    <t>cmpjxfror00vlw2rwsth0gkbg</t>
  </si>
  <si>
    <t>cmpjxfrow00vmw2rwx0s5dpdh</t>
  </si>
  <si>
    <t>cmpjxfrp400vnw2rw1g1yqky9</t>
  </si>
  <si>
    <t>cmpjxfrp800vow2rwyso552cn</t>
  </si>
  <si>
    <t>cmpjxfrpf00vpw2rwgjp73fib</t>
  </si>
  <si>
    <t>cmpjxfrpg00vqw2rws0hh2x59</t>
  </si>
  <si>
    <t>20.88</t>
  </si>
  <si>
    <t>cmpjxfrpi00vrw2rwywdha2pb</t>
  </si>
  <si>
    <t>cmpjxfrpl00vsw2rw2xdrbetv</t>
  </si>
  <si>
    <t>cmpjxfrpn00vtw2rwbrnrl0ey</t>
  </si>
  <si>
    <t>cmpjxfrpv00vuw2rw2f0x0r04</t>
  </si>
  <si>
    <t>cmpjxfrpx00vvw2rwc6cohrp7</t>
  </si>
  <si>
    <t>cmpjxfrq000vww2rwnh3bs56w</t>
  </si>
  <si>
    <t>cmpjxfrq300vxw2rw8jwy696i</t>
  </si>
  <si>
    <t>cmpjxfrq600vyw2rw2skwqxot</t>
  </si>
  <si>
    <t>cmpjxfrq700vzw2rwyw6d7ff1</t>
  </si>
  <si>
    <t>cmpjxfrqa00w0w2rwe9ho75uf</t>
  </si>
  <si>
    <t>cmpjxfrqc00w1w2rw31a3viqq</t>
  </si>
  <si>
    <t>cmpjxfrqi00w2w2rwzctf8q6c</t>
  </si>
  <si>
    <t>cmpjxfrqj00w3w2rwl8z5e4xq</t>
  </si>
  <si>
    <t>cmpjxfrqm00w4w2rw6yt0m8mc</t>
  </si>
  <si>
    <t>cmpjxfrqq00w5w2rwv5jp4nzf</t>
  </si>
  <si>
    <t>cmpjxfrqs00w6w2rwdrh7rjgk</t>
  </si>
  <si>
    <t>cmpjxfrqv00w7w2rw3dkdatxf</t>
  </si>
  <si>
    <t>cmpjxfrqx00w8w2rwv5da3it1</t>
  </si>
  <si>
    <t>cmpjxfrqz00w9w2rw875f3e4f</t>
  </si>
  <si>
    <t>cmpjxfrr500waw2rwvnkay1eg</t>
  </si>
  <si>
    <t>cmpjxfrr600wbw2rwsxs6k3gn</t>
  </si>
  <si>
    <t>cmpjxfrra00wcw2rwy1s7i57t</t>
  </si>
  <si>
    <t>cmpjxfrrc00wdw2rwpg1tu1qg</t>
  </si>
  <si>
    <t>cmpjxfrrh00wew2rwabz7ufnk</t>
  </si>
  <si>
    <t>cmpjxfrrk00wfw2rwrhrkbyle</t>
  </si>
  <si>
    <t>cmpjxfrrm00wgw2rw7ryyzla3</t>
  </si>
  <si>
    <t>cmpjxfrrp00whw2rwfjj6pbzb</t>
  </si>
  <si>
    <t>cmpjxfrrt00wiw2rwyb3rnhdv</t>
  </si>
  <si>
    <t>cmpjxfrrv00wjw2rwlxheegjc</t>
  </si>
  <si>
    <t>cmpjxfrrx00wkw2rwq8xd76d6</t>
  </si>
  <si>
    <t>cmpjxfrs000wlw2rw8qbfbwlm</t>
  </si>
  <si>
    <t>cmpjxfrs200wmw2rwf0vpwepj</t>
  </si>
  <si>
    <t>cmpjxfrs300wnw2rwmjqaalhh</t>
  </si>
  <si>
    <t>cmpjxfrs500wow2rwczdgcocf</t>
  </si>
  <si>
    <t>cmpjxfrs700wpw2rwv9q8bzn4</t>
  </si>
  <si>
    <t>cmpjxfrsa00wqw2rwtxaurh7g</t>
  </si>
  <si>
    <t>cmpjxfrse00wrw2rw330ocl2i</t>
  </si>
  <si>
    <t>cmpjxfrsg00wsw2rwdxpuhijd</t>
  </si>
  <si>
    <t>cmpjxfrsi00wtw2rwm00mkoig</t>
  </si>
  <si>
    <t>cmpjxfrsl00wuw2rw96zhjxh0</t>
  </si>
  <si>
    <t>cmpjxfrsm00wvw2rwwjg2z1mg</t>
  </si>
  <si>
    <t>cmpjxfrso00www2rwa4p1ojye</t>
  </si>
  <si>
    <t>cmpjxfrsq00wxw2rwn43slyd8</t>
  </si>
  <si>
    <t>cmpjxfrss00wyw2rw9t0elwhi</t>
  </si>
  <si>
    <t>cmpjxfrt000wzw2rwdayvp8v1</t>
  </si>
  <si>
    <t>cmpjxfrt700x0w2rw9r66vc2a</t>
  </si>
  <si>
    <t>cmpjxfrt900x1w2rwa2o49pcs</t>
  </si>
  <si>
    <t>cmpjxfrtb00x2w2rw0jq0t5rw</t>
  </si>
  <si>
    <t>cmpjxfrte00x3w2rwx7j1pmna</t>
  </si>
  <si>
    <t>cmpjxfrth00x4w2rwu0mck5zv</t>
  </si>
  <si>
    <t>cmpjxfrtj00x5w2rwyw0o0x63</t>
  </si>
  <si>
    <t>cmpjxfrtl00x6w2rwwkqc8svj</t>
  </si>
  <si>
    <t>cmpjxfrtn00x7w2rwrwvw7qft</t>
  </si>
  <si>
    <t>cmpjxfrtp00x8w2rwhx1e7ebj</t>
  </si>
  <si>
    <t>cmpjxfrts00x9w2rwolaz1j7u</t>
  </si>
  <si>
    <t>cmpjxfrtx00xaw2rwdptp6vb1</t>
  </si>
  <si>
    <t>cmpjxfru200xbw2rwcz3alp93</t>
  </si>
  <si>
    <t>cmpjxfru900xcw2rwn3464ao0</t>
  </si>
  <si>
    <t>cmpjxfrua00xdw2rw5ujpjs45</t>
  </si>
  <si>
    <t>cmpjxfruc00xew2rw9yhq5fvk</t>
  </si>
  <si>
    <t>cmpjxfrud00xfw2rwvvvxrfo0</t>
  </si>
  <si>
    <t>13.84</t>
  </si>
  <si>
    <t>cmpjxfrue00xgw2rwmtvooi85</t>
  </si>
  <si>
    <t>14.25</t>
  </si>
  <si>
    <t>cmpjxfrug00xhw2rwwj804g2v</t>
  </si>
  <si>
    <t>13.46</t>
  </si>
  <si>
    <t>cmpjxfrui00xiw2rwx509n3uc</t>
  </si>
  <si>
    <t>cmpjxfrul00xjw2rwx6pjle6q</t>
  </si>
  <si>
    <t>cmpjxfrup00xkw2rwmadlahi1</t>
  </si>
  <si>
    <t>cmpjxfrur00xlw2rwaae4vqm1</t>
  </si>
  <si>
    <t>cmpjxfruu00xmw2rwhvmrqfs8</t>
  </si>
  <si>
    <t>cmpjxfrux00xnw2rw8u0ab3cw</t>
  </si>
  <si>
    <t>cmpjxfruy00xow2rwc3lesz2l</t>
  </si>
  <si>
    <t>cmpjxfruz00xpw2rwngvru3ah</t>
  </si>
  <si>
    <t>cmpjxfrv100xqw2rwnzbne8xf</t>
  </si>
  <si>
    <t>11.01</t>
  </si>
  <si>
    <t>cmpjxfrv400xrw2rwn5o98d2t</t>
  </si>
  <si>
    <t>cmpjxfrv600xsw2rwp1x1zv4s</t>
  </si>
  <si>
    <t>cmpjxfrvb00xtw2rw647k3xeg</t>
  </si>
  <si>
    <t>cmpjxfrvg00xuw2rwa2vts2pv</t>
  </si>
  <si>
    <t>cmpjxfrvk00xvw2rw24zdap9d</t>
  </si>
  <si>
    <t>10.74</t>
  </si>
  <si>
    <t>cmpjxfrvq00xww2rwqwoj7hw4</t>
  </si>
  <si>
    <t>13.02</t>
  </si>
  <si>
    <t>cmpjxfrvs00xxw2rwn7ljfehr</t>
  </si>
  <si>
    <t>14.7</t>
  </si>
  <si>
    <t>cmpjxfrvu00xyw2rwyc3at5hu</t>
  </si>
  <si>
    <t>cmpjxfrvv00xzw2rwdut65tu9</t>
  </si>
  <si>
    <t>cmpjxfrvx00y0w2rwv176e4p1</t>
  </si>
  <si>
    <t>/api/v1/pecas/26</t>
  </si>
  <si>
    <t>cmpjxfrw200y1w2rwv6f45nl6</t>
  </si>
  <si>
    <t>cmpjxfrw700y2w2rwj30ckji4</t>
  </si>
  <si>
    <t>cmpjxfrw800y3w2rwmz2le1z2</t>
  </si>
  <si>
    <t>cmpjxfrwc00y4w2rwjn6dqwd7</t>
  </si>
  <si>
    <t>cmpjxfrwq00y5w2rwnwynjzzn</t>
  </si>
  <si>
    <t>cmpjxfrwr00y6w2rwib3700lo</t>
  </si>
  <si>
    <t>cmpjxfrx200y7w2rw13ajexxv</t>
  </si>
  <si>
    <t>cmpjxfrx300y8w2rwrgrc2q1t</t>
  </si>
  <si>
    <t>cmpjxfrx500y9w2rw7rdkszft</t>
  </si>
  <si>
    <t>cmpjxfrxb00yaw2rw4skfpqny</t>
  </si>
  <si>
    <t>cmpjxfrxi00ybw2rwvmlxuur2</t>
  </si>
  <si>
    <t>cmpjxfrxl00ycw2rwqgjqythf</t>
  </si>
  <si>
    <t>cmpjxfrxo00ydw2rwc3w0cqyj</t>
  </si>
  <si>
    <t>cmpjxfrxr00yew2rwhtqkv2gc</t>
  </si>
  <si>
    <t>/api/v1/pecas/27</t>
  </si>
  <si>
    <t>cmpjxfrxx00yfw2rw3y13t3a8</t>
  </si>
  <si>
    <t>cmpjxfrxz00ygw2rwwzm44cyf</t>
  </si>
  <si>
    <t>cmpjxfry000yhw2rwduy7yyjh</t>
  </si>
  <si>
    <t>cmpjxfry100yiw2rw28wpbhhc</t>
  </si>
  <si>
    <t>cmpjxfry300yjw2rw3b5myc06</t>
  </si>
  <si>
    <t>cmpjxfry500ykw2rwji3anumr</t>
  </si>
  <si>
    <t>12.27</t>
  </si>
  <si>
    <t>cmpjxfry700ylw2rw5fzp34tz</t>
  </si>
  <si>
    <t>cmpjxfry900ymw2rwzzd9rdpr</t>
  </si>
  <si>
    <t>cmpjxfrya00ynw2rwzw0ayp9v</t>
  </si>
  <si>
    <t>cmpjxfryf00yow2rwf6dggipb</t>
  </si>
  <si>
    <t>cmpjxfryi00ypw2rwso6t3ten</t>
  </si>
  <si>
    <t>cmpjxfryk00yqw2rw4o2y4dh0</t>
  </si>
  <si>
    <t>cmpjxfrym00yrw2rwvzgrnyti</t>
  </si>
  <si>
    <t>cmpjxfryo00ysw2rwa3m104ns</t>
  </si>
  <si>
    <t>cmpjxfryq00ytw2rwfk86umuu</t>
  </si>
  <si>
    <t>10.4</t>
  </si>
  <si>
    <t>cmpjxfrys00yuw2rwnb4u47yz</t>
  </si>
  <si>
    <t>cmpjxfryt00yvw2rwewtyn2rm</t>
  </si>
  <si>
    <t>12.56</t>
  </si>
  <si>
    <t>cmpjxfrz000yww2rwqfm0agkn</t>
  </si>
  <si>
    <t>cmpjxfrz400yxw2rw8bztqdk1</t>
  </si>
  <si>
    <t>cmpjxfrz600yyw2rw4e4ofiit</t>
  </si>
  <si>
    <t>cmpjxfrz700yzw2rwyv3uhc85</t>
  </si>
  <si>
    <t>cmpjxfrz900z0w2rw9xbru9j8</t>
  </si>
  <si>
    <t>cmpjxfrzb00z1w2rwfb7biq5n</t>
  </si>
  <si>
    <t>cmpjxfrzd00z2w2rwyxwj9rwt</t>
  </si>
  <si>
    <t>cmpjxfrzf00z3w2rwiw35hwf9</t>
  </si>
  <si>
    <t>cmpjxfrzj00z4w2rwm3q79jnk</t>
  </si>
  <si>
    <t>/api/v1/pecas/28</t>
  </si>
  <si>
    <t>cmpjxfrzn00z5w2rw857z63a6</t>
  </si>
  <si>
    <t>cmpjxfrzs00z6w2rwkypehhd6</t>
  </si>
  <si>
    <t>cmpjxfrzv00z7w2rwrudhevwd</t>
  </si>
  <si>
    <t>cmpjxfrzw00z8w2rwc5srns4u</t>
  </si>
  <si>
    <t>cmpjxfrzz00z9w2rwlli9l62a</t>
  </si>
  <si>
    <t>cmpjxfs0000zaw2rwj4i8fbxt</t>
  </si>
  <si>
    <t>14.04</t>
  </si>
  <si>
    <t>cmpjxfs0300zbw2rwhpr4vrws</t>
  </si>
  <si>
    <t>cmpjxfs0400zcw2rwam38qo76</t>
  </si>
  <si>
    <t>cmpjxfs0900zdw2rwhp7y19jq</t>
  </si>
  <si>
    <t>cmpjxfs0a00zew2rwjtkt9rdl</t>
  </si>
  <si>
    <t>/api/v1/pecas/29</t>
  </si>
  <si>
    <t>25</t>
  </si>
  <si>
    <t>cmpjxfs0d00zfw2rwj3flvmw7</t>
  </si>
  <si>
    <t>cmpjxfs0f00zgw2rw7rkr4lqr</t>
  </si>
  <si>
    <t>cmpjxfs0h00zhw2rwthw77eh9</t>
  </si>
  <si>
    <t>cmpjxfs0i00ziw2rwtwccn6ru</t>
  </si>
  <si>
    <t>cmpjxfs0k00zjw2rwkt99pzf6</t>
  </si>
  <si>
    <t>cmpjxfs0m00zkw2rwwu3zfa1k</t>
  </si>
  <si>
    <t>cmpjxfs0p00zlw2rw06wj60wg</t>
  </si>
  <si>
    <t>cmpjxfs0t00zmw2rwzpwnxsz9</t>
  </si>
  <si>
    <t>cmpjxfs0u00znw2rwzxy4qtt7</t>
  </si>
  <si>
    <t>cmpjxfs0y00zow2rw6biebss3</t>
  </si>
  <si>
    <t>cmpjxfs0z00zpw2rwmlcnqmmh</t>
  </si>
  <si>
    <t>cmpjxfs1800zqw2rw23hv8zro</t>
  </si>
  <si>
    <t>cmpjxfs1d00zrw2rwzkl1fks7</t>
  </si>
  <si>
    <t>cmpjxfs1e00zsw2rw9j35ozdv</t>
  </si>
  <si>
    <t>/api/v1/pecas/30</t>
  </si>
  <si>
    <t>cmpjxfs1g00ztw2rw514z9dd6</t>
  </si>
  <si>
    <t>cmpjxfs1h00zuw2rwjs5uqyv1</t>
  </si>
  <si>
    <t>cmpjxfs1j00zvw2rw41avfrqr</t>
  </si>
  <si>
    <t>cmpjxfs1m00zww2rw1jktujr8</t>
  </si>
  <si>
    <t>cmpjxfs1o00zxw2rwhh77p5je</t>
  </si>
  <si>
    <t>cmpjxfs1q00zyw2rw21lnwx0i</t>
  </si>
  <si>
    <t>31</t>
  </si>
  <si>
    <t>cmpjxfs1v00zzw2rwslykbvy6</t>
  </si>
  <si>
    <t>/api/v1/pecas/31</t>
  </si>
  <si>
    <t>cmpjxfs1z0100w2rwx5lbdjwx</t>
  </si>
  <si>
    <t>cmpjxfs210101w2rwujwb1lb9</t>
  </si>
  <si>
    <t>cmpjxfs230102w2rww9c3age9</t>
  </si>
  <si>
    <t>cmpjxfs270103w2rwfbl86ak4</t>
  </si>
  <si>
    <t>cmpjxfs280104w2rwgtmsse6m</t>
  </si>
  <si>
    <t>13.8</t>
  </si>
  <si>
    <t>cmpjxfs2a0105w2rwit4xdglq</t>
  </si>
  <si>
    <t>14.14</t>
  </si>
  <si>
    <t>cmpjxfs2c0106w2rwbxo0446t</t>
  </si>
  <si>
    <t>11.83</t>
  </si>
  <si>
    <t>cmpjxfs2j0107w2rw1bvnwj5y</t>
  </si>
  <si>
    <t>cmpjxfs2l0108w2rw0siz4bgm</t>
  </si>
  <si>
    <t>cmpjxfs2o0109w2rw4s26xtv1</t>
  </si>
  <si>
    <t>/api/v1/pecas/32</t>
  </si>
  <si>
    <t>cmpjxfs2p010aw2rwdtvp7p2w</t>
  </si>
  <si>
    <t>11.46</t>
  </si>
  <si>
    <t>cmpjxfs2q010bw2rw0e76awk4</t>
  </si>
  <si>
    <t>cmpjxfs2r010cw2rwiax95gcj</t>
  </si>
  <si>
    <t>10.34</t>
  </si>
  <si>
    <t>cmpjxfs2t010dw2rwozqflbvq</t>
  </si>
  <si>
    <t>cmpjxfs2v010ew2rw1rywrk9k</t>
  </si>
  <si>
    <t>9.14</t>
  </si>
  <si>
    <t>cmpjxfs2x010fw2rwyw4g6tfm</t>
  </si>
  <si>
    <t>9.54</t>
  </si>
  <si>
    <t>cmpjxfs31010gw2rwmgdrb23u</t>
  </si>
  <si>
    <t>cmpjxfs33010hw2rwt84mu80b</t>
  </si>
  <si>
    <t>cmpjxfs35010iw2rwxwh8yy9i</t>
  </si>
  <si>
    <t>cmpjxfs38010jw2rw7ms0khtw</t>
  </si>
  <si>
    <t>cmpjxfs39010kw2rwb52iml1w</t>
  </si>
  <si>
    <t>cmpjxfs3b010lw2rwt0oxezpz</t>
  </si>
  <si>
    <t>11.32</t>
  </si>
  <si>
    <t>cmpjxfs3e010mw2rwpx2ebomn</t>
  </si>
  <si>
    <t>11.72</t>
  </si>
  <si>
    <t>cmpjxfs3h010nw2rw9xnf62jq</t>
  </si>
  <si>
    <t>13.71</t>
  </si>
  <si>
    <t>cmpjxfs3n010ow2rwnc9p76mj</t>
  </si>
  <si>
    <t>cmpjxfs3q010pw2rwb1xsqeye</t>
  </si>
  <si>
    <t>cmpjxfs3u010qw2rwv960btmk</t>
  </si>
  <si>
    <t>cmpjxfs3v010rw2rwhskyfmw6</t>
  </si>
  <si>
    <t>cmpjxfs3x010sw2rwqctl6n1i</t>
  </si>
  <si>
    <t>cmpjxfs4a010tw2rw1g8t4zcb</t>
  </si>
  <si>
    <t>cmpjxfs4e010uw2rwebva7sq2</t>
  </si>
  <si>
    <t>cmpjxfs4i010vw2rwux8xzrvc</t>
  </si>
  <si>
    <t>cmpjxfs4k010ww2rwjj33z657</t>
  </si>
  <si>
    <t>cmpjxfs4m010xw2rwb27fe3vw</t>
  </si>
  <si>
    <t>/api/v1/pecas/33</t>
  </si>
  <si>
    <t>cmpjxfs4q010yw2rw6cnik271</t>
  </si>
  <si>
    <t>cmpjxfs4w010zw2rwc4f8m8p2</t>
  </si>
  <si>
    <t>cmpjxfs510110w2rweu1xw01s</t>
  </si>
  <si>
    <t>cmpjxfs5e0111w2rw0ozs6kye</t>
  </si>
  <si>
    <t>cmpjxfs5g0112w2rwop62u2su</t>
  </si>
  <si>
    <t>cmpjxfs5h0113w2rwcsdyuvhc</t>
  </si>
  <si>
    <t>cmpjxfs5j0114w2rwxxqrmn4p</t>
  </si>
  <si>
    <t>/api/v1/pecas/34</t>
  </si>
  <si>
    <t>cmpjxfs5l0115w2rwxogampty</t>
  </si>
  <si>
    <t>cmpjxfs5m0116w2rwlaenxek9</t>
  </si>
  <si>
    <t>cmpjxfs5o0117w2rwq5299hlm</t>
  </si>
  <si>
    <t>cmpjxfs5p0118w2rwdc8kaiqq</t>
  </si>
  <si>
    <t>cmpjxfs5r0119w2rw39vo3wj2</t>
  </si>
  <si>
    <t>cmpjxfs5y011aw2rwmiymv2ms</t>
  </si>
  <si>
    <t>cmpjxfs5z011bw2rwqjbsw6hp</t>
  </si>
  <si>
    <t>cmpjxfs61011cw2rwkq3ao49t</t>
  </si>
  <si>
    <t>cmpjxfs62011dw2rwy4h2as0h</t>
  </si>
  <si>
    <t>cmpjxfs63011ew2rwfh3fzeoq</t>
  </si>
  <si>
    <t>cmpjxfs65011fw2rwgtoez504</t>
  </si>
  <si>
    <t>cmpjxfs66011gw2rwd9dlhqxr</t>
  </si>
  <si>
    <t>cmpjxfs68011hw2rwok4h6u5k</t>
  </si>
  <si>
    <t>cmpjxfs69011iw2rwn29ls271</t>
  </si>
  <si>
    <t>cmpjxfs6b011jw2rwdxtr1hde</t>
  </si>
  <si>
    <t>cmpjxfs6h011kw2rww89y0k2z</t>
  </si>
  <si>
    <t>cmpjxfs6i011lw2rwm825zfpr</t>
  </si>
  <si>
    <t>cmpjxfs6k011mw2rwbigd46dq</t>
  </si>
  <si>
    <t>cmpjxfs6m011nw2rwepjrm2rk</t>
  </si>
  <si>
    <t>cmpjxfs6n011ow2rw4lfqur6x</t>
  </si>
  <si>
    <t>cmpjxfs6p011pw2rw8j3t9bg0</t>
  </si>
  <si>
    <t>cmpjxfs6s011qw2rwtimwhvb9</t>
  </si>
  <si>
    <t>cmpjxfs76011rw2rwxvol5st6</t>
  </si>
  <si>
    <t>cmpjxfs78011sw2rwlgufaurr</t>
  </si>
  <si>
    <t>cmpjxfs7a011tw2rwmk1mj1cb</t>
  </si>
  <si>
    <t>cmpjxfs7d011uw2rwwrrrcnhj</t>
  </si>
  <si>
    <t>cmpjxfs7f011vw2rwsl1qtgqs</t>
  </si>
  <si>
    <t>cmpjxfs7m011ww2rwvsddy4w5</t>
  </si>
  <si>
    <t>cmpjxfs7o011xw2rwko328xuy</t>
  </si>
  <si>
    <t>/api/v1/pecas/35</t>
  </si>
  <si>
    <t>cmpjxfs7q011yw2rwk3w9ym3m</t>
  </si>
  <si>
    <t>cmpjxfs7t011zw2rw56fjt078</t>
  </si>
  <si>
    <t>cmpjxfs840120w2rw8ir7pvrx</t>
  </si>
  <si>
    <t>cmpjxfs890121w2rwnzdfdou9</t>
  </si>
  <si>
    <t>cmpjxfs8b0122w2rw3vvhk7ps</t>
  </si>
  <si>
    <t>cmpjxfs8e0123w2rwovzh49os</t>
  </si>
  <si>
    <t>cmpjxfs8g0124w2rwfabrdy2b</t>
  </si>
  <si>
    <t>cmpjxfs8i0125w2rwu396vaj2</t>
  </si>
  <si>
    <t>cmpjxfs8j0126w2rwiqmz5e0j</t>
  </si>
  <si>
    <t>cmpjxfs8m0127w2rwnzg1f993</t>
  </si>
  <si>
    <t>cmpjxfs8s0128w2rw3jqahx1c</t>
  </si>
  <si>
    <t>cmpjxfs8w0129w2rwlsw2eo8j</t>
  </si>
  <si>
    <t>cmpjxfs8y012aw2rwmvbl8ro4</t>
  </si>
  <si>
    <t>cmpjxfs90012bw2rwtn4vg5gs</t>
  </si>
  <si>
    <t>/api/v1/pecas/36</t>
  </si>
  <si>
    <t>cmpjxfs94012cw2rwo40rliv6</t>
  </si>
  <si>
    <t>cmpjxfs99012dw2rw5wn0ekij</t>
  </si>
  <si>
    <t>cmpjxfs9b012ew2rwjbsig4q7</t>
  </si>
  <si>
    <t>cmpjxfs9e012fw2rwp3daxjgy</t>
  </si>
  <si>
    <t>cmpjxfs9g012gw2rwj3n0nwmo</t>
  </si>
  <si>
    <t>cmpjxfs9h012hw2rwfeh8od7o</t>
  </si>
  <si>
    <t>cmpjxfs9k012iw2rwtdknw102</t>
  </si>
  <si>
    <t>cmpjxfs9m012jw2rwb0eght0a</t>
  </si>
  <si>
    <t>cmpjxfs9p012kw2rwzlbrr5nf</t>
  </si>
  <si>
    <t>cmpjxfs9v012lw2rwm1apiy4h</t>
  </si>
  <si>
    <t>cmpjxfs9z012mw2rwyjh0axl9</t>
  </si>
  <si>
    <t>cmpjxfsa0012nw2rwbudt4zit</t>
  </si>
  <si>
    <t>/api/v1/pecas/37</t>
  </si>
  <si>
    <t>cmpjxfsa5012ow2rw1qtqdx92</t>
  </si>
  <si>
    <t>cmpjxfsa6012pw2rwnbkjdpxe</t>
  </si>
  <si>
    <t>cmpjxfsa7012qw2rwxu26z7lp</t>
  </si>
  <si>
    <t>cmpjxfsa8012rw2rwdyznzueh</t>
  </si>
  <si>
    <t>12.47</t>
  </si>
  <si>
    <t>cmpjxfsaa012sw2rw2kpmn252</t>
  </si>
  <si>
    <t>cmpjxfsab012tw2rwxl1s1ne5</t>
  </si>
  <si>
    <t>13.1</t>
  </si>
  <si>
    <t>cmpjxfsah012uw2rw4dgoxo2q</t>
  </si>
  <si>
    <t>cmpjxfsak012vw2rwzcfhs3c5</t>
  </si>
  <si>
    <t>/api/v1/pecas/38</t>
  </si>
  <si>
    <t>cmpjxfsam012ww2rw5yhevn8k</t>
  </si>
  <si>
    <t>cmpjxfsan012xw2rwummooane</t>
  </si>
  <si>
    <t>cmpjxfsap012yw2rwq7sdjyef</t>
  </si>
  <si>
    <t>cmpjxfsau012zw2rwvq4emgj8</t>
  </si>
  <si>
    <t>11.47</t>
  </si>
  <si>
    <t>cmpjxfsav0130w2rwvb7u609a</t>
  </si>
  <si>
    <t>12.14</t>
  </si>
  <si>
    <t>cmpjxfsax0131w2rw5zr108tw</t>
  </si>
  <si>
    <t>cmpjxfsb30132w2rw4wvoh95w</t>
  </si>
  <si>
    <t>/api/v1/pecas/39</t>
  </si>
  <si>
    <t>cmpjxfsb50133w2rwk6jsckzu</t>
  </si>
  <si>
    <t>cmpjxfsb60134w2rwqdm7yj6x</t>
  </si>
  <si>
    <t>cmpjxfsb90135w2rw036ww2u5</t>
  </si>
  <si>
    <t>cmpjxfsbc0136w2rwq1r5ip0r</t>
  </si>
  <si>
    <t>cmpjxfsbd0137w2rwcgr0cwwu</t>
  </si>
  <si>
    <t>cmpjxfsbg0138w2rw8ebi2r9z</t>
  </si>
  <si>
    <t>8.67</t>
  </si>
  <si>
    <t>cmpjxfsbi0139w2rwnvsshqn6</t>
  </si>
  <si>
    <t>cmpjxfsbl013aw2rwijkzh1gb</t>
  </si>
  <si>
    <t>cmpjxfsbn013bw2rw3zvkm53i</t>
  </si>
  <si>
    <t>cmpjxfsbp013cw2rw9ksmw9fg</t>
  </si>
  <si>
    <t>cmpjxfsbq013dw2rw1gcvk23w</t>
  </si>
  <si>
    <t>cmpjxfsbs013ew2rwsprgpryt</t>
  </si>
  <si>
    <t>cmpjxfsbu013fw2rweulzwo35</t>
  </si>
  <si>
    <t>cmpjxfsc5013gw2rw9ntbl11r</t>
  </si>
  <si>
    <t>cmpjxfsc6013hw2rwjnvm6x9u</t>
  </si>
  <si>
    <t>cmpjxfscc013iw2rw690xe563</t>
  </si>
  <si>
    <t>cmpjxfscf013jw2rwmwis61pc</t>
  </si>
  <si>
    <t>cmpjxfscj013kw2rwwcw8p3xt</t>
  </si>
  <si>
    <t>cmpjxfsco013lw2rwfgbx0qpv</t>
  </si>
  <si>
    <t>cmpjxfscs013mw2rw870ip7vt</t>
  </si>
  <si>
    <t>cmpjxfscx013nw2rw9cuit3tx</t>
  </si>
  <si>
    <t>cmpjxfsd2013ow2rwp3948od5</t>
  </si>
  <si>
    <t>cmpjxfsd3013pw2rw9xm66dra</t>
  </si>
  <si>
    <t>/api/v1/pecas/40</t>
  </si>
  <si>
    <t>cmpjxfsd7013qw2rwerlpxbm0</t>
  </si>
  <si>
    <t>cmpjxfsd9013rw2rwiajrkb5o</t>
  </si>
  <si>
    <t>cmpjxfsdf013sw2rw60ub4fxf</t>
  </si>
  <si>
    <t>cmpjxfsdg013tw2rwegjiwj54</t>
  </si>
  <si>
    <t>cmpjxfsdj013uw2rwrj9yr33k</t>
  </si>
  <si>
    <t>cmpjxfsdk013vw2rwh0fy6niu</t>
  </si>
  <si>
    <t>cmpjxfsdl013ww2rwlgvoubeh</t>
  </si>
  <si>
    <t>cmpjxfsdm013xw2rw1g0l4l4k</t>
  </si>
  <si>
    <t>/api/v1/pecas/41</t>
  </si>
  <si>
    <t>cmpjxfsdo013yw2rwg0omkse7</t>
  </si>
  <si>
    <t>cmpjxfsdr013zw2rwol555ieb</t>
  </si>
  <si>
    <t>cmpjxfsds0140w2rws41omro3</t>
  </si>
  <si>
    <t>cmpjxfse00141w2rwk8y53et5</t>
  </si>
  <si>
    <t>cmpjxfse20142w2rwtnpbpq3y</t>
  </si>
  <si>
    <t>cmpjxfse30143w2rwg5i9s413</t>
  </si>
  <si>
    <t>cmpjxfse40144w2rwg72p5y3t</t>
  </si>
  <si>
    <t>cmpjxfse60145w2rwl9nkcxar</t>
  </si>
  <si>
    <t>cmpjxfse70146w2rwkyjlo6jl</t>
  </si>
  <si>
    <t>cmpjxfse90147w2rwejhir6ii</t>
  </si>
  <si>
    <t>cmpjxfseb0148w2rwx36xnn77</t>
  </si>
  <si>
    <t>cmpjxfsed0149w2rwfjn1z7ff</t>
  </si>
  <si>
    <t>cmpjxfsef014aw2rwiug653j0</t>
  </si>
  <si>
    <t>cmpjxfsej014bw2rw4ws4zube</t>
  </si>
  <si>
    <t>cmpjxfsem014cw2rwo80yrlu2</t>
  </si>
  <si>
    <t>cmpjxfsen014dw2rw1enaxwmx</t>
  </si>
  <si>
    <t>cmpjxfseo014ew2rwnhk6pne2</t>
  </si>
  <si>
    <t>cmpjxfses014fw2rwspn058gx</t>
  </si>
  <si>
    <t>cmpjxfseu014gw2rww0eeiugp</t>
  </si>
  <si>
    <t>cmpjxfsev014hw2rwob3i30pf</t>
  </si>
  <si>
    <t>cmpjxfsf2014iw2rw9xn9tqfc</t>
  </si>
  <si>
    <t>cmpjxfsf4014jw2rw995np90j</t>
  </si>
  <si>
    <t>cmpjxfsf6014kw2rwle0w5m8r</t>
  </si>
  <si>
    <t>cmpjxfsf7014lw2rw8r0o4bx9</t>
  </si>
  <si>
    <t>cmpjxfsf9014mw2rwoy5e8lqa</t>
  </si>
  <si>
    <t>cmpjxfsfa014nw2rwp9wccbes</t>
  </si>
  <si>
    <t>cmpjxfsfb014ow2rw0a1jbl78</t>
  </si>
  <si>
    <t>/api/v1/pecas/42</t>
  </si>
  <si>
    <t>cmpjxfsfg014pw2rw69ycn91t</t>
  </si>
  <si>
    <t>cmpjxfsfj014qw2rw0wv93uio</t>
  </si>
  <si>
    <t>cmpjxfsfm014rw2rwcwhyo5kv</t>
  </si>
  <si>
    <t>cmpjxfsfq014sw2rwycahuwaj</t>
  </si>
  <si>
    <t>cmpjxfsfs014tw2rw7kpacsey</t>
  </si>
  <si>
    <t>cmpjxfsfu014uw2rw2cz0ruld</t>
  </si>
  <si>
    <t>cmpjxfsfv014vw2rwxxqmikvn</t>
  </si>
  <si>
    <t>cmpjxfsfx014ww2rwewx2bwql</t>
  </si>
  <si>
    <t>cmpjxfsfz014xw2rwl92zu0f8</t>
  </si>
  <si>
    <t>cmpjxfsg1014yw2rwvhumlibs</t>
  </si>
  <si>
    <t>cmpjxfsg4014zw2rwyos4atad</t>
  </si>
  <si>
    <t>cmpjxfsg90150w2rw6nuvmlve</t>
  </si>
  <si>
    <t>cmpjxfsgc0151w2rw3hve5k9j</t>
  </si>
  <si>
    <t>cmpjxfsge0152w2rwdhkgpqd8</t>
  </si>
  <si>
    <t>/api/v1/pecas/43</t>
  </si>
  <si>
    <t>cmpjxfsgg0153w2rwnqdjugum</t>
  </si>
  <si>
    <t>5.66</t>
  </si>
  <si>
    <t>cmpjxfsgi0154w2rwqrfry4uj</t>
  </si>
  <si>
    <t>cmpjxfsgl0155w2rwvk34ksic</t>
  </si>
  <si>
    <t>cmpjxfsgo0156w2rwj254ki65</t>
  </si>
  <si>
    <t>cmpjxfsgq0157w2rw62dgw3js</t>
  </si>
  <si>
    <t>cmpjxfsgr0158w2rwxjif8msl</t>
  </si>
  <si>
    <t>cmpjxfsgt0159w2rw5s3xalqt</t>
  </si>
  <si>
    <t>cmpjxfsgv015aw2rwy9z90oe6</t>
  </si>
  <si>
    <t>cmpjxfsgy015bw2rwtqe8iivw</t>
  </si>
  <si>
    <t>cmpjxfsgz015cw2rw2pp77dia</t>
  </si>
  <si>
    <t>cmpjxfsh7015dw2rwsqechot0</t>
  </si>
  <si>
    <t>cmpjxfshd015ew2rwqh2i7fbh</t>
  </si>
  <si>
    <t>cmpjxfshe015fw2rw6dlgn4pz</t>
  </si>
  <si>
    <t>cmpjxfshg015gw2rwmax5pwwr</t>
  </si>
  <si>
    <t>cmpjxfshh015hw2rwikwppjb8</t>
  </si>
  <si>
    <t>cmpjxfshi015iw2rw0hbcc29y</t>
  </si>
  <si>
    <t>cmpjxfshj015jw2rwhvpq2bwy</t>
  </si>
  <si>
    <t>13.24</t>
  </si>
  <si>
    <t>cmpjxfshk015kw2rw1g3r7h82</t>
  </si>
  <si>
    <t>cmpjxfshm015lw2rwv4mqbcek</t>
  </si>
  <si>
    <t>cmpjxfsho015mw2rwu2jcs1s2</t>
  </si>
  <si>
    <t>/api/v1/pecas/44</t>
  </si>
  <si>
    <t>cmpjxfsht015nw2rwzgess85l</t>
  </si>
  <si>
    <t>cmpjxfshu015ow2rwdtx9es3o</t>
  </si>
  <si>
    <t>cmpjxfshx015pw2rw9zovv1pl</t>
  </si>
  <si>
    <t>cmpjxfshz015qw2rwffeig4f4</t>
  </si>
  <si>
    <t>cmpjxfsi0015rw2rwcp9brgp3</t>
  </si>
  <si>
    <t>9.99</t>
  </si>
  <si>
    <t>cmpjxfsi1015sw2rwuta42w6m</t>
  </si>
  <si>
    <t>cmpjxfsi2015tw2rwhjm0dyoa</t>
  </si>
  <si>
    <t>10.91</t>
  </si>
  <si>
    <t>cmpjxfsi8015uw2rwdd81tmet</t>
  </si>
  <si>
    <t>cmpjxfsig015vw2rw45c74vgp</t>
  </si>
  <si>
    <t>cmpjxfsij015ww2rwmads6a3q</t>
  </si>
  <si>
    <t>11.77</t>
  </si>
  <si>
    <t>cmpjxfsik015xw2rwgtasjf0b</t>
  </si>
  <si>
    <t>cmpjxfsim015yw2rw9cpgntue</t>
  </si>
  <si>
    <t>/api/v1/pecas/45</t>
  </si>
  <si>
    <t>cmpjxfsio015zw2rwavqpurtx</t>
  </si>
  <si>
    <t>cmpjxfsiq0160w2rwiexv063u</t>
  </si>
  <si>
    <t>15.97</t>
  </si>
  <si>
    <t>cmpjxfsiv0161w2rw4eg9nngi</t>
  </si>
  <si>
    <t>19.63</t>
  </si>
  <si>
    <t>cmpjxfsiw0162w2rwd9mlmpjv</t>
  </si>
  <si>
    <t>cmpjxfsj00163w2rwo63uc0rh</t>
  </si>
  <si>
    <t>cmpjxfsj70164w2rwsgj0rhau</t>
  </si>
  <si>
    <t>cmpjxfsj90165w2rwh6gw44fi</t>
  </si>
  <si>
    <t>cmpjxfsja0166w2rwf3si1n0k</t>
  </si>
  <si>
    <t>cmpjxfsjb0167w2rwcawhqf1h</t>
  </si>
  <si>
    <t>cmpjxfsjn0168w2rws1upe4la</t>
  </si>
  <si>
    <t>cmpjxfsju0169w2rw456avb69</t>
  </si>
  <si>
    <t>cmpjxfsjy016aw2rwee9gu3ue</t>
  </si>
  <si>
    <t>cmpjxfsk4016bw2rw97pny5vd</t>
  </si>
  <si>
    <t>cmpjxfsk6016cw2rwrvkkssq9</t>
  </si>
  <si>
    <t>cmpjxfsk8016dw2rw63bkv37z</t>
  </si>
  <si>
    <t>cmpjxfska016ew2rw7dcx5aiv</t>
  </si>
  <si>
    <t>cmpjxfskb016fw2rwv2cjfkez</t>
  </si>
  <si>
    <t>cmpjxfskg016gw2rwk7u9q0ih</t>
  </si>
  <si>
    <t>cmpjxfski016hw2rwpcopa9og</t>
  </si>
  <si>
    <t>/api/v1/pecas/46</t>
  </si>
  <si>
    <t>cmpjxfskk016iw2rwr7y214wz</t>
  </si>
  <si>
    <t>cmpjxfskm016jw2rwvh2b2cl0</t>
  </si>
  <si>
    <t>cmpjxfsko016kw2rwrx7qtnhl</t>
  </si>
  <si>
    <t>cmpjxfskq016lw2rwttiqudki</t>
  </si>
  <si>
    <t>cmpjxfsks016mw2rwxs0kioja</t>
  </si>
  <si>
    <t>cmpjxfsky016nw2rwki9bqegm</t>
  </si>
  <si>
    <t>cmpjxfsl1016ow2rwn573cu3u</t>
  </si>
  <si>
    <t>cmpjxfsl4016pw2rwhywjxjyj</t>
  </si>
  <si>
    <t>cmpjxfsl5016qw2rw0f35spnc</t>
  </si>
  <si>
    <t>/api/v1/pecas/47</t>
  </si>
  <si>
    <t>cmpjxfsl6016rw2rwghc1anlo</t>
  </si>
  <si>
    <t>cmpjxfsl8016sw2rwyizkup6c</t>
  </si>
  <si>
    <t>cmpjxfsla016tw2rwt2hgei4k</t>
  </si>
  <si>
    <t>cmpjxfslc016uw2rw6dji1irx</t>
  </si>
  <si>
    <t>cmpjxfslj016vw2rwql7z94d8</t>
  </si>
  <si>
    <t>cmpjxfslk016ww2rwszocc79b</t>
  </si>
  <si>
    <t>cmpjxfsll016xw2rwxhk6bgrs</t>
  </si>
  <si>
    <t>cmpjxfslm016yw2rwe52zz0cl</t>
  </si>
  <si>
    <t>cmpjxfslo016zw2rwtszblvn5</t>
  </si>
  <si>
    <t>cmpjxfslq0170w2rwn6gfryj6</t>
  </si>
  <si>
    <t>cmpjxfsls0171w2rwwo1yqv4k</t>
  </si>
  <si>
    <t>cmpjxfslt0172w2rwi62se0ly</t>
  </si>
  <si>
    <t>cmpjxfslv0173w2rwioufwopu</t>
  </si>
  <si>
    <t>cmpjxfsm20174w2rw4b3ypoy9</t>
  </si>
  <si>
    <t>cmpjxfsm30175w2rwjlk7mzd8</t>
  </si>
  <si>
    <t>cmpjxfsm70176w2rw9hmm18m6</t>
  </si>
  <si>
    <t>cmpjxfsm80177w2rwpyari8au</t>
  </si>
  <si>
    <t>cmpjxfsma0178w2rw8m36t041</t>
  </si>
  <si>
    <t>cmpjxfsmb0179w2rw86plvb6q</t>
  </si>
  <si>
    <t>cmpjxfsmj017aw2rw0mykulqv</t>
  </si>
  <si>
    <t>cmpjxfsmp017bw2rwy4d77mq2</t>
  </si>
  <si>
    <t>cmpjxfsmq017cw2rwzuudn2cw</t>
  </si>
  <si>
    <t>cmpjxfsmr017dw2rww3lvk1k7</t>
  </si>
  <si>
    <t>/api/v1/pecas/48</t>
  </si>
  <si>
    <t>cmpjxfsmt017ew2rwepc9e28d</t>
  </si>
  <si>
    <t>13</t>
  </si>
  <si>
    <t>cmpjxfsmy017fw2rw693jhhyo</t>
  </si>
  <si>
    <t>cmpjxfsmz017gw2rwhvsexvgf</t>
  </si>
  <si>
    <t>cmpjxfsn0017hw2rwa6xq593g</t>
  </si>
  <si>
    <t>cmpjxfsn6017iw2rw5pcglyg3</t>
  </si>
  <si>
    <t>cmpjxfsna017jw2rwz6m5ke8m</t>
  </si>
  <si>
    <t>cmpjxfsnd017kw2rwhxraqr0n</t>
  </si>
  <si>
    <t>cmpjxfsne017lw2rwjo9twooj</t>
  </si>
  <si>
    <t>cmpjxfsnk017mw2rwuu4wxua7</t>
  </si>
  <si>
    <t>cmpjxfsnm017nw2rw7ogg7g0h</t>
  </si>
  <si>
    <t>cmpjxfsno017ow2rwerdd980s</t>
  </si>
  <si>
    <t>cmpjxfsnp017pw2rweno4kchb</t>
  </si>
  <si>
    <t>cmpjxfsns017qw2rwzp2zt81w</t>
  </si>
  <si>
    <t>cmpjxfsnu017rw2rwqweybj4e</t>
  </si>
  <si>
    <t>cmpjxfsnv017sw2rwfktwr0bx</t>
  </si>
  <si>
    <t>/api/v1/pecas/49</t>
  </si>
  <si>
    <t>cmpjxfsnw017tw2rw668luim3</t>
  </si>
  <si>
    <t>cmpjxfsny017uw2rwmxfuz8nd</t>
  </si>
  <si>
    <t>cmpjxfso2017vw2rwouwsarkz</t>
  </si>
  <si>
    <t>cmpjxfso6017ww2rwglo6p8ek</t>
  </si>
  <si>
    <t>cmpjxfso8017xw2rwduiscgbt</t>
  </si>
  <si>
    <t>cmpjxfso9017yw2rwpdf2oiq8</t>
  </si>
  <si>
    <t>cmpjxfsob017zw2rwk9di3c8v</t>
  </si>
  <si>
    <t>cmpjxfsoe0180w2rw40ywzv2h</t>
  </si>
  <si>
    <t>cmpjxfsoh0181w2rwbyo8vy7k</t>
  </si>
  <si>
    <t>cmpjxfsok0182w2rwi138pfvb</t>
  </si>
  <si>
    <t>/api/v1/pecas/50</t>
  </si>
  <si>
    <t>cmpjxfsop0183w2rwwd36a42m</t>
  </si>
  <si>
    <t>cmpjxfsor0184w2rwha4ant2m</t>
  </si>
  <si>
    <t>cmpjxfsos0185w2rwjhastxcr</t>
  </si>
  <si>
    <t>12.05</t>
  </si>
  <si>
    <t>cmpjxfsou0186w2rwm11rutb0</t>
  </si>
  <si>
    <t>cmpjxfsov0187w2rw40ytfyb3</t>
  </si>
  <si>
    <t>cmpjxfsox0188w2rw9o6nzn4s</t>
  </si>
  <si>
    <t>cmpjxfsoy0189w2rwa3nunooz</t>
  </si>
  <si>
    <t>cmpjxfsp1018aw2rwbgq1txba</t>
  </si>
  <si>
    <t>cmpjxfsp5018bw2rwptjdsl2e</t>
  </si>
  <si>
    <t>cmpjxfsp7018cw2rwjhjd2syy</t>
  </si>
  <si>
    <t>cmpjxfsp9018dw2rwfp6a6x4c</t>
  </si>
  <si>
    <t>cmpjxfspb018ew2rwst8oz6ag</t>
  </si>
  <si>
    <t>cmpjxfspf018fw2rwxuu1yoa6</t>
  </si>
  <si>
    <t>cmpjxfspk018gw2rwkhviuorx</t>
  </si>
  <si>
    <t>cmpjxfspn018hw2rw5pv81ivn</t>
  </si>
  <si>
    <t>/api/v1/pecas/51</t>
  </si>
  <si>
    <t>cmpjxfsps018iw2rwssf49pcq</t>
  </si>
  <si>
    <t>cmpjxfspt018jw2rwlb3xguk3</t>
  </si>
  <si>
    <t>cmpjxfspu018kw2rw7rk62ud9</t>
  </si>
  <si>
    <t>cmpjxfspv018lw2rwc4mnsnfl</t>
  </si>
  <si>
    <t>cmpjxfsq2018mw2rwcuwsbr5i</t>
  </si>
  <si>
    <t>cmpjxfsq7018nw2rw0pd06bih</t>
  </si>
  <si>
    <t>cmpjxfsqb018ow2rw7jb63bht</t>
  </si>
  <si>
    <t>cmpjxfsqc018pw2rwasmxtv2v</t>
  </si>
  <si>
    <t>cmpjxfsqg018qw2rwhkeojuq6</t>
  </si>
  <si>
    <t>cmpjxfsqn018rw2rw3dlk8kiz</t>
  </si>
  <si>
    <t>cmpjxfsqt018sw2rwztm20eb4</t>
  </si>
  <si>
    <t>cmpjxfsqv018tw2rw2taml1ow</t>
  </si>
  <si>
    <t>cmpjxfsqz018uw2rw5s21uyqz</t>
  </si>
  <si>
    <t>/api/v1/pecas/52</t>
  </si>
  <si>
    <t>cmpjxfsr1018vw2rwxq29rtq7</t>
  </si>
  <si>
    <t>cmpjxfsr3018ww2rwy4ejp2w5</t>
  </si>
  <si>
    <t>cmpjxfsr4018xw2rw246v16jx</t>
  </si>
  <si>
    <t>cmpjxfsr6018yw2rwtsz94nan</t>
  </si>
  <si>
    <t>cmpjxfsrb018zw2rwa4cevybk</t>
  </si>
  <si>
    <t>cmpjxfsrc0190w2rwqklacarn</t>
  </si>
  <si>
    <t>cmpjxfsrf0191w2rwfgg6rzpi</t>
  </si>
  <si>
    <t>cmpjxfsrg0192w2rwgl1cxdso</t>
  </si>
  <si>
    <t>cmpjxfsri0193w2rwjg99k4zv</t>
  </si>
  <si>
    <t>cmpjxfsrk0194w2rwqz67235k</t>
  </si>
  <si>
    <t>cmpjxfsru0195w2rw2tn9jsri</t>
  </si>
  <si>
    <t>cmpjxfsrw0196w2rwz310f7gj</t>
  </si>
  <si>
    <t>cmpjxfsrx0197w2rwtbzld087</t>
  </si>
  <si>
    <t>cmpjxfsrz0198w2rwbiuh3f9d</t>
  </si>
  <si>
    <t>cmpjxfss00199w2rw91z4x596</t>
  </si>
  <si>
    <t>cmpjxfss2019aw2rw1geg59tq</t>
  </si>
  <si>
    <t>/api/v1/pecas/53</t>
  </si>
  <si>
    <t>cmpjxfss3019bw2rwhg3ia6pr</t>
  </si>
  <si>
    <t>cmpjxfss8019cw2rwmbm47nip</t>
  </si>
  <si>
    <t>cmpjxfss9019dw2rwcgb5uup7</t>
  </si>
  <si>
    <t>cmpjxfssb019ew2rw229m6ivu</t>
  </si>
  <si>
    <t>cmpjxfssc019fw2rwub7p2c43</t>
  </si>
  <si>
    <t>cmpjxfsse019gw2rwhx8s9ly9</t>
  </si>
  <si>
    <t>cmpjxfssf019hw2rwm0r5cw87</t>
  </si>
  <si>
    <t>cmpjxfssj019iw2rw2faaaeui</t>
  </si>
  <si>
    <t>cmpjxfssp019jw2rw9oajrpuc</t>
  </si>
  <si>
    <t>cmpjxfsss019kw2rwv3i1vuxi</t>
  </si>
  <si>
    <t>cmpjxfssu019lw2rw8utnt3ff</t>
  </si>
  <si>
    <t>cmpjxfssw019mw2rw278oa77b</t>
  </si>
  <si>
    <t>cmpjxfssx019nw2rwpwwz1e4e</t>
  </si>
  <si>
    <t>cmpjxfssz019ow2rwqhq3l0ix</t>
  </si>
  <si>
    <t>cmpjxfst5019pw2rw8gssu9qh</t>
  </si>
  <si>
    <t>cmpjxfst7019qw2rw4plnblba</t>
  </si>
  <si>
    <t>cmpjxfst8019rw2rwu5czh12r</t>
  </si>
  <si>
    <t>cmpjxfsta019sw2rwhmbawve9</t>
  </si>
  <si>
    <t>cmpjxfstd019tw2rwihvppzmw</t>
  </si>
  <si>
    <t>/api/v1/pecas/54</t>
  </si>
  <si>
    <t>cmpjxfstf019uw2rw2yskczyg</t>
  </si>
  <si>
    <t>cmpjxfstm019vw2rw0uifdp21</t>
  </si>
  <si>
    <t>cmpjxfstp019ww2rwzg11sp8g</t>
  </si>
  <si>
    <t>cmpjxfstq019xw2rw2klxr041</t>
  </si>
  <si>
    <t>cmpjxfsts019yw2rwfugkflmv</t>
  </si>
  <si>
    <t>cmpjxfstu019zw2rw6zkfkf1f</t>
  </si>
  <si>
    <t>cmpjxfstz01a0w2rwfgetcrgj</t>
  </si>
  <si>
    <t>cmpjxfsu101a1w2rwhd9dzzcf</t>
  </si>
  <si>
    <t>cmpjxfsu201a2w2rwn1at7jrm</t>
  </si>
  <si>
    <t>cmpjxfsu301a3w2rwp8hu0d3j</t>
  </si>
  <si>
    <t>cmpjxfsu501a4w2rw0f4qy3n1</t>
  </si>
  <si>
    <t>cmpjxfsu701a5w2rwqzcg0szc</t>
  </si>
  <si>
    <t>cmpjxfsu801a6w2rwvbtpvhox</t>
  </si>
  <si>
    <t>/api/v1/pecas/55</t>
  </si>
  <si>
    <t>cmpjxfsua01a7w2rwfymki3gv</t>
  </si>
  <si>
    <t>cmpjxfsud01a8w2rwqnjo76cf</t>
  </si>
  <si>
    <t>7.89</t>
  </si>
  <si>
    <t>cmpjxfsug01a9w2rwnutez5ta</t>
  </si>
  <si>
    <t>cmpjxfsui01aaw2rwtg2fho61</t>
  </si>
  <si>
    <t>cmpjxfsuk01abw2rwn3fvo09j</t>
  </si>
  <si>
    <t>6.08</t>
  </si>
  <si>
    <t>cmpjxfsum01acw2rwg053h1ls</t>
  </si>
  <si>
    <t>cmpjxfsus01adw2rw178smbh4</t>
  </si>
  <si>
    <t>8.52</t>
  </si>
  <si>
    <t>cmpjxfsuu01aew2rwolxtqf5m</t>
  </si>
  <si>
    <t>/api/v1/pecas/56</t>
  </si>
  <si>
    <t>cmpjxfsuz01afw2rwlza8m9sg</t>
  </si>
  <si>
    <t>cmpjxfsv101agw2rwm6yiri54</t>
  </si>
  <si>
    <t>cmpjxfsv201ahw2rwmd2b5msl</t>
  </si>
  <si>
    <t>cmpjxfsv301aiw2rw161y3x72</t>
  </si>
  <si>
    <t>12.96</t>
  </si>
  <si>
    <t>cmpjxfsv401ajw2rw46xs8z4r</t>
  </si>
  <si>
    <t>cmpjxfsv701akw2rwo6b6ctnl</t>
  </si>
  <si>
    <t>cmpjxfsvf01alw2rw4dx29g5i</t>
  </si>
  <si>
    <t>cmpjxfsvh01amw2rw4j0jocx0</t>
  </si>
  <si>
    <t>cmpjxfsvi01anw2rw1xtrronk</t>
  </si>
  <si>
    <t>cmpjxfsvl01aow2rw24qv7i98</t>
  </si>
  <si>
    <t>cmpjxfsvr01apw2rwc68bxkqp</t>
  </si>
  <si>
    <t>cmpjxfsvx01aqw2rwvx3sm204</t>
  </si>
  <si>
    <t>/api/v1/pecas/57</t>
  </si>
  <si>
    <t>cmpjxfsvz01arw2rw7slgr0fw</t>
  </si>
  <si>
    <t>cmpjxfsw401asw2rw4iqgtz5d</t>
  </si>
  <si>
    <t>cmpjxfsw501atw2rwiecb9g4a</t>
  </si>
  <si>
    <t>cmpjxfsw701auw2rwb9orj9ju</t>
  </si>
  <si>
    <t>cmpjxfswb01avw2rwuzw2x2c6</t>
  </si>
  <si>
    <t>cmpjxfswe01aww2rw2lxxqr68</t>
  </si>
  <si>
    <t>cmpjxfswj01axw2rwcby1koyq</t>
  </si>
  <si>
    <t>cmpjxfswm01ayw2rwwgxw997f</t>
  </si>
  <si>
    <t>cmpjxfswr01azw2rws4drqpg1</t>
  </si>
  <si>
    <t>cmpjxfswt01b0w2rw543oxodp</t>
  </si>
  <si>
    <t>cmpjxfswz01b1w2rwfmcnda1i</t>
  </si>
  <si>
    <t>cmpjxfsx201b2w2rwl5032kq2</t>
  </si>
  <si>
    <t>cmpjxfsx501b3w2rwo2mh8r7g</t>
  </si>
  <si>
    <t>cmpjxfsx601b4w2rwpsryao0k</t>
  </si>
  <si>
    <t>cmpjxfsx801b5w2rw0oh67on5</t>
  </si>
  <si>
    <t>/api/v1/pecas/58</t>
  </si>
  <si>
    <t>cmpjxfsxb01b6w2rwyuy7pd69</t>
  </si>
  <si>
    <t>7.98</t>
  </si>
  <si>
    <t>cmpjxfsxc01b7w2rw77wtm9kc</t>
  </si>
  <si>
    <t>cmpjxfsxe01b8w2rwcqu27ne4</t>
  </si>
  <si>
    <t>cmpjxfsxg01b9w2rwxxnsfvre</t>
  </si>
  <si>
    <t>cmpjxfsxj01baw2rw747k4nlj</t>
  </si>
  <si>
    <t>cmpjxfsxk01bbw2rwfnqujbdz</t>
  </si>
  <si>
    <t>cmpjxfsxp01bcw2rwp894f32t</t>
  </si>
  <si>
    <t>cmpjxfsxr01bdw2rwkccbd0z2</t>
  </si>
  <si>
    <t>cmpjxfsxt01bew2rwtpbqs52k</t>
  </si>
  <si>
    <t>cmpjxfsxy01bfw2rwancrw5av</t>
  </si>
  <si>
    <t>cmpjxfsy201bgw2rweoknwp4y</t>
  </si>
  <si>
    <t>cmpjxfsy301bhw2rwkxk06x7f</t>
  </si>
  <si>
    <t>cmpjxfsy501biw2rwtplehx0w</t>
  </si>
  <si>
    <t>cmpjxfsy901bjw2rwkl1ray9h</t>
  </si>
  <si>
    <t>cmpjxfsya01bkw2rwh2sesvpk</t>
  </si>
  <si>
    <t>/api/v1/pecas/59</t>
  </si>
  <si>
    <t>cmpjxfsyc01blw2rw90tt2gg4</t>
  </si>
  <si>
    <t>6</t>
  </si>
  <si>
    <t>cmpjxfsye01bmw2rwz58svjgp</t>
  </si>
  <si>
    <t>cmpjxfsyg01bnw2rwz6ewmjdy</t>
  </si>
  <si>
    <t>cmpjxfsyh01bow2rw0qzjkni5</t>
  </si>
  <si>
    <t>cmpjxfsyk01bpw2rwndrw6ce0</t>
  </si>
  <si>
    <t>cmpjxfsyn01bqw2rwx885xh2g</t>
  </si>
  <si>
    <t>cmpjxfsyp01brw2rw2taylksw</t>
  </si>
  <si>
    <t>cmpjxfsyr01bsw2rwnexn774e</t>
  </si>
  <si>
    <t>cmpjxfsyt01btw2rwk4fx2eha</t>
  </si>
  <si>
    <t>cmpjxfsyv01buw2rwt5nuudgu</t>
  </si>
  <si>
    <t>cmpjxfsyy01bvw2rwxzrmgjhp</t>
  </si>
  <si>
    <t>cmpjxfsz301bww2rwc9yfckrk</t>
  </si>
  <si>
    <t>cmpjxfsz401bxw2rw9c87aqt2</t>
  </si>
  <si>
    <t>cmpjxfsz601byw2rw5qslmop8</t>
  </si>
  <si>
    <t>cmpjxfsz701bzw2rwb6gq9rp8</t>
  </si>
  <si>
    <t>cmpjxfszc01c0w2rwl5hr7eiu</t>
  </si>
  <si>
    <t>/api/v1/pecas/60</t>
  </si>
  <si>
    <t>cmpjxfszi01c1w2rwvrd7f4wq</t>
  </si>
  <si>
    <t>cmpjxfszj01c2w2rwqlj9yx08</t>
  </si>
  <si>
    <t>cmpjxfszm01c3w2rwiiww2069</t>
  </si>
  <si>
    <t>cmpjxfszs01c4w2rwhk5n4apa</t>
  </si>
  <si>
    <t>cmpjxfszu01c5w2rwuy23rnhx</t>
  </si>
  <si>
    <t>cmpjxfszx01c6w2rwj4aqwhdt</t>
  </si>
  <si>
    <t>/api/v1/pecas/61</t>
  </si>
  <si>
    <t>cmpjxfszy01c7w2rwes5bxkcp</t>
  </si>
  <si>
    <t>cmpjxft0201c8w2rwz1amncbk</t>
  </si>
  <si>
    <t>5.79</t>
  </si>
  <si>
    <t>cmpjxft0401c9w2rwuueww8bm</t>
  </si>
  <si>
    <t>cmpjxft0601caw2rw3nrsnc8p</t>
  </si>
  <si>
    <t>cmpjxft0801cbw2rwtu32xipx</t>
  </si>
  <si>
    <t>cmpjxft0901ccw2rwjpejbicw</t>
  </si>
  <si>
    <t>/api/v1/pecas/62</t>
  </si>
  <si>
    <t>cmpjxft0b01cdw2rwbbbud27i</t>
  </si>
  <si>
    <t>cmpjxft0d01cew2rw9s48m42p</t>
  </si>
  <si>
    <t>cmpjxft0h01cfw2rw3h7v78nm</t>
  </si>
  <si>
    <t>cmpjxft0j01cgw2rwpz4geopw</t>
  </si>
  <si>
    <t>cmpjxft0m01chw2rwjwpker0v</t>
  </si>
  <si>
    <t>cmpjxft0n01ciw2rwxwfv52s4</t>
  </si>
  <si>
    <t>cmpjxft0q01cjw2rw13emsxjq</t>
  </si>
  <si>
    <t>cmpjxft0s01ckw2rwyorj230n</t>
  </si>
  <si>
    <t>/api/v1/pecas/63</t>
  </si>
  <si>
    <t>cmpjxft0w01clw2rwadpspxpt</t>
  </si>
  <si>
    <t>cmpjxft1001cmw2rwgywkj1hx</t>
  </si>
  <si>
    <t>cmpjxft1401cnw2rw6xfpj72u</t>
  </si>
  <si>
    <t>cmpjxft1b01cow2rw9xwv4m11</t>
  </si>
  <si>
    <t>cmpjxft1d01cpw2rwltp9lg21</t>
  </si>
  <si>
    <t>cmpjxft1i01cqw2rwbkkl3bdf</t>
  </si>
  <si>
    <t>cmpjxft1k01crw2rwesqge5gs</t>
  </si>
  <si>
    <t>cmpjxft1q01csw2rwoeb0573d</t>
  </si>
  <si>
    <t>cmpjxft1r01ctw2rwfvfffhd2</t>
  </si>
  <si>
    <t>/api/v1/pecas/64</t>
  </si>
  <si>
    <t>cmpjxft1w01cuw2rwawzmd9fj</t>
  </si>
  <si>
    <t>cmpjxft2101cvw2rw1bw86ilb</t>
  </si>
  <si>
    <t>cmpjxft2301cww2rwh9l0ofk4</t>
  </si>
  <si>
    <t>cmpjxft2401cxw2rw924nyy73</t>
  </si>
  <si>
    <t>cmpjxft2601cyw2rwbjcu5ult</t>
  </si>
  <si>
    <t>cmpjxft2801czw2rwlq5lp03b</t>
  </si>
  <si>
    <t>cmpjxft2a01d0w2rwdxtghk3s</t>
  </si>
  <si>
    <t>cmpjxft2g01d1w2rwkobethk7</t>
  </si>
  <si>
    <t>cmpjxft2h01d2w2rwf4bqb3da</t>
  </si>
  <si>
    <t>cmpjxft2j01d3w2rwfss83ee5</t>
  </si>
  <si>
    <t>cmpjxft2k01d4w2rwtycp3q6v</t>
  </si>
  <si>
    <t>cmpjxft2m01d5w2rwdboefebt</t>
  </si>
  <si>
    <t>cmpjxft2q01d6w2rw2eujvcx1</t>
  </si>
  <si>
    <t>cmpjxft2r01d7w2rw69yineb1</t>
  </si>
  <si>
    <t>cmpjxft2t01d8w2rw1xv1yep0</t>
  </si>
  <si>
    <t>cmpjxft2u01d9w2rwhn2pkr9m</t>
  </si>
  <si>
    <t>cmpjxft2x01daw2rwe9cit3sh</t>
  </si>
  <si>
    <t>cmpjxft3501dbw2rwa3quha2m</t>
  </si>
  <si>
    <t>cmpjxft3701dcw2rwi559pnjq</t>
  </si>
  <si>
    <t>cmpjxft3901ddw2rwls3ki4r5</t>
  </si>
  <si>
    <t>cmpjxft3a01dew2rwtgn6c7j1</t>
  </si>
  <si>
    <t>cmpjxft3g01dfw2rwwqd88ixj</t>
  </si>
  <si>
    <t>cmpjxft3j01dgw2rwcntb41l5</t>
  </si>
  <si>
    <t>/api/v1/pecas/65</t>
  </si>
  <si>
    <t>cmpjxft3l01dhw2rwv9nn02cg</t>
  </si>
  <si>
    <t>cmpjxft3n01diw2rw9e9b3vy4</t>
  </si>
  <si>
    <t>cmpjxft3p01djw2rw45kkzbbv</t>
  </si>
  <si>
    <t>cmpjxft3r01dkw2rwpw57kwcy</t>
  </si>
  <si>
    <t>cmpjxft3v01dlw2rw8oxnsz4k</t>
  </si>
  <si>
    <t>cmpjxft3y01dmw2rwjdrihgnu</t>
  </si>
  <si>
    <t>cmpjxft3z01dnw2rwtn3a4ahw</t>
  </si>
  <si>
    <t>cmpjxft4101dow2rw9kuannwd</t>
  </si>
  <si>
    <t>cmpjxft4301dpw2rw2r56us7u</t>
  </si>
  <si>
    <t>cmpjxft4b01dqw2rwb6ahtlp8</t>
  </si>
  <si>
    <t>cmpjxft4d01drw2rwjfjtkso7</t>
  </si>
  <si>
    <t>cmpjxft4f01dsw2rwjxca5mpm</t>
  </si>
  <si>
    <t>cmpjxft4i01dtw2rwptdkrhds</t>
  </si>
  <si>
    <t>3.73</t>
  </si>
  <si>
    <t>cmpjxft4k01duw2rwf3k3e4ry</t>
  </si>
  <si>
    <t>cmpjxft4n01dvw2rwtc6ek4zg</t>
  </si>
  <si>
    <t>/api/v1/pecas/66</t>
  </si>
  <si>
    <t>cmpjxft4q01dww2rw8jse2cyw</t>
  </si>
  <si>
    <t>cmpjxft4s01dxw2rwkjwoke8x</t>
  </si>
  <si>
    <t>cmpjxft4v01dyw2rwwvxvduaa</t>
  </si>
  <si>
    <t>cmpjxft4z01dzw2rwrt5neazs</t>
  </si>
  <si>
    <t>cmpjxft5301e0w2rw9ka0h7xy</t>
  </si>
  <si>
    <t>cmpjxft5601e1w2rwscknhymh</t>
  </si>
  <si>
    <t>cmpjxft5901e2w2rw93mrgohi</t>
  </si>
  <si>
    <t>4.26</t>
  </si>
  <si>
    <t>cmpjxft5c01e3w2rwr2i46pes</t>
  </si>
  <si>
    <t>cmpjxft5e01e4w2rw344df631</t>
  </si>
  <si>
    <t>2.89</t>
  </si>
  <si>
    <t>cmpjxft5f01e5w2rwid7rbhwn</t>
  </si>
  <si>
    <t>/api/v1/pecas/67</t>
  </si>
  <si>
    <t>cmpjxft5g01e6w2rwxk0ysp30</t>
  </si>
  <si>
    <t>cmpjxft5k01e7w2rwrewfjhu1</t>
  </si>
  <si>
    <t>cmpjxft5l01e8w2rw133v4ysf</t>
  </si>
  <si>
    <t>cmpjxft5o01e9w2rwr4lb2byw</t>
  </si>
  <si>
    <t>5.88</t>
  </si>
  <si>
    <t>cmpjxft5p01eaw2rwzz0ep6ns</t>
  </si>
  <si>
    <t>cmpjxft5z01ebw2rwmy0rogek</t>
  </si>
  <si>
    <t>cmpjxft6101ecw2rw96jfmn1y</t>
  </si>
  <si>
    <t>cmpjxft6401edw2rw3ioxuvd8</t>
  </si>
  <si>
    <t>cmpjxft6a01eew2rwj4w3zrp1</t>
  </si>
  <si>
    <t>cmpjxft6b01efw2rwl652kagm</t>
  </si>
  <si>
    <t>/api/v1/pecas/68</t>
  </si>
  <si>
    <t>cmpjxft6c01egw2rwb2fhoirk</t>
  </si>
  <si>
    <t>cmpjxft6f01ehw2rwdf8j7ry4</t>
  </si>
  <si>
    <t>cmpjxft6m01eiw2rwt9l2atir</t>
  </si>
  <si>
    <t>cmpjxft6o01ejw2rwjnbvb38x</t>
  </si>
  <si>
    <t>cmpjxft6q01ekw2rwd25xvs7r</t>
  </si>
  <si>
    <t>cmpjxft6s01elw2rwt4x9m97k</t>
  </si>
  <si>
    <t>cmpjxft6u01emw2rw4oynmxwj</t>
  </si>
  <si>
    <t>cmpjxft6z01enw2rwautlq8zz</t>
  </si>
  <si>
    <t>cmpjxft7001eow2rw5le00j36</t>
  </si>
  <si>
    <t>cmpjxft7201epw2rwlldxq66u</t>
  </si>
  <si>
    <t>cmpjxft7401eqw2rwfm6om57o</t>
  </si>
  <si>
    <t>cmpjxft7701erw2rwhkzqwah9</t>
  </si>
  <si>
    <t>cmpjxft7801esw2rwh28hui02</t>
  </si>
  <si>
    <t>cmpjxft7a01etw2rwuhq48xqe</t>
  </si>
  <si>
    <t>cmpjxft7b01euw2rwa0r1ho2c</t>
  </si>
  <si>
    <t>cmpjxft7k01evw2rwm7duqcsw</t>
  </si>
  <si>
    <t>cmpjxft7m01eww2rwjy0svodf</t>
  </si>
  <si>
    <t>cmpjxft7o01exw2rw9qp6usam</t>
  </si>
  <si>
    <t>cmpjxft7q01eyw2rw7ttb8u37</t>
  </si>
  <si>
    <t>cmpjxft7v01ezw2rwfs7jo7bo</t>
  </si>
  <si>
    <t>/api/v1/pecas/69</t>
  </si>
  <si>
    <t>cmpjxft7x01f0w2rw0gaufoy6</t>
  </si>
  <si>
    <t>cmpjxft7y01f1w2rwx5xcah17</t>
  </si>
  <si>
    <t>cmpjxft8001f2w2rwt8t7iany</t>
  </si>
  <si>
    <t>cmpjxft8501f3w2rwqaeulzmr</t>
  </si>
  <si>
    <t>cmpjxft8701f4w2rwv9zxiekt</t>
  </si>
  <si>
    <t>cmpjxft8901f5w2rwmw2ps7ia</t>
  </si>
  <si>
    <t>cmpjxft8c01f6w2rwfnackxty</t>
  </si>
  <si>
    <t>cmpjxft8f01f7w2rwy3vv6fvr</t>
  </si>
  <si>
    <t>cmpjxft8h01f8w2rw3rxbnk8b</t>
  </si>
  <si>
    <t>cmpjxft8j01f9w2rw4cmw1iwt</t>
  </si>
  <si>
    <t>cmpjxft8n01faw2rw009bwi7p</t>
  </si>
  <si>
    <t>2.46</t>
  </si>
  <si>
    <t>cmpjxft8q01fbw2rwukdiih45</t>
  </si>
  <si>
    <t>cmpjxft8r01fcw2rw45zjsg0o</t>
  </si>
  <si>
    <t>cmpjxft8w01fdw2rw1h4x8mz2</t>
  </si>
  <si>
    <t>/api/v1/pecas/70</t>
  </si>
  <si>
    <t>cmpjxft8z01few2rw7zcaqhym</t>
  </si>
  <si>
    <t>cmpjxft9001ffw2rwmksy9vu1</t>
  </si>
  <si>
    <t>cmpjxft9401fgw2rw6wu3rzb9</t>
  </si>
  <si>
    <t>cmpjxft9601fhw2rwf56ivmt4</t>
  </si>
  <si>
    <t>cmpjxft9801fiw2rwj7sn3ytx</t>
  </si>
  <si>
    <t>cmpjxft9a01fjw2rw83fmrbvv</t>
  </si>
  <si>
    <t>cmpjxft9c01fkw2rwrknajkxs</t>
  </si>
  <si>
    <t>/api/v1/pecas/71</t>
  </si>
  <si>
    <t>cmpjxft9g01flw2rw4j32079y</t>
  </si>
  <si>
    <t>cmpjxft9h01fmw2rwubkn3uic</t>
  </si>
  <si>
    <t>cmpjxft9i01fnw2rwy0dyzpp9</t>
  </si>
  <si>
    <t>cmpjxft9m01fow2rwyi93qel5</t>
  </si>
  <si>
    <t>cmpjxft9o01fpw2rwr5b3603v</t>
  </si>
  <si>
    <t>cmpjxft9w01fqw2rwu1iy3f5l</t>
  </si>
  <si>
    <t>cmpjxft9y01frw2rw1fgb2zba</t>
  </si>
  <si>
    <t>cmpjxfta001fsw2rw3qi0a058</t>
  </si>
  <si>
    <t>cmpjxfta501ftw2rw9ax7wydi</t>
  </si>
  <si>
    <t>cmpjxfta701fuw2rwlw0s8k77</t>
  </si>
  <si>
    <t>/api/v1/pecas/72</t>
  </si>
  <si>
    <t>cmpjxfta901fvw2rwf74t9tzf</t>
  </si>
  <si>
    <t>cmpjxftac01fww2rw9iowtky6</t>
  </si>
  <si>
    <t>cmpjxftae01fxw2rwvkrvpn67</t>
  </si>
  <si>
    <t>cmpjxftai01fyw2rwfnbxeetf</t>
  </si>
  <si>
    <t>cmpjxftaj01fzw2rwfsaqjjqv</t>
  </si>
  <si>
    <t>cmpjxftak01g0w2rwmdbq9e6p</t>
  </si>
  <si>
    <t>cmpjxftan01g1w2rwwzp8vv2r</t>
  </si>
  <si>
    <t>cmpjxftau01g2w2rwtobw4vzi</t>
  </si>
  <si>
    <t>cmpjxftaw01g3w2rww15k9s3n</t>
  </si>
  <si>
    <t>cmpjxftax01g4w2rwjkwul5km</t>
  </si>
  <si>
    <t>/api/v1/pecas/73</t>
  </si>
  <si>
    <t>cmpjxftb101g5w2rwmq0f9myp</t>
  </si>
  <si>
    <t>cmpjxftb301g6w2rwyv68y1pc</t>
  </si>
  <si>
    <t>cmpjxftb601g7w2rw8ywdv5pr</t>
  </si>
  <si>
    <t>cmpjxftb701g8w2rwc3zh0fzq</t>
  </si>
  <si>
    <t>cmpjxftba01g9w2rw6rew76v3</t>
  </si>
  <si>
    <t>cmpjxftbd01gaw2rwj4kumdm6</t>
  </si>
  <si>
    <t>cmpjxftbh01gbw2rw796frkpf</t>
  </si>
  <si>
    <t>/api/v1/pecas/74</t>
  </si>
  <si>
    <t>cmpjxftbm01gcw2rw6tsdcskd</t>
  </si>
  <si>
    <t>cmpjxftbn01gdw2rwzny18px7</t>
  </si>
  <si>
    <t>cmpjxftbp01gew2rwvijy7r07</t>
  </si>
  <si>
    <t>cmpjxftbs01gfw2rw8mdbszwm</t>
  </si>
  <si>
    <t>cmpjxftbv01ggw2rwxb9rb3cj</t>
  </si>
  <si>
    <t>cmpjxftbw01ghw2rwqrfb92mg</t>
  </si>
  <si>
    <t>cmpjxftc001giw2rw0cjzawn5</t>
  </si>
  <si>
    <t>cmpjxftc201gjw2rwfi5bnwhp</t>
  </si>
  <si>
    <t>cmpjxftc401gkw2rwoy5kvb10</t>
  </si>
  <si>
    <t>cmpjxftc801glw2rwfay7ttg3</t>
  </si>
  <si>
    <t>cmpjxftca01gmw2rwybpkq4ka</t>
  </si>
  <si>
    <t>cmpjxftcc01gnw2rwf18csjro</t>
  </si>
  <si>
    <t>cmpjxftcg01gow2rwcijullyh</t>
  </si>
  <si>
    <t>cmpjxftcn01gpw2rwenoeppuz</t>
  </si>
  <si>
    <t>cmpjxftco01gqw2rwptdfb42j</t>
  </si>
  <si>
    <t>cmpjxftcw01grw2rwofdd84nj</t>
  </si>
  <si>
    <t>cmpjxftcy01gsw2rwvku97jrw</t>
  </si>
  <si>
    <t>cmpjxftd301gtw2rwfloc4urn</t>
  </si>
  <si>
    <t>Rótulos de Linha</t>
  </si>
  <si>
    <t>DELETE /pecas/:id</t>
  </si>
  <si>
    <t>GET /aeronaves/</t>
  </si>
  <si>
    <t>GET /etapas/</t>
  </si>
  <si>
    <t>GET /funcionarios/</t>
  </si>
  <si>
    <t>GET /pecas/</t>
  </si>
  <si>
    <t>GET /pecas/:id</t>
  </si>
  <si>
    <t>GET /relatorios/</t>
  </si>
  <si>
    <t>GET /testes/</t>
  </si>
  <si>
    <t>PATCH /pecas/:id</t>
  </si>
  <si>
    <t>POST /pecas/</t>
  </si>
  <si>
    <t>Total Geral</t>
  </si>
  <si>
    <t>Contagem de duracaoMs</t>
  </si>
  <si>
    <t>Média de duracaoMs2</t>
  </si>
  <si>
    <t>Requisição</t>
  </si>
  <si>
    <t>Máx. de duracaoMs2</t>
  </si>
  <si>
    <t>Mín. de duracaoMs2</t>
  </si>
  <si>
    <t>Quantidade de Amostras (n)</t>
  </si>
  <si>
    <t>Média de Duração (ms)</t>
  </si>
  <si>
    <t>Máx. de Duração (ms)</t>
  </si>
  <si>
    <t>Mín. de Duração (ms)</t>
  </si>
  <si>
    <t>Usuários: 1</t>
  </si>
  <si>
    <t>Usuários: 5</t>
  </si>
  <si>
    <t>Usuários: 10</t>
  </si>
  <si>
    <t>DELETE /pecas/{id}</t>
  </si>
  <si>
    <t>GET /aeronaves</t>
  </si>
  <si>
    <t>GET /etapas</t>
  </si>
  <si>
    <t>GET /funcionarios</t>
  </si>
  <si>
    <t>GET /pecas</t>
  </si>
  <si>
    <t>GET /pecas/{id}</t>
  </si>
  <si>
    <t>GET /relatorios</t>
  </si>
  <si>
    <t>GET /testes</t>
  </si>
  <si>
    <t>PATCH /pecas/{id}</t>
  </si>
  <si>
    <t>POST /pecas</t>
  </si>
  <si>
    <t>Total</t>
  </si>
  <si>
    <t>Requests</t>
  </si>
  <si>
    <t>Label</t>
  </si>
  <si>
    <t>#Samples</t>
  </si>
  <si>
    <t>FAIL</t>
  </si>
  <si>
    <t>Error %</t>
  </si>
  <si>
    <t>Executions</t>
  </si>
  <si>
    <t>Average</t>
  </si>
  <si>
    <t>Min</t>
  </si>
  <si>
    <t>Max</t>
  </si>
  <si>
    <t>Median</t>
  </si>
  <si>
    <t>90th pct</t>
  </si>
  <si>
    <t>95th pct</t>
  </si>
  <si>
    <t>99th pct</t>
  </si>
  <si>
    <t>Response Times (ms)</t>
  </si>
  <si>
    <t>Transactions/s</t>
  </si>
  <si>
    <t>Throughput</t>
  </si>
  <si>
    <t>Received</t>
  </si>
  <si>
    <t>Sent</t>
  </si>
  <si>
    <t>Network (KB/sec)</t>
  </si>
  <si>
    <t>Tempo de Processamento (ms)</t>
  </si>
  <si>
    <t>Latência de Requisição (ms)</t>
  </si>
  <si>
    <t>Latência de Resposta (ms)</t>
  </si>
  <si>
    <t>Tempo de Resposta (ms)</t>
  </si>
  <si>
    <t>Usuários</t>
  </si>
  <si>
    <t>Rótulo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</si>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</sst>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2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2" fontId="0" fillId="0" borderId="10" xfId="1" applyNumberFormat="1" applyFont="1" applyBorder="1" applyAlignment="1">
      <alignment horizontal="center" vertical="center"/>
    </xf>
    <xf numFmtId="2" fontId="0" fillId="0" borderId="11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3"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96B24"/>
      <color rgb="FFE97132"/>
      <color rgb="FF156082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chartsheet" Target="chartsheets/sheet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Análise de Desempenho das Operações CRUD de Peças sob Carga Simultânea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Valor Médio da Latência de Requisição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Tempo!$D$4:$E$15</c:f>
              <c:multiLvlStrCache>
                <c:ptCount val="12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  <c:pt idx="3">
                    <c:v>[ 1 ]</c:v>
                  </c:pt>
                  <c:pt idx="4">
                    <c:v>[ 5 ]</c:v>
                  </c:pt>
                  <c:pt idx="5">
                    <c:v>[ 10 ]</c:v>
                  </c:pt>
                  <c:pt idx="6">
                    <c:v>[ 1 ]</c:v>
                  </c:pt>
                  <c:pt idx="7">
                    <c:v>[ 5 ]</c:v>
                  </c:pt>
                  <c:pt idx="8">
                    <c:v>[ 10 ]</c:v>
                  </c:pt>
                  <c:pt idx="9">
                    <c:v>[ 1 ]</c:v>
                  </c:pt>
                  <c:pt idx="10">
                    <c:v>[ 5 ]</c:v>
                  </c:pt>
                  <c:pt idx="11">
                    <c:v>[ 10 ]</c:v>
                  </c:pt>
                </c:lvl>
                <c:lvl>
                  <c:pt idx="1">
                    <c:v>POST /pecas</c:v>
                  </c:pt>
                  <c:pt idx="4">
                    <c:v>PATCH /pecas/{id}</c:v>
                  </c:pt>
                  <c:pt idx="7">
                    <c:v>GET /pecas/{id}</c:v>
                  </c:pt>
                  <c:pt idx="10">
                    <c:v>DELETE /pecas/{id}</c:v>
                  </c:pt>
                </c:lvl>
              </c:multiLvlStrCache>
            </c:multiLvlStrRef>
          </c:cat>
          <c:val>
            <c:numRef>
              <c:f>Tempo!$G$4:$G$15</c:f>
              <c:numCache>
                <c:formatCode>0.000</c:formatCode>
                <c:ptCount val="12"/>
                <c:pt idx="0">
                  <c:v>0.83950000000000014</c:v>
                </c:pt>
                <c:pt idx="1">
                  <c:v>3.1031632653061223</c:v>
                </c:pt>
                <c:pt idx="2">
                  <c:v>4.2232828282828319</c:v>
                </c:pt>
                <c:pt idx="3">
                  <c:v>0.69200000000000017</c:v>
                </c:pt>
                <c:pt idx="4">
                  <c:v>3.1706122448979608</c:v>
                </c:pt>
                <c:pt idx="5">
                  <c:v>2.4442361111111151</c:v>
                </c:pt>
                <c:pt idx="6">
                  <c:v>0.54849999999999977</c:v>
                </c:pt>
                <c:pt idx="7">
                  <c:v>2.8158163265306122</c:v>
                </c:pt>
                <c:pt idx="8">
                  <c:v>3.9987671232876725</c:v>
                </c:pt>
                <c:pt idx="9">
                  <c:v>0.80850000000000044</c:v>
                </c:pt>
                <c:pt idx="10">
                  <c:v>3.4813265306122458</c:v>
                </c:pt>
                <c:pt idx="11">
                  <c:v>3.9055555555555559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8-474F-BAE9-1F3B71A0E43A}"/>
            </c:ext>
          </c:extLst>
        </c:ser>
        <c:ser>
          <c:idx val="1"/>
          <c:order val="1"/>
          <c:tx>
            <c:v>Valor Médio do Tempo de Processamento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Tempo!$D$4:$E$15</c:f>
              <c:multiLvlStrCache>
                <c:ptCount val="12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  <c:pt idx="3">
                    <c:v>[ 1 ]</c:v>
                  </c:pt>
                  <c:pt idx="4">
                    <c:v>[ 5 ]</c:v>
                  </c:pt>
                  <c:pt idx="5">
                    <c:v>[ 10 ]</c:v>
                  </c:pt>
                  <c:pt idx="6">
                    <c:v>[ 1 ]</c:v>
                  </c:pt>
                  <c:pt idx="7">
                    <c:v>[ 5 ]</c:v>
                  </c:pt>
                  <c:pt idx="8">
                    <c:v>[ 10 ]</c:v>
                  </c:pt>
                  <c:pt idx="9">
                    <c:v>[ 1 ]</c:v>
                  </c:pt>
                  <c:pt idx="10">
                    <c:v>[ 5 ]</c:v>
                  </c:pt>
                  <c:pt idx="11">
                    <c:v>[ 10 ]</c:v>
                  </c:pt>
                </c:lvl>
                <c:lvl>
                  <c:pt idx="1">
                    <c:v>POST /pecas</c:v>
                  </c:pt>
                  <c:pt idx="4">
                    <c:v>PATCH /pecas/{id}</c:v>
                  </c:pt>
                  <c:pt idx="7">
                    <c:v>GET /pecas/{id}</c:v>
                  </c:pt>
                  <c:pt idx="10">
                    <c:v>DELETE /pecas/{id}</c:v>
                  </c:pt>
                </c:lvl>
              </c:multiLvlStrCache>
            </c:multiLvlStrRef>
          </c:cat>
          <c:val>
            <c:numRef>
              <c:f>Tempo!$H$4:$H$15</c:f>
              <c:numCache>
                <c:formatCode>0.000</c:formatCode>
                <c:ptCount val="12"/>
                <c:pt idx="0">
                  <c:v>11.621</c:v>
                </c:pt>
                <c:pt idx="1">
                  <c:v>21.053673469387757</c:v>
                </c:pt>
                <c:pt idx="2">
                  <c:v>25.583434343434337</c:v>
                </c:pt>
                <c:pt idx="3">
                  <c:v>10.416</c:v>
                </c:pt>
                <c:pt idx="4">
                  <c:v>15.658775510204078</c:v>
                </c:pt>
                <c:pt idx="5">
                  <c:v>21.09152777777777</c:v>
                </c:pt>
                <c:pt idx="6">
                  <c:v>2.7030000000000003</c:v>
                </c:pt>
                <c:pt idx="7">
                  <c:v>7.0683673469387749</c:v>
                </c:pt>
                <c:pt idx="8">
                  <c:v>8.2624657534246566</c:v>
                </c:pt>
                <c:pt idx="9">
                  <c:v>6.2829999999999995</c:v>
                </c:pt>
                <c:pt idx="10">
                  <c:v>11.177346938775509</c:v>
                </c:pt>
                <c:pt idx="11">
                  <c:v>11.298888888888888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8-474F-BAE9-1F3B71A0E43A}"/>
            </c:ext>
          </c:extLst>
        </c:ser>
        <c:ser>
          <c:idx val="2"/>
          <c:order val="2"/>
          <c:tx>
            <c:v>Valor Médio da Latência de Resposta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Tempo!$D$4:$E$15</c:f>
              <c:multiLvlStrCache>
                <c:ptCount val="12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  <c:pt idx="3">
                    <c:v>[ 1 ]</c:v>
                  </c:pt>
                  <c:pt idx="4">
                    <c:v>[ 5 ]</c:v>
                  </c:pt>
                  <c:pt idx="5">
                    <c:v>[ 10 ]</c:v>
                  </c:pt>
                  <c:pt idx="6">
                    <c:v>[ 1 ]</c:v>
                  </c:pt>
                  <c:pt idx="7">
                    <c:v>[ 5 ]</c:v>
                  </c:pt>
                  <c:pt idx="8">
                    <c:v>[ 10 ]</c:v>
                  </c:pt>
                  <c:pt idx="9">
                    <c:v>[ 1 ]</c:v>
                  </c:pt>
                  <c:pt idx="10">
                    <c:v>[ 5 ]</c:v>
                  </c:pt>
                  <c:pt idx="11">
                    <c:v>[ 10 ]</c:v>
                  </c:pt>
                </c:lvl>
                <c:lvl>
                  <c:pt idx="1">
                    <c:v>POST /pecas</c:v>
                  </c:pt>
                  <c:pt idx="4">
                    <c:v>PATCH /pecas/{id}</c:v>
                  </c:pt>
                  <c:pt idx="7">
                    <c:v>GET /pecas/{id}</c:v>
                  </c:pt>
                  <c:pt idx="10">
                    <c:v>DELETE /pecas/{id}</c:v>
                  </c:pt>
                </c:lvl>
              </c:multiLvlStrCache>
            </c:multiLvlStrRef>
          </c:cat>
          <c:val>
            <c:numRef>
              <c:f>Tempo!$I$4:$I$15</c:f>
              <c:numCache>
                <c:formatCode>0.000</c:formatCode>
                <c:ptCount val="12"/>
                <c:pt idx="0">
                  <c:v>0.83950000000000014</c:v>
                </c:pt>
                <c:pt idx="1">
                  <c:v>3.1031632653061223</c:v>
                </c:pt>
                <c:pt idx="2">
                  <c:v>4.2232828282828319</c:v>
                </c:pt>
                <c:pt idx="3">
                  <c:v>0.69200000000000017</c:v>
                </c:pt>
                <c:pt idx="4">
                  <c:v>3.1706122448979608</c:v>
                </c:pt>
                <c:pt idx="5">
                  <c:v>2.4442361111111151</c:v>
                </c:pt>
                <c:pt idx="6">
                  <c:v>0.54849999999999977</c:v>
                </c:pt>
                <c:pt idx="7">
                  <c:v>2.8158163265306122</c:v>
                </c:pt>
                <c:pt idx="8">
                  <c:v>3.9987671232876725</c:v>
                </c:pt>
                <c:pt idx="9">
                  <c:v>0.80850000000000044</c:v>
                </c:pt>
                <c:pt idx="10">
                  <c:v>3.4813265306122458</c:v>
                </c:pt>
                <c:pt idx="11">
                  <c:v>3.9055555555555559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8-474F-BAE9-1F3B71A0E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1516840"/>
        <c:axId val="1451517200"/>
      </c:barChart>
      <c:catAx>
        <c:axId val="1451516840"/>
        <c:scaling>
          <c:orientation val="minMax"/>
        </c:scaling>
        <c:delete val="0"/>
        <c:axPos val="b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[Usuários</a:t>
                </a:r>
                <a:r>
                  <a:rPr lang="pt-BR" sz="1200" b="1" baseline="0"/>
                  <a:t> Simultâneos]</a:t>
                </a:r>
                <a:r>
                  <a:rPr lang="pt-BR" sz="1200" b="1"/>
                  <a:t> </a:t>
                </a:r>
                <a:br>
                  <a:rPr lang="pt-BR" sz="1200" b="1"/>
                </a:br>
                <a:r>
                  <a:rPr lang="pt-BR" sz="1200" b="1"/>
                  <a:t>Requisição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517200"/>
        <c:crosses val="autoZero"/>
        <c:auto val="1"/>
        <c:lblAlgn val="ctr"/>
        <c:lblOffset val="100"/>
        <c:tickMarkSkip val="3"/>
        <c:noMultiLvlLbl val="1"/>
      </c:catAx>
      <c:valAx>
        <c:axId val="14515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alpha val="1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Valor</a:t>
                </a:r>
                <a:r>
                  <a:rPr lang="pt-BR" sz="1200" b="1" baseline="0"/>
                  <a:t> Médio do </a:t>
                </a:r>
                <a:r>
                  <a:rPr lang="pt-BR" sz="1200" b="1"/>
                  <a:t>Tempo</a:t>
                </a:r>
                <a:r>
                  <a:rPr lang="pt-BR" sz="1200" b="1" baseline="0"/>
                  <a:t> de Resposta (ms)</a:t>
                </a:r>
                <a:endParaRPr lang="pt-BR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5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alpha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Análise de Desempenho das Operações de Consulta sob Carga Simultânea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Valor Médio da Latência de Requisição</c:v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multiLvlStrRef>
              <c:f>Tempo!$D$19:$E$36</c:f>
              <c:multiLvlStrCache>
                <c:ptCount val="18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  <c:pt idx="3">
                    <c:v>[ 1 ]</c:v>
                  </c:pt>
                  <c:pt idx="4">
                    <c:v>[ 5 ]</c:v>
                  </c:pt>
                  <c:pt idx="5">
                    <c:v>[ 10 ]</c:v>
                  </c:pt>
                  <c:pt idx="6">
                    <c:v>[ 1 ]</c:v>
                  </c:pt>
                  <c:pt idx="7">
                    <c:v>[ 5 ]</c:v>
                  </c:pt>
                  <c:pt idx="8">
                    <c:v>[ 10 ]</c:v>
                  </c:pt>
                  <c:pt idx="9">
                    <c:v>[ 1 ]</c:v>
                  </c:pt>
                  <c:pt idx="10">
                    <c:v>[ 5 ]</c:v>
                  </c:pt>
                  <c:pt idx="11">
                    <c:v>[ 10 ]</c:v>
                  </c:pt>
                  <c:pt idx="12">
                    <c:v>[ 1 ]</c:v>
                  </c:pt>
                  <c:pt idx="13">
                    <c:v>[ 5 ]</c:v>
                  </c:pt>
                  <c:pt idx="14">
                    <c:v>[ 10 ]</c:v>
                  </c:pt>
                  <c:pt idx="15">
                    <c:v>[ 1 ]</c:v>
                  </c:pt>
                  <c:pt idx="16">
                    <c:v>[ 5 ]</c:v>
                  </c:pt>
                  <c:pt idx="17">
                    <c:v>[ 10 ]</c:v>
                  </c:pt>
                </c:lvl>
                <c:lvl>
                  <c:pt idx="1">
                    <c:v>GET /aeronaves</c:v>
                  </c:pt>
                  <c:pt idx="4">
                    <c:v>GET /etapas</c:v>
                  </c:pt>
                  <c:pt idx="7">
                    <c:v>GET /funcionarios</c:v>
                  </c:pt>
                  <c:pt idx="10">
                    <c:v>GET /pecas</c:v>
                  </c:pt>
                  <c:pt idx="13">
                    <c:v>GET /relatorios</c:v>
                  </c:pt>
                  <c:pt idx="16">
                    <c:v>GET /testes</c:v>
                  </c:pt>
                </c:lvl>
              </c:multiLvlStrCache>
            </c:multiLvlStrRef>
          </c:cat>
          <c:val>
            <c:numRef>
              <c:f>Tempo!$G$19:$G$36</c:f>
              <c:numCache>
                <c:formatCode>0.000</c:formatCode>
                <c:ptCount val="18"/>
                <c:pt idx="0">
                  <c:v>0.74050000000000082</c:v>
                </c:pt>
                <c:pt idx="1">
                  <c:v>3.6756122448979607</c:v>
                </c:pt>
                <c:pt idx="2">
                  <c:v>3.9180612244897954</c:v>
                </c:pt>
                <c:pt idx="3">
                  <c:v>0.82400000000000029</c:v>
                </c:pt>
                <c:pt idx="4">
                  <c:v>4.2052000000000023</c:v>
                </c:pt>
                <c:pt idx="5">
                  <c:v>4.7083999999999993</c:v>
                </c:pt>
                <c:pt idx="6">
                  <c:v>1.0235000000000001</c:v>
                </c:pt>
                <c:pt idx="7">
                  <c:v>4.1298000000000004</c:v>
                </c:pt>
                <c:pt idx="8">
                  <c:v>4.3100499999999995</c:v>
                </c:pt>
                <c:pt idx="9">
                  <c:v>0.62000000000000011</c:v>
                </c:pt>
                <c:pt idx="10">
                  <c:v>3.5045999999999982</c:v>
                </c:pt>
                <c:pt idx="11">
                  <c:v>3.7903535353535354</c:v>
                </c:pt>
                <c:pt idx="12">
                  <c:v>0.46699999999999964</c:v>
                </c:pt>
                <c:pt idx="13">
                  <c:v>3.6115000000000004</c:v>
                </c:pt>
                <c:pt idx="14">
                  <c:v>4.0301010101010108</c:v>
                </c:pt>
                <c:pt idx="15">
                  <c:v>0.52349999999999985</c:v>
                </c:pt>
                <c:pt idx="16">
                  <c:v>3.4937</c:v>
                </c:pt>
                <c:pt idx="17">
                  <c:v>4.4152020202020195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2C-4AA8-87E1-C752FF0CDDDA}"/>
            </c:ext>
          </c:extLst>
        </c:ser>
        <c:ser>
          <c:idx val="2"/>
          <c:order val="1"/>
          <c:tx>
            <c:v>Valor Médio do Tempo de Processamento</c:v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Tempo!$D$19:$E$36</c:f>
              <c:multiLvlStrCache>
                <c:ptCount val="18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  <c:pt idx="3">
                    <c:v>[ 1 ]</c:v>
                  </c:pt>
                  <c:pt idx="4">
                    <c:v>[ 5 ]</c:v>
                  </c:pt>
                  <c:pt idx="5">
                    <c:v>[ 10 ]</c:v>
                  </c:pt>
                  <c:pt idx="6">
                    <c:v>[ 1 ]</c:v>
                  </c:pt>
                  <c:pt idx="7">
                    <c:v>[ 5 ]</c:v>
                  </c:pt>
                  <c:pt idx="8">
                    <c:v>[ 10 ]</c:v>
                  </c:pt>
                  <c:pt idx="9">
                    <c:v>[ 1 ]</c:v>
                  </c:pt>
                  <c:pt idx="10">
                    <c:v>[ 5 ]</c:v>
                  </c:pt>
                  <c:pt idx="11">
                    <c:v>[ 10 ]</c:v>
                  </c:pt>
                  <c:pt idx="12">
                    <c:v>[ 1 ]</c:v>
                  </c:pt>
                  <c:pt idx="13">
                    <c:v>[ 5 ]</c:v>
                  </c:pt>
                  <c:pt idx="14">
                    <c:v>[ 10 ]</c:v>
                  </c:pt>
                  <c:pt idx="15">
                    <c:v>[ 1 ]</c:v>
                  </c:pt>
                  <c:pt idx="16">
                    <c:v>[ 5 ]</c:v>
                  </c:pt>
                  <c:pt idx="17">
                    <c:v>[ 10 ]</c:v>
                  </c:pt>
                </c:lvl>
                <c:lvl>
                  <c:pt idx="1">
                    <c:v>GET /aeronaves</c:v>
                  </c:pt>
                  <c:pt idx="4">
                    <c:v>GET /etapas</c:v>
                  </c:pt>
                  <c:pt idx="7">
                    <c:v>GET /funcionarios</c:v>
                  </c:pt>
                  <c:pt idx="10">
                    <c:v>GET /pecas</c:v>
                  </c:pt>
                  <c:pt idx="13">
                    <c:v>GET /relatorios</c:v>
                  </c:pt>
                  <c:pt idx="16">
                    <c:v>GET /testes</c:v>
                  </c:pt>
                </c:lvl>
              </c:multiLvlStrCache>
            </c:multiLvlStrRef>
          </c:cat>
          <c:val>
            <c:numRef>
              <c:f>Tempo!$H$19:$H$36</c:f>
              <c:numCache>
                <c:formatCode>0.000</c:formatCode>
                <c:ptCount val="18"/>
                <c:pt idx="0">
                  <c:v>16.418999999999997</c:v>
                </c:pt>
                <c:pt idx="1">
                  <c:v>29.008775510204078</c:v>
                </c:pt>
                <c:pt idx="2">
                  <c:v>24.023877551020409</c:v>
                </c:pt>
                <c:pt idx="3">
                  <c:v>6.8519999999999994</c:v>
                </c:pt>
                <c:pt idx="4">
                  <c:v>12.089599999999995</c:v>
                </c:pt>
                <c:pt idx="5">
                  <c:v>10.693200000000001</c:v>
                </c:pt>
                <c:pt idx="6">
                  <c:v>3.653</c:v>
                </c:pt>
                <c:pt idx="7">
                  <c:v>8.3803999999999998</c:v>
                </c:pt>
                <c:pt idx="8">
                  <c:v>8.4299000000000017</c:v>
                </c:pt>
                <c:pt idx="9">
                  <c:v>4.3599999999999994</c:v>
                </c:pt>
                <c:pt idx="10">
                  <c:v>8.9308000000000032</c:v>
                </c:pt>
                <c:pt idx="11">
                  <c:v>8.9392929292929288</c:v>
                </c:pt>
                <c:pt idx="12">
                  <c:v>4.6660000000000004</c:v>
                </c:pt>
                <c:pt idx="13">
                  <c:v>8.2169999999999987</c:v>
                </c:pt>
                <c:pt idx="14">
                  <c:v>9.9797979797979774</c:v>
                </c:pt>
                <c:pt idx="15">
                  <c:v>3.7530000000000001</c:v>
                </c:pt>
                <c:pt idx="16">
                  <c:v>7.3926000000000007</c:v>
                </c:pt>
                <c:pt idx="17">
                  <c:v>9.0695959595959597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2C-4AA8-87E1-C752FF0CDDDA}"/>
            </c:ext>
          </c:extLst>
        </c:ser>
        <c:ser>
          <c:idx val="3"/>
          <c:order val="2"/>
          <c:tx>
            <c:v>Valor Médio da Latência de Resposta</c:v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cat>
            <c:multiLvlStrRef>
              <c:f>Tempo!$D$19:$E$36</c:f>
              <c:multiLvlStrCache>
                <c:ptCount val="18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  <c:pt idx="3">
                    <c:v>[ 1 ]</c:v>
                  </c:pt>
                  <c:pt idx="4">
                    <c:v>[ 5 ]</c:v>
                  </c:pt>
                  <c:pt idx="5">
                    <c:v>[ 10 ]</c:v>
                  </c:pt>
                  <c:pt idx="6">
                    <c:v>[ 1 ]</c:v>
                  </c:pt>
                  <c:pt idx="7">
                    <c:v>[ 5 ]</c:v>
                  </c:pt>
                  <c:pt idx="8">
                    <c:v>[ 10 ]</c:v>
                  </c:pt>
                  <c:pt idx="9">
                    <c:v>[ 1 ]</c:v>
                  </c:pt>
                  <c:pt idx="10">
                    <c:v>[ 5 ]</c:v>
                  </c:pt>
                  <c:pt idx="11">
                    <c:v>[ 10 ]</c:v>
                  </c:pt>
                  <c:pt idx="12">
                    <c:v>[ 1 ]</c:v>
                  </c:pt>
                  <c:pt idx="13">
                    <c:v>[ 5 ]</c:v>
                  </c:pt>
                  <c:pt idx="14">
                    <c:v>[ 10 ]</c:v>
                  </c:pt>
                  <c:pt idx="15">
                    <c:v>[ 1 ]</c:v>
                  </c:pt>
                  <c:pt idx="16">
                    <c:v>[ 5 ]</c:v>
                  </c:pt>
                  <c:pt idx="17">
                    <c:v>[ 10 ]</c:v>
                  </c:pt>
                </c:lvl>
                <c:lvl>
                  <c:pt idx="1">
                    <c:v>GET /aeronaves</c:v>
                  </c:pt>
                  <c:pt idx="4">
                    <c:v>GET /etapas</c:v>
                  </c:pt>
                  <c:pt idx="7">
                    <c:v>GET /funcionarios</c:v>
                  </c:pt>
                  <c:pt idx="10">
                    <c:v>GET /pecas</c:v>
                  </c:pt>
                  <c:pt idx="13">
                    <c:v>GET /relatorios</c:v>
                  </c:pt>
                  <c:pt idx="16">
                    <c:v>GET /testes</c:v>
                  </c:pt>
                </c:lvl>
              </c:multiLvlStrCache>
            </c:multiLvlStrRef>
          </c:cat>
          <c:val>
            <c:numRef>
              <c:f>Tempo!$I$19:$I$36</c:f>
              <c:numCache>
                <c:formatCode>0.000</c:formatCode>
                <c:ptCount val="18"/>
                <c:pt idx="0">
                  <c:v>0.74050000000000082</c:v>
                </c:pt>
                <c:pt idx="1">
                  <c:v>3.6756122448979607</c:v>
                </c:pt>
                <c:pt idx="2">
                  <c:v>3.9180612244897954</c:v>
                </c:pt>
                <c:pt idx="3">
                  <c:v>0.82400000000000029</c:v>
                </c:pt>
                <c:pt idx="4">
                  <c:v>4.2052000000000023</c:v>
                </c:pt>
                <c:pt idx="5">
                  <c:v>4.7083999999999993</c:v>
                </c:pt>
                <c:pt idx="6">
                  <c:v>1.0235000000000001</c:v>
                </c:pt>
                <c:pt idx="7">
                  <c:v>4.1298000000000004</c:v>
                </c:pt>
                <c:pt idx="8">
                  <c:v>4.3100499999999995</c:v>
                </c:pt>
                <c:pt idx="9">
                  <c:v>0.62000000000000011</c:v>
                </c:pt>
                <c:pt idx="10">
                  <c:v>3.5045999999999982</c:v>
                </c:pt>
                <c:pt idx="11">
                  <c:v>3.7903535353535354</c:v>
                </c:pt>
                <c:pt idx="12">
                  <c:v>0.46699999999999964</c:v>
                </c:pt>
                <c:pt idx="13">
                  <c:v>3.6115000000000004</c:v>
                </c:pt>
                <c:pt idx="14">
                  <c:v>4.0301010101010108</c:v>
                </c:pt>
                <c:pt idx="15">
                  <c:v>0.52349999999999985</c:v>
                </c:pt>
                <c:pt idx="16">
                  <c:v>3.4937</c:v>
                </c:pt>
                <c:pt idx="17">
                  <c:v>4.4152020202020195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2C-4AA8-87E1-C752FF0C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1516840"/>
        <c:axId val="1451517200"/>
      </c:barChart>
      <c:catAx>
        <c:axId val="1451516840"/>
        <c:scaling>
          <c:orientation val="minMax"/>
        </c:scaling>
        <c:delete val="0"/>
        <c:axPos val="b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[Usuários</a:t>
                </a:r>
                <a:r>
                  <a:rPr lang="pt-BR" sz="1200" b="1" baseline="0"/>
                  <a:t> Simultâneos]</a:t>
                </a:r>
                <a:r>
                  <a:rPr lang="pt-BR" sz="1200" b="1"/>
                  <a:t> </a:t>
                </a:r>
                <a:br>
                  <a:rPr lang="pt-BR" sz="1200" b="1"/>
                </a:br>
                <a:r>
                  <a:rPr lang="pt-BR" sz="1200" b="1"/>
                  <a:t>Requisição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517200"/>
        <c:crosses val="autoZero"/>
        <c:auto val="1"/>
        <c:lblAlgn val="ctr"/>
        <c:lblOffset val="100"/>
        <c:tickLblSkip val="1"/>
        <c:tickMarkSkip val="3"/>
        <c:noMultiLvlLbl val="1"/>
      </c:catAx>
      <c:valAx>
        <c:axId val="14515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alpha val="1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Valor</a:t>
                </a:r>
                <a:r>
                  <a:rPr lang="pt-BR" sz="1200" b="1" baseline="0"/>
                  <a:t> Médio do </a:t>
                </a:r>
                <a:r>
                  <a:rPr lang="pt-BR" sz="1200" b="1"/>
                  <a:t>Tempo</a:t>
                </a:r>
                <a:r>
                  <a:rPr lang="pt-BR" sz="1200" b="1" baseline="0"/>
                  <a:t> de Resposta (ms)</a:t>
                </a:r>
                <a:endParaRPr lang="pt-BR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5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alpha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Análise Geral de Desempenho da API sob Carga Simultânea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Valor Médio da Latência de Requisição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Tempo!$D$40:$E$42</c:f>
              <c:multiLvlStrCache>
                <c:ptCount val="3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</c:lvl>
                <c:lvl>
                  <c:pt idx="1">
                    <c:v>Média</c:v>
                  </c:pt>
                </c:lvl>
              </c:multiLvlStrCache>
            </c:multiLvlStrRef>
          </c:cat>
          <c:val>
            <c:numRef>
              <c:f>Tempo!$G$40:$G$42</c:f>
              <c:numCache>
                <c:formatCode>0.000</c:formatCode>
                <c:ptCount val="3"/>
                <c:pt idx="0">
                  <c:v>0.69499999999999895</c:v>
                </c:pt>
                <c:pt idx="1">
                  <c:v>3.5408080808080813</c:v>
                </c:pt>
                <c:pt idx="2">
                  <c:v>3.9813556531284293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0-4F26-AF04-388DF99F7E87}"/>
            </c:ext>
          </c:extLst>
        </c:ser>
        <c:ser>
          <c:idx val="1"/>
          <c:order val="1"/>
          <c:tx>
            <c:v>Valor Médio do Tempo de Processamento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Tempo!$D$40:$E$42</c:f>
              <c:multiLvlStrCache>
                <c:ptCount val="3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</c:lvl>
                <c:lvl>
                  <c:pt idx="1">
                    <c:v>Média</c:v>
                  </c:pt>
                </c:lvl>
              </c:multiLvlStrCache>
            </c:multiLvlStrRef>
          </c:cat>
          <c:val>
            <c:numRef>
              <c:f>Tempo!$H$40:$H$42</c:f>
              <c:numCache>
                <c:formatCode>0.000</c:formatCode>
                <c:ptCount val="3"/>
                <c:pt idx="0">
                  <c:v>7.1000000000000023</c:v>
                </c:pt>
                <c:pt idx="1">
                  <c:v>12.858383838383839</c:v>
                </c:pt>
                <c:pt idx="2">
                  <c:v>13.727288693743143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0-4F26-AF04-388DF99F7E87}"/>
            </c:ext>
          </c:extLst>
        </c:ser>
        <c:ser>
          <c:idx val="2"/>
          <c:order val="2"/>
          <c:tx>
            <c:v>Valor Médio da Latência de Resposta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Tempo!$D$40:$E$42</c:f>
              <c:multiLvlStrCache>
                <c:ptCount val="3"/>
                <c:lvl>
                  <c:pt idx="0">
                    <c:v>[ 1 ]</c:v>
                  </c:pt>
                  <c:pt idx="1">
                    <c:v>[ 5 ]</c:v>
                  </c:pt>
                  <c:pt idx="2">
                    <c:v>[ 10 ]</c:v>
                  </c:pt>
                </c:lvl>
                <c:lvl>
                  <c:pt idx="1">
                    <c:v>Média</c:v>
                  </c:pt>
                </c:lvl>
              </c:multiLvlStrCache>
            </c:multiLvlStrRef>
          </c:cat>
          <c:val>
            <c:numRef>
              <c:f>Tempo!$I$40:$I$42</c:f>
              <c:numCache>
                <c:formatCode>0.000</c:formatCode>
                <c:ptCount val="3"/>
                <c:pt idx="0">
                  <c:v>0.69499999999999895</c:v>
                </c:pt>
                <c:pt idx="1">
                  <c:v>3.5408080808080813</c:v>
                </c:pt>
                <c:pt idx="2">
                  <c:v>3.9813556531284293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0-4F26-AF04-388DF99F7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1516840"/>
        <c:axId val="1451517200"/>
      </c:barChart>
      <c:catAx>
        <c:axId val="1451516840"/>
        <c:scaling>
          <c:orientation val="minMax"/>
        </c:scaling>
        <c:delete val="0"/>
        <c:axPos val="b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[Usuários</a:t>
                </a:r>
                <a:r>
                  <a:rPr lang="pt-BR" sz="1200" b="1" baseline="0"/>
                  <a:t> Simultâneos]</a:t>
                </a:r>
                <a:r>
                  <a:rPr lang="pt-BR" sz="1200" b="1"/>
                  <a:t> </a:t>
                </a:r>
                <a:br>
                  <a:rPr lang="pt-BR" sz="1200" b="1"/>
                </a:br>
                <a:r>
                  <a:rPr lang="pt-BR" sz="1200" b="1"/>
                  <a:t>Requisição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517200"/>
        <c:crosses val="autoZero"/>
        <c:auto val="1"/>
        <c:lblAlgn val="ctr"/>
        <c:lblOffset val="100"/>
        <c:tickMarkSkip val="3"/>
        <c:noMultiLvlLbl val="1"/>
      </c:catAx>
      <c:valAx>
        <c:axId val="14515172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alpha val="1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Valor</a:t>
                </a:r>
                <a:r>
                  <a:rPr lang="pt-BR" sz="1200" b="1" baseline="0"/>
                  <a:t> Médio do </a:t>
                </a:r>
                <a:r>
                  <a:rPr lang="pt-BR" sz="1200" b="1"/>
                  <a:t>Tempo</a:t>
                </a:r>
                <a:r>
                  <a:rPr lang="pt-BR" sz="1200" b="1" baseline="0"/>
                  <a:t> de Resposta (ms)</a:t>
                </a:r>
                <a:endParaRPr lang="pt-BR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5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alpha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E16877-E2DB-4955-8629-4E2892D60E02}">
  <sheetPr/>
  <sheetViews>
    <sheetView zoomScale="130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A86222-97BA-46F1-8758-47B3EA6B16FD}">
  <sheetPr/>
  <sheetViews>
    <sheetView zoomScale="130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AD51CC-E2B0-4D47-BB34-C0FF0605EED2}">
  <sheetPr/>
  <sheetViews>
    <sheetView zoomScale="13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4904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3B654-1AC8-D35D-6455-279907A6AB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0.60193</cdr:x>
      <cdr:y>0.18181</cdr:y>
    </cdr:from>
    <cdr:to>
      <cdr:x>0.69673</cdr:x>
      <cdr:y>0.33386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E0C7454-E3C1-21E2-0AB1-9AA1F213B5F0}"/>
            </a:ext>
          </a:extLst>
        </cdr:cNvPr>
        <cdr:cNvSpPr txBox="1"/>
      </cdr:nvSpPr>
      <cdr:spPr>
        <a:xfrm xmlns:a="http://schemas.openxmlformats.org/drawingml/2006/main">
          <a:off x="5806109" y="109330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0.42161</cdr:x>
      <cdr:y>0.08539</cdr:y>
    </cdr:from>
    <cdr:to>
      <cdr:x>0.98146</cdr:x>
      <cdr:y>0.14186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29A5BC29-A999-8015-A8B3-F67FFCB11247}"/>
            </a:ext>
          </a:extLst>
        </cdr:cNvPr>
        <cdr:cNvSpPr txBox="1"/>
      </cdr:nvSpPr>
      <cdr:spPr>
        <a:xfrm xmlns:a="http://schemas.openxmlformats.org/drawingml/2006/main">
          <a:off x="4066761" y="513522"/>
          <a:ext cx="5400262" cy="339587"/>
        </a:xfrm>
        <a:prstGeom xmlns:a="http://schemas.openxmlformats.org/drawingml/2006/main" prst="rect">
          <a:avLst/>
        </a:prstGeom>
        <a:solidFill xmlns:a="http://schemas.openxmlformats.org/drawingml/2006/main">
          <a:srgbClr val="D9F2D0">
            <a:alpha val="50196"/>
          </a:srgbClr>
        </a:solidFill>
        <a:ln xmlns:a="http://schemas.openxmlformats.org/drawingml/2006/main"/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1000" b="1"/>
            <a:t>Tempo de Resposta = </a:t>
          </a:r>
          <a:r>
            <a:rPr lang="pt-BR" sz="1000" b="1">
              <a:solidFill>
                <a:schemeClr val="accent1"/>
              </a:solidFill>
            </a:rPr>
            <a:t>Latência de Requisicão </a:t>
          </a:r>
          <a:r>
            <a:rPr lang="pt-BR" sz="1000" b="1"/>
            <a:t>+ </a:t>
          </a:r>
          <a:r>
            <a:rPr lang="pt-BR" sz="1000" b="1">
              <a:solidFill>
                <a:schemeClr val="accent2"/>
              </a:solidFill>
            </a:rPr>
            <a:t>Tempo de Processamento </a:t>
          </a:r>
          <a:r>
            <a:rPr lang="pt-BR" sz="1000" b="1"/>
            <a:t>+ </a:t>
          </a:r>
          <a:r>
            <a:rPr lang="pt-BR" sz="1000" b="1">
              <a:solidFill>
                <a:schemeClr val="accent3"/>
              </a:solidFill>
            </a:rPr>
            <a:t>Latência de Resposta</a:t>
          </a:r>
          <a:r>
            <a:rPr lang="pt-BR" sz="1000" b="1" kern="1200">
              <a:solidFill>
                <a:schemeClr val="accent3"/>
              </a:solidFill>
            </a:rPr>
            <a:t>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34904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13E045-BFA9-33A1-FFBF-1C73A3E17A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0.60193</cdr:x>
      <cdr:y>0.18181</cdr:y>
    </cdr:from>
    <cdr:to>
      <cdr:x>0.69673</cdr:x>
      <cdr:y>0.33386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E0C7454-E3C1-21E2-0AB1-9AA1F213B5F0}"/>
            </a:ext>
          </a:extLst>
        </cdr:cNvPr>
        <cdr:cNvSpPr txBox="1"/>
      </cdr:nvSpPr>
      <cdr:spPr>
        <a:xfrm xmlns:a="http://schemas.openxmlformats.org/drawingml/2006/main">
          <a:off x="5806109" y="109330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0.42161</cdr:x>
      <cdr:y>0.08539</cdr:y>
    </cdr:from>
    <cdr:to>
      <cdr:x>0.98146</cdr:x>
      <cdr:y>0.14186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29A5BC29-A999-8015-A8B3-F67FFCB11247}"/>
            </a:ext>
          </a:extLst>
        </cdr:cNvPr>
        <cdr:cNvSpPr txBox="1"/>
      </cdr:nvSpPr>
      <cdr:spPr>
        <a:xfrm xmlns:a="http://schemas.openxmlformats.org/drawingml/2006/main">
          <a:off x="4066761" y="513522"/>
          <a:ext cx="5400262" cy="339587"/>
        </a:xfrm>
        <a:prstGeom xmlns:a="http://schemas.openxmlformats.org/drawingml/2006/main" prst="rect">
          <a:avLst/>
        </a:prstGeom>
        <a:solidFill xmlns:a="http://schemas.openxmlformats.org/drawingml/2006/main">
          <a:srgbClr val="D9F2D0">
            <a:alpha val="50196"/>
          </a:srgbClr>
        </a:solidFill>
        <a:ln xmlns:a="http://schemas.openxmlformats.org/drawingml/2006/main"/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1000" b="1"/>
            <a:t>Tempo de Resposta = </a:t>
          </a:r>
          <a:r>
            <a:rPr lang="pt-BR" sz="1000" b="1">
              <a:solidFill>
                <a:schemeClr val="accent1"/>
              </a:solidFill>
            </a:rPr>
            <a:t>Latência de Requisicão </a:t>
          </a:r>
          <a:r>
            <a:rPr lang="pt-BR" sz="1000" b="1"/>
            <a:t>+ </a:t>
          </a:r>
          <a:r>
            <a:rPr lang="pt-BR" sz="1000" b="1">
              <a:solidFill>
                <a:schemeClr val="accent2"/>
              </a:solidFill>
            </a:rPr>
            <a:t>Tempo de Processamento </a:t>
          </a:r>
          <a:r>
            <a:rPr lang="pt-BR" sz="1000" b="1"/>
            <a:t>+ </a:t>
          </a:r>
          <a:r>
            <a:rPr lang="pt-BR" sz="1000" b="1">
              <a:solidFill>
                <a:schemeClr val="accent3"/>
              </a:solidFill>
            </a:rPr>
            <a:t>Latência de Resposta</a:t>
          </a:r>
          <a:r>
            <a:rPr lang="pt-BR" sz="1000" b="1" kern="1200">
              <a:solidFill>
                <a:schemeClr val="accent3"/>
              </a:solidFill>
            </a:rPr>
            <a:t>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34904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DB766F-FF73-3F10-1029-EBAA04C540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0.60193</cdr:x>
      <cdr:y>0.18181</cdr:y>
    </cdr:from>
    <cdr:to>
      <cdr:x>0.69673</cdr:x>
      <cdr:y>0.33386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E0C7454-E3C1-21E2-0AB1-9AA1F213B5F0}"/>
            </a:ext>
          </a:extLst>
        </cdr:cNvPr>
        <cdr:cNvSpPr txBox="1"/>
      </cdr:nvSpPr>
      <cdr:spPr>
        <a:xfrm xmlns:a="http://schemas.openxmlformats.org/drawingml/2006/main">
          <a:off x="5806109" y="109330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0.42161</cdr:x>
      <cdr:y>0.08539</cdr:y>
    </cdr:from>
    <cdr:to>
      <cdr:x>0.98146</cdr:x>
      <cdr:y>0.14186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29A5BC29-A999-8015-A8B3-F67FFCB11247}"/>
            </a:ext>
          </a:extLst>
        </cdr:cNvPr>
        <cdr:cNvSpPr txBox="1"/>
      </cdr:nvSpPr>
      <cdr:spPr>
        <a:xfrm xmlns:a="http://schemas.openxmlformats.org/drawingml/2006/main">
          <a:off x="4066761" y="513522"/>
          <a:ext cx="5400262" cy="339587"/>
        </a:xfrm>
        <a:prstGeom xmlns:a="http://schemas.openxmlformats.org/drawingml/2006/main" prst="rect">
          <a:avLst/>
        </a:prstGeom>
        <a:solidFill xmlns:a="http://schemas.openxmlformats.org/drawingml/2006/main">
          <a:srgbClr val="D9F2D0">
            <a:alpha val="50196"/>
          </a:srgbClr>
        </a:solidFill>
        <a:ln xmlns:a="http://schemas.openxmlformats.org/drawingml/2006/main"/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1000" b="1"/>
            <a:t>Tempo de Resposta = </a:t>
          </a:r>
          <a:r>
            <a:rPr lang="pt-BR" sz="1000" b="1">
              <a:solidFill>
                <a:schemeClr val="accent1"/>
              </a:solidFill>
            </a:rPr>
            <a:t>Latência de Requisicão </a:t>
          </a:r>
          <a:r>
            <a:rPr lang="pt-BR" sz="1000" b="1"/>
            <a:t>+ </a:t>
          </a:r>
          <a:r>
            <a:rPr lang="pt-BR" sz="1000" b="1">
              <a:solidFill>
                <a:schemeClr val="accent2"/>
              </a:solidFill>
            </a:rPr>
            <a:t>Tempo de Processamento </a:t>
          </a:r>
          <a:r>
            <a:rPr lang="pt-BR" sz="1000" b="1"/>
            <a:t>+ </a:t>
          </a:r>
          <a:r>
            <a:rPr lang="pt-BR" sz="1000" b="1">
              <a:solidFill>
                <a:schemeClr val="accent3"/>
              </a:solidFill>
            </a:rPr>
            <a:t>Latência de Resposta</a:t>
          </a:r>
          <a:r>
            <a:rPr lang="pt-BR" sz="1000" b="1" kern="1200">
              <a:solidFill>
                <a:schemeClr val="accent3"/>
              </a:solidFill>
            </a:rPr>
            <a:t>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IEL RODRIGUES DE OLIVEIRA" refreshedDate="46166.608997685187" createdVersion="8" refreshedVersion="8" minRefreshableVersion="3" recordCount="100" xr:uid="{475DD2F6-7CFB-41CE-98B9-CE535C82E70B}">
  <cacheSource type="worksheet">
    <worksheetSource name="resultado_db_usuario_1"/>
  </cacheSource>
  <cacheFields count="12">
    <cacheField name="id" numFmtId="0">
      <sharedItems/>
    </cacheField>
    <cacheField name="requisição" numFmtId="0">
      <sharedItems count="10">
        <s v="DELETE /pecas/:id"/>
        <s v="GET /aeronaves/"/>
        <s v="GET /etapas/"/>
        <s v="GET /funcionarios/"/>
        <s v="GET /pecas/"/>
        <s v="GET /pecas/:id"/>
        <s v="GET /relatorios/"/>
        <s v="GET /testes/"/>
        <s v="PATCH /pecas/:id"/>
        <s v="POST /pecas/"/>
      </sharedItems>
    </cacheField>
    <cacheField name="metodo" numFmtId="0">
      <sharedItems/>
    </cacheField>
    <cacheField name="caminho" numFmtId="0">
      <sharedItems/>
    </cacheField>
    <cacheField name="rota" numFmtId="0">
      <sharedItems/>
    </cacheField>
    <cacheField name="statusCode" numFmtId="0">
      <sharedItems containsSemiMixedTypes="0" containsString="0" containsNumber="1" containsInteger="1" minValue="200" maxValue="204" count="3">
        <n v="204"/>
        <n v="200"/>
        <n v="201"/>
      </sharedItems>
    </cacheField>
    <cacheField name="duracaoMs" numFmtId="2">
      <sharedItems containsMixedTypes="1" containsNumber="1" minValue="2.14" maxValue="24.57" count="98">
        <n v="5.43"/>
        <n v="6.52"/>
        <n v="5.6"/>
        <n v="7.46"/>
        <n v="6.3"/>
        <n v="6.1"/>
        <n v="6.66"/>
        <n v="6.38"/>
        <n v="6.2"/>
        <n v="6.18"/>
        <n v="15.28"/>
        <n v="17.41"/>
        <n v="13.69"/>
        <n v="15.26"/>
        <n v="16.09"/>
        <n v="16.84"/>
        <n v="15.85"/>
        <n v="24.57"/>
        <n v="13.78"/>
        <n v="15.42"/>
        <n v="6.9"/>
        <n v="6.29"/>
        <n v="6.24"/>
        <n v="5.7"/>
        <n v="5.31"/>
        <n v="6.89"/>
        <n v="8.6"/>
        <n v="10.18"/>
        <n v="5.62"/>
        <n v="6.79"/>
        <n v="3.79"/>
        <n v="4.4000000000000004"/>
        <n v="3.61"/>
        <n v="3.3"/>
        <n v="3.54"/>
        <n v="4.07"/>
        <n v="3.7"/>
        <n v="3.13"/>
        <n v="3.07"/>
        <n v="3.92"/>
        <n v="3.97"/>
        <n v="4.0599999999999996"/>
        <n v="3.35"/>
        <n v="4.24"/>
        <n v="4.95"/>
        <n v="4.79"/>
        <n v="5.56"/>
        <n v="4.68"/>
        <n v="3.64"/>
        <s v="5"/>
        <n v="2.73"/>
        <n v="2.97"/>
        <n v="2.71"/>
        <n v="2.4300000000000002"/>
        <n v="2.5099999999999998"/>
        <n v="2.57"/>
        <n v="3.55"/>
        <n v="2.14"/>
        <n v="2.85"/>
        <n v="5.21"/>
        <n v="4.3099999999999996"/>
        <n v="5.28"/>
        <n v="5.01"/>
        <n v="4.43"/>
        <n v="4.25"/>
        <n v="3.53"/>
        <n v="5.14"/>
        <n v="4.58"/>
        <n v="4.92"/>
        <n v="4.13"/>
        <n v="3.6"/>
        <n v="3.31"/>
        <n v="3.28"/>
        <n v="4.16"/>
        <n v="4.38"/>
        <n v="4.4800000000000004"/>
        <n v="2.72"/>
        <n v="4.17"/>
        <n v="12.61"/>
        <n v="11.41"/>
        <n v="9.43"/>
        <n v="11.89"/>
        <n v="9.23"/>
        <n v="9.3800000000000008"/>
        <n v="8.3699999999999992"/>
        <n v="10.95"/>
        <n v="11.26"/>
        <n v="9.6300000000000008"/>
        <n v="18.97"/>
        <n v="11.93"/>
        <n v="9.18"/>
        <n v="12.25"/>
        <n v="11.14"/>
        <n v="10.87"/>
        <n v="9.6199999999999992"/>
        <n v="11.19"/>
        <n v="9.9499999999999993"/>
        <n v="11.11"/>
      </sharedItems>
    </cacheField>
    <cacheField name="iniciadoEm" numFmtId="22">
      <sharedItems containsSemiMixedTypes="0" containsNonDate="0" containsDate="1" containsString="0" minDate="2026-05-24T15:00:30" maxDate="2026-05-24T15:00:31"/>
    </cacheField>
    <cacheField name="finalizadoEm" numFmtId="22">
      <sharedItems containsSemiMixedTypes="0" containsNonDate="0" containsDate="1" containsString="0" minDate="2026-05-24T15:00:30" maxDate="2026-05-24T15:00:31"/>
    </cacheField>
    <cacheField name="ip" numFmtId="0">
      <sharedItems/>
    </cacheField>
    <cacheField name="userAgent" numFmtId="0">
      <sharedItems/>
    </cacheField>
    <cacheField name="createdAt" numFmtId="22">
      <sharedItems containsSemiMixedTypes="0" containsNonDate="0" containsDate="1" containsString="0" minDate="2026-05-24T15:00:30" maxDate="2026-05-24T15:00: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IEL RODRIGUES DE OLIVEIRA" refreshedDate="46166.624137268518" createdVersion="8" refreshedVersion="8" minRefreshableVersion="3" recordCount="500" xr:uid="{6CBE4EED-AF5B-4D47-9EF7-6EBE83C34A16}">
  <cacheSource type="worksheet">
    <worksheetSource name="resultado_db_usuario_5"/>
  </cacheSource>
  <cacheFields count="12">
    <cacheField name="id" numFmtId="0">
      <sharedItems/>
    </cacheField>
    <cacheField name="requisição" numFmtId="0">
      <sharedItems count="10">
        <s v="DELETE /pecas/:id"/>
        <s v="GET /aeronaves/"/>
        <s v="GET /etapas/"/>
        <s v="GET /funcionarios/"/>
        <s v="GET /pecas/"/>
        <s v="GET /pecas/:id"/>
        <s v="GET /relatorios/"/>
        <s v="GET /testes/"/>
        <s v="PATCH /pecas/:id"/>
        <s v="POST /pecas/"/>
      </sharedItems>
    </cacheField>
    <cacheField name="metodo" numFmtId="0">
      <sharedItems/>
    </cacheField>
    <cacheField name="caminho" numFmtId="0">
      <sharedItems/>
    </cacheField>
    <cacheField name="rota" numFmtId="0">
      <sharedItems/>
    </cacheField>
    <cacheField name="statusCode" numFmtId="0">
      <sharedItems containsSemiMixedTypes="0" containsString="0" containsNumber="1" containsInteger="1" minValue="200" maxValue="404" count="5">
        <n v="204"/>
        <n v="404"/>
        <n v="200"/>
        <n v="201"/>
        <n v="400"/>
      </sharedItems>
    </cacheField>
    <cacheField name="duracaoMs" numFmtId="2">
      <sharedItems containsMixedTypes="1" containsNumber="1" minValue="2.71" maxValue="68.8"/>
    </cacheField>
    <cacheField name="iniciadoEm" numFmtId="22">
      <sharedItems containsSemiMixedTypes="0" containsNonDate="0" containsDate="1" containsString="0" minDate="2026-05-24T15:17:53" maxDate="2026-05-24T15:17:55"/>
    </cacheField>
    <cacheField name="finalizadoEm" numFmtId="22">
      <sharedItems containsSemiMixedTypes="0" containsNonDate="0" containsDate="1" containsString="0" minDate="2026-05-24T15:17:53" maxDate="2026-05-24T15:17:55"/>
    </cacheField>
    <cacheField name="ip" numFmtId="0">
      <sharedItems/>
    </cacheField>
    <cacheField name="userAgent" numFmtId="0">
      <sharedItems/>
    </cacheField>
    <cacheField name="createdAt" numFmtId="22">
      <sharedItems containsSemiMixedTypes="0" containsNonDate="0" containsDate="1" containsString="0" minDate="2026-05-24T15:17:53" maxDate="2026-05-24T15:17: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IEL RODRIGUES DE OLIVEIRA" refreshedDate="46166.628109490739" createdVersion="8" refreshedVersion="8" minRefreshableVersion="3" recordCount="1000" xr:uid="{4782FDF2-4A09-45F5-9AF8-E5E5DDC1D780}">
  <cacheSource type="worksheet">
    <worksheetSource name="resultado_db_usuario_10"/>
  </cacheSource>
  <cacheFields count="12">
    <cacheField name="id" numFmtId="0">
      <sharedItems/>
    </cacheField>
    <cacheField name="requisição" numFmtId="0">
      <sharedItems count="10">
        <s v="DELETE /pecas/:id"/>
        <s v="GET /aeronaves/"/>
        <s v="GET /etapas/"/>
        <s v="GET /funcionarios/"/>
        <s v="GET /pecas/"/>
        <s v="GET /pecas/:id"/>
        <s v="GET /relatorios/"/>
        <s v="GET /testes/"/>
        <s v="PATCH /pecas/:id"/>
        <s v="POST /pecas/"/>
      </sharedItems>
    </cacheField>
    <cacheField name="metodo" numFmtId="0">
      <sharedItems/>
    </cacheField>
    <cacheField name="caminho" numFmtId="0">
      <sharedItems/>
    </cacheField>
    <cacheField name="rota" numFmtId="0">
      <sharedItems/>
    </cacheField>
    <cacheField name="statusCode" numFmtId="0">
      <sharedItems containsSemiMixedTypes="0" containsString="0" containsNumber="1" containsInteger="1" minValue="200" maxValue="404" count="5">
        <n v="204"/>
        <n v="404"/>
        <n v="200"/>
        <n v="201"/>
        <n v="400"/>
      </sharedItems>
    </cacheField>
    <cacheField name="duracaoMs" numFmtId="0">
      <sharedItems containsMixedTypes="1" containsNumber="1" minValue="1.75" maxValue="49.95" count="844">
        <s v="4"/>
        <n v="6.06"/>
        <n v="6.64"/>
        <s v="5.24"/>
        <n v="9.25"/>
        <n v="6.39"/>
        <n v="5.46"/>
        <n v="11.64"/>
        <s v="11.14"/>
        <n v="14.15"/>
        <n v="11.03"/>
        <n v="11.39"/>
        <n v="11.25"/>
        <s v="5.32"/>
        <n v="10.57"/>
        <n v="10.039999999999999"/>
        <n v="12.12"/>
        <s v="11.35"/>
        <n v="19.22"/>
        <s v="10.86"/>
        <n v="22.6"/>
        <n v="12.49"/>
        <n v="12.45"/>
        <n v="16.72"/>
        <n v="13.82"/>
        <s v="10.74"/>
        <s v="13.02"/>
        <s v="14.7"/>
        <n v="15.18"/>
        <n v="11.65"/>
        <n v="12.56"/>
        <n v="13.17"/>
        <n v="15.61"/>
        <n v="12.83"/>
        <n v="9.2200000000000006"/>
        <s v="11.32"/>
        <s v="11.72"/>
        <s v="13.71"/>
        <n v="12.63"/>
        <n v="14.35"/>
        <n v="10.44"/>
        <n v="15.09"/>
        <n v="13.83"/>
        <n v="13.74"/>
        <s v="8.67"/>
        <s v="10.15"/>
        <s v="11.46"/>
        <n v="6.99"/>
        <n v="18.079999999999998"/>
        <n v="11.56"/>
        <n v="13.61"/>
        <n v="9.49"/>
        <n v="14.69"/>
        <s v="11.77"/>
        <s v="15.97"/>
        <s v="19.63"/>
        <s v="20.88"/>
        <n v="18.399999999999999"/>
        <n v="21.69"/>
        <n v="9.14"/>
        <n v="11.77"/>
        <n v="14.1"/>
        <n v="13.66"/>
        <s v="11.29"/>
        <s v="11.43"/>
        <s v="14.04"/>
        <n v="11.05"/>
        <n v="16.09"/>
        <n v="14.18"/>
        <n v="12.43"/>
        <n v="11.95"/>
        <s v="8.52"/>
        <n v="13.07"/>
        <s v="9.21"/>
        <n v="10.3"/>
        <n v="9.09"/>
        <n v="6.57"/>
        <n v="10.68"/>
        <n v="8.09"/>
        <s v="7.54"/>
        <n v="12.53"/>
        <n v="8.7200000000000006"/>
        <n v="8.65"/>
        <n v="7.06"/>
        <s v="9.47"/>
        <n v="6.2"/>
        <s v="5.88"/>
        <n v="9.9"/>
        <n v="8.84"/>
        <n v="7.26"/>
        <s v="5.15"/>
        <n v="5.31"/>
        <n v="11.96"/>
        <n v="5.52"/>
        <n v="5.35"/>
        <n v="5.38"/>
        <n v="3.03"/>
        <n v="4.0599999999999996"/>
        <n v="16.78"/>
        <s v="29"/>
        <n v="12.38"/>
        <n v="11.43"/>
        <n v="9.69"/>
        <n v="14.97"/>
        <n v="8.58"/>
        <n v="14.8"/>
        <n v="13.38"/>
        <s v="16"/>
        <n v="11.48"/>
        <n v="13.93"/>
        <n v="16.25"/>
        <n v="14.81"/>
        <n v="22.52"/>
        <n v="16.100000000000001"/>
        <n v="18.32"/>
        <n v="21.96"/>
        <n v="17.940000000000001"/>
        <n v="22.03"/>
        <n v="26.35"/>
        <n v="31.33"/>
        <n v="17.68"/>
        <n v="19.96"/>
        <n v="24.04"/>
        <n v="27.71"/>
        <n v="29.17"/>
        <n v="33.97"/>
        <n v="37.49"/>
        <n v="37.9"/>
        <n v="29.85"/>
        <n v="29.05"/>
        <n v="20.25"/>
        <n v="25.92"/>
        <n v="24.88"/>
        <n v="30.31"/>
        <n v="39.74"/>
        <n v="39.979999999999997"/>
        <n v="44.6"/>
        <n v="49.95"/>
        <n v="23.25"/>
        <n v="28.29"/>
        <n v="17.07"/>
        <n v="26.36"/>
        <n v="24.07"/>
        <n v="31.3"/>
        <n v="28.96"/>
        <n v="35.47"/>
        <n v="38.770000000000003"/>
        <n v="41.02"/>
        <n v="25.97"/>
        <n v="43.67"/>
        <n v="25.32"/>
        <n v="24.59"/>
        <n v="23.87"/>
        <n v="28.69"/>
        <n v="32.25"/>
        <n v="35.56"/>
        <n v="39.89"/>
        <n v="24.7"/>
        <n v="20.46"/>
        <n v="25.73"/>
        <n v="25.61"/>
        <n v="24.49"/>
        <n v="24.72"/>
        <n v="26.86"/>
        <n v="31.55"/>
        <n v="35.93"/>
        <n v="22.41"/>
        <n v="21.29"/>
        <n v="26.58"/>
        <n v="20.61"/>
        <n v="23.89"/>
        <n v="20.350000000000001"/>
        <n v="19.84"/>
        <n v="24.76"/>
        <n v="21.87"/>
        <n v="21.24"/>
        <n v="18.43"/>
        <n v="19.54"/>
        <n v="22.15"/>
        <n v="25.63"/>
        <n v="26.12"/>
        <n v="25.84"/>
        <n v="20.79"/>
        <n v="20.04"/>
        <n v="19.78"/>
        <n v="20.38"/>
        <n v="23.62"/>
        <n v="27.25"/>
        <n v="20.3"/>
        <n v="16.010000000000002"/>
        <n v="16.79"/>
        <n v="17.350000000000001"/>
        <n v="14.34"/>
        <n v="13.79"/>
        <n v="13.47"/>
        <n v="9.32"/>
        <n v="12.41"/>
        <n v="4.32"/>
        <n v="4.6500000000000004"/>
        <n v="3.54"/>
        <n v="8.36"/>
        <n v="4.08"/>
        <n v="4.8899999999999997"/>
        <n v="8.35"/>
        <n v="5.49"/>
        <n v="8.64"/>
        <n v="5.7"/>
        <n v="6.73"/>
        <n v="6.4"/>
        <n v="8.2200000000000006"/>
        <n v="6.63"/>
        <n v="9.1199999999999992"/>
        <n v="7.01"/>
        <n v="9.75"/>
        <n v="8.1300000000000008"/>
        <n v="14.51"/>
        <n v="19.5"/>
        <n v="11.88"/>
        <n v="13.37"/>
        <n v="9.6999999999999993"/>
        <n v="18.21"/>
        <n v="11.85"/>
        <n v="14.13"/>
        <n v="12.23"/>
        <n v="13.31"/>
        <n v="11.55"/>
        <n v="14.77"/>
        <n v="14.08"/>
        <n v="14.92"/>
        <n v="11.41"/>
        <n v="17.45"/>
        <n v="23.96"/>
        <n v="6.75"/>
        <n v="12.27"/>
        <n v="13.68"/>
        <n v="15.54"/>
        <n v="11.97"/>
        <n v="9.84"/>
        <n v="15.46"/>
        <n v="9.16"/>
        <n v="15.38"/>
        <n v="19.89"/>
        <n v="20.8"/>
        <n v="18.11"/>
        <n v="7.11"/>
        <n v="16.95"/>
        <n v="11.62"/>
        <n v="12.18"/>
        <n v="11.2"/>
        <n v="10.52"/>
        <n v="11.36"/>
        <n v="11.15"/>
        <n v="11.59"/>
        <n v="13.57"/>
        <n v="13.92"/>
        <n v="9.76"/>
        <n v="7.86"/>
        <n v="10.45"/>
        <n v="8.75"/>
        <n v="8.61"/>
        <n v="8.15"/>
        <n v="14.39"/>
        <n v="10.130000000000001"/>
        <n v="11.83"/>
        <n v="6.31"/>
        <n v="10.29"/>
        <n v="12.14"/>
        <n v="14.23"/>
        <n v="8.94"/>
        <n v="10.15"/>
        <n v="6.86"/>
        <n v="6.44"/>
        <n v="6.02"/>
        <n v="10.73"/>
        <n v="15.47"/>
        <n v="10.17"/>
        <n v="9.2100000000000009"/>
        <n v="6.87"/>
        <n v="12.72"/>
        <n v="14.64"/>
        <n v="7.03"/>
        <n v="4.58"/>
        <n v="9.89"/>
        <n v="10.61"/>
        <n v="3.69"/>
        <n v="6.83"/>
        <n v="7.47"/>
        <n v="6.88"/>
        <n v="4.79"/>
        <n v="4.8"/>
        <n v="2.82"/>
        <n v="4.8499999999999996"/>
        <n v="2.21"/>
        <n v="4.74"/>
        <n v="2.2400000000000002"/>
        <n v="3.12"/>
        <n v="5.42"/>
        <n v="2.33"/>
        <n v="3.07"/>
        <n v="3.38"/>
        <n v="5.12"/>
        <n v="12.44"/>
        <n v="10.19"/>
        <n v="5.98"/>
        <n v="4.3600000000000003"/>
        <n v="11.27"/>
        <n v="6.15"/>
        <n v="10.02"/>
        <n v="5.8"/>
        <n v="6.6"/>
        <n v="12.78"/>
        <n v="10.26"/>
        <n v="20.88"/>
        <n v="14.43"/>
        <n v="6.85"/>
        <n v="8.18"/>
        <n v="9.4"/>
        <n v="14.72"/>
        <n v="10.94"/>
        <n v="22.66"/>
        <n v="7.17"/>
        <n v="7.33"/>
        <n v="9.66"/>
        <n v="10.4"/>
        <n v="10.27"/>
        <n v="7.55"/>
        <n v="7.94"/>
        <n v="10.34"/>
        <n v="15.58"/>
        <n v="4.8099999999999996"/>
        <n v="10.38"/>
        <n v="10.62"/>
        <n v="11.7"/>
        <n v="7.59"/>
        <n v="8.16"/>
        <n v="8.9"/>
        <n v="11.63"/>
        <n v="8.26"/>
        <n v="6.93"/>
        <n v="8.11"/>
        <n v="8.89"/>
        <n v="9.7100000000000009"/>
        <n v="7.76"/>
        <n v="8.32"/>
        <n v="11.32"/>
        <n v="20.29"/>
        <n v="6.14"/>
        <n v="9.91"/>
        <n v="11.99"/>
        <n v="13.33"/>
        <n v="6.96"/>
        <n v="9.99"/>
        <n v="6.84"/>
        <n v="8.4"/>
        <n v="10.54"/>
        <n v="11.33"/>
        <n v="7.43"/>
        <n v="9.07"/>
        <n v="10.33"/>
        <n v="8.41"/>
        <n v="11.44"/>
        <n v="4.71"/>
        <n v="9.19"/>
        <n v="2.79"/>
        <n v="3.09"/>
        <n v="4.59"/>
        <n v="10.1"/>
        <n v="3.14"/>
        <n v="2.4"/>
        <n v="2.65"/>
        <n v="2.37"/>
        <n v="2.71"/>
        <n v="2.93"/>
        <n v="5.01"/>
        <n v="3.75"/>
        <n v="3.39"/>
        <n v="2.72"/>
        <n v="5.2"/>
        <n v="4.17"/>
        <n v="6.16"/>
        <n v="9.33"/>
        <n v="8.06"/>
        <n v="5.65"/>
        <n v="5.4"/>
        <n v="4.63"/>
        <n v="15.3"/>
        <n v="8.74"/>
        <n v="5.57"/>
        <n v="6.24"/>
        <n v="6.55"/>
        <n v="7.44"/>
        <n v="9.1"/>
        <n v="16.62"/>
        <n v="13.89"/>
        <n v="13.23"/>
        <n v="12.25"/>
        <n v="12.29"/>
        <n v="12.99"/>
        <n v="18.260000000000002"/>
        <n v="6.47"/>
        <n v="11.6"/>
        <n v="12.8"/>
        <n v="12.55"/>
        <n v="9.39"/>
        <n v="10.84"/>
        <n v="8.1999999999999993"/>
        <n v="19.04"/>
        <n v="7.81"/>
        <n v="7.95"/>
        <n v="7.75"/>
        <n v="9.93"/>
        <n v="12.71"/>
        <n v="16.68"/>
        <n v="7.84"/>
        <n v="12.68"/>
        <n v="6.1"/>
        <n v="16.809999999999999"/>
        <n v="9.0299999999999994"/>
        <n v="7.73"/>
        <n v="8.7799999999999994"/>
        <n v="9.74"/>
        <n v="11.19"/>
        <n v="11.02"/>
        <n v="7.97"/>
        <n v="9.23"/>
        <n v="8.0399999999999991"/>
        <n v="5.95"/>
        <n v="6.28"/>
        <n v="11.06"/>
        <n v="12.3"/>
        <s v="13"/>
        <n v="11.98"/>
        <n v="7.63"/>
        <n v="10.72"/>
        <n v="10.199999999999999"/>
        <n v="4.49"/>
        <n v="7.25"/>
        <n v="6.03"/>
        <n v="12.6"/>
        <n v="7.71"/>
        <n v="12.61"/>
        <n v="9.3800000000000008"/>
        <n v="4.21"/>
        <n v="11.87"/>
        <n v="4.93"/>
        <n v="4.5599999999999996"/>
        <n v="8.81"/>
        <n v="9.68"/>
        <n v="4.47"/>
        <n v="7.92"/>
        <n v="5.24"/>
        <n v="6.77"/>
        <n v="6.01"/>
        <n v="5.1100000000000003"/>
        <n v="2.58"/>
        <n v="3.47"/>
        <n v="2.85"/>
        <n v="1.98"/>
        <n v="2.16"/>
        <n v="2.5"/>
        <s v="3.56"/>
        <n v="5.83"/>
        <n v="5.44"/>
        <n v="2.83"/>
        <n v="3.78"/>
        <s v="5.56"/>
        <n v="4.07"/>
        <n v="2.94"/>
        <n v="3.64"/>
        <n v="7.83"/>
        <s v="11.34"/>
        <n v="11.4"/>
        <s v="8.93"/>
        <n v="11.94"/>
        <s v="9.81"/>
        <n v="15.42"/>
        <n v="10.31"/>
        <n v="9.4499999999999993"/>
        <n v="12.36"/>
        <s v="9.7"/>
        <s v="11.04"/>
        <s v="11.01"/>
        <n v="11.49"/>
        <n v="14.54"/>
        <n v="13.53"/>
        <n v="12.06"/>
        <n v="9.31"/>
        <n v="9.2799999999999994"/>
        <s v="8.74"/>
        <s v="9.14"/>
        <s v="9.54"/>
        <n v="7.04"/>
        <n v="19.86"/>
        <n v="8.42"/>
        <n v="14.57"/>
        <n v="7.69"/>
        <n v="10.81"/>
        <s v="11.47"/>
        <s v="12.14"/>
        <s v="12.27"/>
        <n v="10.11"/>
        <n v="16.739999999999998"/>
        <n v="14.6"/>
        <s v="7.1"/>
        <s v="9.99"/>
        <s v="10.34"/>
        <s v="10.91"/>
        <n v="12.76"/>
        <n v="5.93"/>
        <n v="6.59"/>
        <s v="12.05"/>
        <s v="12.88"/>
        <s v="11.18"/>
        <n v="9.18"/>
        <n v="7.99"/>
        <n v="8.6199999999999992"/>
        <s v="7.89"/>
        <n v="6.69"/>
        <s v="12.96"/>
        <n v="10.5"/>
        <n v="6.97"/>
        <n v="10.67"/>
        <n v="5.37"/>
        <s v="6.22"/>
        <n v="4.2699999999999996"/>
        <n v="8.1"/>
        <n v="10.83"/>
        <n v="5.09"/>
        <s v="3.73"/>
        <s v="2.89"/>
        <n v="6.67"/>
        <n v="4.0999999999999996"/>
        <n v="3.92"/>
        <s v="7.98"/>
        <n v="4.41"/>
        <n v="2.64"/>
        <n v="1.75"/>
        <n v="1.96"/>
        <n v="3.86"/>
        <n v="3.11"/>
        <n v="1.81"/>
        <n v="3.08"/>
        <n v="3.96"/>
        <n v="3.2"/>
        <n v="4.9000000000000004"/>
        <n v="5.82"/>
        <n v="3.13"/>
        <n v="8.68"/>
        <n v="3.33"/>
        <n v="5.32"/>
        <n v="13.78"/>
        <n v="10.59"/>
        <n v="4.82"/>
        <n v="8.23"/>
        <n v="5.69"/>
        <n v="10.71"/>
        <n v="16.77"/>
        <n v="14.44"/>
        <n v="13.77"/>
        <n v="14.22"/>
        <n v="9.58"/>
        <n v="9.5500000000000007"/>
        <n v="10.75"/>
        <n v="11.35"/>
        <n v="14.37"/>
        <n v="32.97"/>
        <n v="12.52"/>
        <n v="13.01"/>
        <n v="14.04"/>
        <n v="14.42"/>
        <n v="7.74"/>
        <n v="10.39"/>
        <n v="12.75"/>
        <n v="17.27"/>
        <n v="8.0299999999999994"/>
        <n v="19.309999999999999"/>
        <n v="29.29"/>
        <n v="17.98"/>
        <n v="15.56"/>
        <n v="10.24"/>
        <n v="9.48"/>
        <n v="11.52"/>
        <n v="12.85"/>
        <n v="7.3"/>
        <n v="9.36"/>
        <n v="20.41"/>
        <n v="6.78"/>
        <n v="15.5"/>
        <n v="10.51"/>
        <n v="4.8600000000000003"/>
        <n v="8.43"/>
        <n v="12.39"/>
        <n v="8.7899999999999991"/>
        <n v="7.98"/>
        <n v="11.73"/>
        <s v="6"/>
        <n v="9.67"/>
        <n v="9.08"/>
        <n v="5.18"/>
        <n v="8.52"/>
        <n v="12.9"/>
        <n v="3.02"/>
        <n v="5.75"/>
        <n v="7.67"/>
        <n v="6.17"/>
        <n v="2.41"/>
        <n v="4.1399999999999997"/>
        <n v="3.61"/>
        <n v="3.99"/>
        <n v="5.48"/>
        <n v="7.7"/>
        <n v="4.05"/>
        <n v="2.88"/>
        <n v="7.78"/>
        <n v="3.53"/>
        <n v="6.34"/>
        <n v="5.68"/>
        <n v="8.82"/>
        <n v="5.54"/>
        <n v="6.95"/>
        <n v="8.98"/>
        <n v="11.12"/>
        <n v="11.09"/>
        <n v="13.88"/>
        <n v="11.71"/>
        <n v="10.18"/>
        <n v="9.7899999999999991"/>
        <n v="10.09"/>
        <n v="11.57"/>
        <n v="12.26"/>
        <n v="9.15"/>
        <n v="10.65"/>
        <n v="11.46"/>
        <n v="25.09"/>
        <n v="9.17"/>
        <n v="17.97"/>
        <n v="14.09"/>
        <n v="17.52"/>
        <n v="14.61"/>
        <n v="9.3699999999999992"/>
        <n v="13.73"/>
        <n v="10.07"/>
        <n v="11.58"/>
        <n v="13.11"/>
        <s v="14"/>
        <n v="14.84"/>
        <n v="15.89"/>
        <n v="5.66"/>
        <n v="8.9700000000000006"/>
        <n v="13.09"/>
        <n v="13.75"/>
        <n v="14.3"/>
        <n v="7.88"/>
        <n v="5.19"/>
        <n v="13.16"/>
        <n v="6.61"/>
        <n v="5.89"/>
        <n v="4.6399999999999997"/>
        <n v="9.02"/>
        <n v="7.54"/>
        <n v="10.96"/>
        <n v="4.1900000000000004"/>
        <n v="7.29"/>
        <n v="4.18"/>
        <n v="9.9600000000000009"/>
        <n v="9.0500000000000007"/>
        <n v="4.6100000000000003"/>
        <n v="2.99"/>
        <n v="4.12"/>
        <n v="2.38"/>
        <n v="6.22"/>
        <s v="2.54"/>
        <n v="13.45"/>
        <n v="17.670000000000002"/>
        <n v="9.8800000000000008"/>
        <s v="6.34"/>
        <n v="16.64"/>
        <n v="12.5"/>
        <n v="16.59"/>
        <s v="7.23"/>
        <n v="22.32"/>
        <n v="15.1"/>
        <n v="18.510000000000002"/>
        <n v="20.39"/>
        <s v="7.69"/>
        <n v="23.77"/>
        <s v="8.35"/>
        <n v="24.54"/>
        <n v="27.11"/>
        <n v="29.79"/>
        <n v="23.7"/>
        <n v="22.87"/>
        <s v="13.84"/>
        <s v="14.25"/>
        <s v="13.46"/>
        <n v="24.51"/>
        <n v="30.15"/>
        <n v="43.58"/>
        <s v="25"/>
        <n v="20.78"/>
        <n v="24.75"/>
        <s v="13.8"/>
        <s v="14.14"/>
        <s v="11.83"/>
        <n v="30.21"/>
        <n v="33.200000000000003"/>
        <n v="43.49"/>
        <n v="40.68"/>
        <n v="30.03"/>
        <n v="23.6"/>
        <s v="12.47"/>
        <s v="13.1"/>
        <n v="27.32"/>
        <n v="24.98"/>
        <n v="40.69"/>
        <n v="28.64"/>
        <n v="21.6"/>
        <n v="16.29"/>
        <s v="10.4"/>
        <s v="12.17"/>
        <s v="12.56"/>
        <s v="13.24"/>
        <n v="21.88"/>
        <n v="27.77"/>
        <n v="29.78"/>
        <n v="24.19"/>
        <n v="26.88"/>
        <n v="19.600000000000001"/>
        <s v="5.66"/>
        <s v="8.06"/>
        <n v="19.09"/>
        <n v="20.56"/>
        <n v="24.05"/>
        <n v="19.82"/>
        <s v="3.35"/>
        <n v="21.39"/>
        <s v="6.08"/>
        <n v="17.850000000000001"/>
        <n v="20.85"/>
        <n v="23.43"/>
        <n v="22.16"/>
        <n v="18.600000000000001"/>
        <n v="18.54"/>
        <s v="5.79"/>
        <n v="16.28"/>
        <n v="17.579999999999998"/>
        <n v="25.56"/>
        <n v="19.260000000000002"/>
        <s v="3.88"/>
        <s v="4.26"/>
        <n v="18.84"/>
        <n v="16.75"/>
        <s v="2.46"/>
        <n v="16.32"/>
        <n v="16.149999999999999"/>
        <n v="14.87"/>
        <n v="11.1"/>
        <n v="8.39"/>
        <n v="9.4700000000000006"/>
        <n v="7.5"/>
        <n v="11.34"/>
        <n v="20.96"/>
        <n v="12.35"/>
        <n v="15.51"/>
        <n v="20.81"/>
        <n v="19.190000000000001"/>
        <n v="19.690000000000001"/>
        <n v="24.11"/>
        <n v="15.22"/>
        <n v="44.99"/>
        <n v="18.38"/>
        <n v="22.81"/>
        <n v="29.48"/>
        <n v="27.17"/>
        <n v="27.42"/>
        <n v="24.95"/>
        <n v="46.5"/>
        <n v="39.380000000000003"/>
        <n v="38.21"/>
        <n v="32.76"/>
        <n v="33.76"/>
        <n v="32.409999999999997"/>
        <n v="31.86"/>
        <n v="32.840000000000003"/>
        <n v="42.87"/>
        <n v="44.11"/>
        <n v="28.47"/>
        <n v="30.42"/>
        <n v="36.369999999999997"/>
        <n v="29.13"/>
        <n v="30.96"/>
        <n v="31.02"/>
        <n v="32.299999999999997"/>
        <s v="31"/>
        <n v="33.58"/>
        <n v="33.03"/>
        <n v="32.33"/>
        <n v="47.6"/>
        <n v="42.61"/>
        <n v="29.12"/>
        <n v="28.75"/>
        <n v="32.19"/>
        <n v="30.23"/>
        <n v="34.32"/>
        <n v="31.54"/>
        <n v="27.35"/>
        <n v="34.229999999999997"/>
        <n v="34.840000000000003"/>
        <n v="21.17"/>
        <n v="19.77"/>
        <n v="23.72"/>
        <n v="23.18"/>
        <n v="26.76"/>
        <n v="35.229999999999997"/>
        <n v="40.75"/>
        <n v="44.02"/>
        <n v="33.83"/>
        <n v="37.46"/>
        <n v="23.69"/>
        <n v="25.68"/>
        <n v="22.49"/>
        <n v="23.5"/>
        <n v="29.54"/>
        <n v="25.82"/>
        <n v="34.729999999999997"/>
        <n v="29.65"/>
        <n v="29.53"/>
        <n v="23.23"/>
        <n v="26.32"/>
        <n v="26.66"/>
        <n v="28.7"/>
        <n v="35.92"/>
        <n v="20.83"/>
        <n v="26.97"/>
        <n v="19.68"/>
        <n v="18.16"/>
        <n v="18.34"/>
        <n v="10.37"/>
        <n v="18.14"/>
        <n v="17.3"/>
        <n v="12.19"/>
        <n v="15.08"/>
        <n v="9.41"/>
        <n v="10.32"/>
      </sharedItems>
    </cacheField>
    <cacheField name="iniciadoEm" numFmtId="22">
      <sharedItems containsSemiMixedTypes="0" containsNonDate="0" containsDate="1" containsString="0" minDate="2026-05-24T15:23:08" maxDate="2026-05-24T15:23:11"/>
    </cacheField>
    <cacheField name="finalizadoEm" numFmtId="22">
      <sharedItems containsSemiMixedTypes="0" containsNonDate="0" containsDate="1" containsString="0" minDate="2026-05-24T15:23:08" maxDate="2026-05-24T15:23:11"/>
    </cacheField>
    <cacheField name="ip" numFmtId="0">
      <sharedItems/>
    </cacheField>
    <cacheField name="userAgent" numFmtId="0">
      <sharedItems/>
    </cacheField>
    <cacheField name="createdAt" numFmtId="22">
      <sharedItems containsSemiMixedTypes="0" containsNonDate="0" containsDate="1" containsString="0" minDate="2026-05-24T15:23:08" maxDate="2026-05-24T15:23: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mpjwmned008nw2rw28xkyim4"/>
    <x v="0"/>
    <s v="DELETE"/>
    <s v="/api/v1/pecas/21"/>
    <s v="/api/v1/pecas/:id"/>
    <x v="0"/>
    <x v="0"/>
    <d v="2026-05-24T15:00:30"/>
    <d v="2026-05-24T15:00:30"/>
    <s v="::ffff:127.0.0.1"/>
    <s v="Apache-HttpClient/4.5.14 (Java/21.0.11)"/>
    <d v="2026-05-24T15:00:30"/>
  </r>
  <r>
    <s v="cmpjwmngz008xw2rwymi3m97o"/>
    <x v="0"/>
    <s v="DELETE"/>
    <s v="/api/v1/pecas/21"/>
    <s v="/api/v1/pecas/:id"/>
    <x v="0"/>
    <x v="1"/>
    <d v="2026-05-24T15:00:30"/>
    <d v="2026-05-24T15:00:30"/>
    <s v="::ffff:127.0.0.1"/>
    <s v="Apache-HttpClient/4.5.14 (Java/21.0.11)"/>
    <d v="2026-05-24T15:00:30"/>
  </r>
  <r>
    <s v="cmpjwmnj70097w2rwbmc3nzlk"/>
    <x v="0"/>
    <s v="DELETE"/>
    <s v="/api/v1/pecas/21"/>
    <s v="/api/v1/pecas/:id"/>
    <x v="0"/>
    <x v="2"/>
    <d v="2026-05-24T15:00:30"/>
    <d v="2026-05-24T15:00:30"/>
    <s v="::ffff:127.0.0.1"/>
    <s v="Apache-HttpClient/4.5.14 (Java/21.0.11)"/>
    <d v="2026-05-24T15:00:31"/>
  </r>
  <r>
    <s v="cmpjwmnln009hw2rwk3ib1clc"/>
    <x v="0"/>
    <s v="DELETE"/>
    <s v="/api/v1/pecas/21"/>
    <s v="/api/v1/pecas/:id"/>
    <x v="0"/>
    <x v="3"/>
    <d v="2026-05-24T15:00:31"/>
    <d v="2026-05-24T15:00:31"/>
    <s v="::ffff:127.0.0.1"/>
    <s v="Apache-HttpClient/4.5.14 (Java/21.0.11)"/>
    <d v="2026-05-24T15:00:31"/>
  </r>
  <r>
    <s v="cmpjwmnny009rw2rwd21e4m3m"/>
    <x v="0"/>
    <s v="DELETE"/>
    <s v="/api/v1/pecas/21"/>
    <s v="/api/v1/pecas/:id"/>
    <x v="0"/>
    <x v="4"/>
    <d v="2026-05-24T15:00:31"/>
    <d v="2026-05-24T15:00:31"/>
    <s v="::ffff:127.0.0.1"/>
    <s v="Apache-HttpClient/4.5.14 (Java/21.0.11)"/>
    <d v="2026-05-24T15:00:31"/>
  </r>
  <r>
    <s v="cmpjwmnqc00a1w2rwr3290ijr"/>
    <x v="0"/>
    <s v="DELETE"/>
    <s v="/api/v1/pecas/21"/>
    <s v="/api/v1/pecas/:id"/>
    <x v="0"/>
    <x v="5"/>
    <d v="2026-05-24T15:00:31"/>
    <d v="2026-05-24T15:00:31"/>
    <s v="::ffff:127.0.0.1"/>
    <s v="Apache-HttpClient/4.5.14 (Java/21.0.11)"/>
    <d v="2026-05-24T15:00:31"/>
  </r>
  <r>
    <s v="cmpjwmnsw00abw2rwwlpplyvw"/>
    <x v="0"/>
    <s v="DELETE"/>
    <s v="/api/v1/pecas/21"/>
    <s v="/api/v1/pecas/:id"/>
    <x v="0"/>
    <x v="6"/>
    <d v="2026-05-24T15:00:31"/>
    <d v="2026-05-24T15:00:31"/>
    <s v="::ffff:127.0.0.1"/>
    <s v="Apache-HttpClient/4.5.14 (Java/21.0.11)"/>
    <d v="2026-05-24T15:00:31"/>
  </r>
  <r>
    <s v="cmpjwmnvp00alw2rwcw8p71jn"/>
    <x v="0"/>
    <s v="DELETE"/>
    <s v="/api/v1/pecas/21"/>
    <s v="/api/v1/pecas/:id"/>
    <x v="0"/>
    <x v="7"/>
    <d v="2026-05-24T15:00:31"/>
    <d v="2026-05-24T15:00:31"/>
    <s v="::ffff:127.0.0.1"/>
    <s v="Apache-HttpClient/4.5.14 (Java/21.0.11)"/>
    <d v="2026-05-24T15:00:31"/>
  </r>
  <r>
    <s v="cmpjwmnxx00avw2rwpk3qrs20"/>
    <x v="0"/>
    <s v="DELETE"/>
    <s v="/api/v1/pecas/21"/>
    <s v="/api/v1/pecas/:id"/>
    <x v="0"/>
    <x v="8"/>
    <d v="2026-05-24T15:00:31"/>
    <d v="2026-05-24T15:00:31"/>
    <s v="::ffff:127.0.0.1"/>
    <s v="Apache-HttpClient/4.5.14 (Java/21.0.11)"/>
    <d v="2026-05-24T15:00:31"/>
  </r>
  <r>
    <s v="cmpjwmo0c00b5w2rw5zcwjlyk"/>
    <x v="0"/>
    <s v="DELETE"/>
    <s v="/api/v1/pecas/21"/>
    <s v="/api/v1/pecas/:id"/>
    <x v="0"/>
    <x v="9"/>
    <d v="2026-05-24T15:00:31"/>
    <d v="2026-05-24T15:00:31"/>
    <s v="::ffff:127.0.0.1"/>
    <s v="Apache-HttpClient/4.5.14 (Java/21.0.11)"/>
    <d v="2026-05-24T15:00:31"/>
  </r>
  <r>
    <s v="cmpjwmnc6008ew2rwaioxjmpe"/>
    <x v="1"/>
    <s v="GET"/>
    <s v="/api/v1/aeronaves"/>
    <s v="/api/v1/aeronaves/"/>
    <x v="1"/>
    <x v="10"/>
    <d v="2026-05-24T15:00:30"/>
    <d v="2026-05-24T15:00:30"/>
    <s v="::ffff:127.0.0.1"/>
    <s v="Apache-HttpClient/4.5.14 (Java/21.0.11)"/>
    <d v="2026-05-24T15:00:30"/>
  </r>
  <r>
    <s v="cmpjwmnew008ow2rw5tlyl3m7"/>
    <x v="1"/>
    <s v="GET"/>
    <s v="/api/v1/aeronaves"/>
    <s v="/api/v1/aeronaves/"/>
    <x v="1"/>
    <x v="11"/>
    <d v="2026-05-24T15:00:30"/>
    <d v="2026-05-24T15:00:30"/>
    <s v="::ffff:127.0.0.1"/>
    <s v="Apache-HttpClient/4.5.14 (Java/21.0.11)"/>
    <d v="2026-05-24T15:00:30"/>
  </r>
  <r>
    <s v="cmpjwmnhe008yw2rww5vx1sb8"/>
    <x v="1"/>
    <s v="GET"/>
    <s v="/api/v1/aeronaves"/>
    <s v="/api/v1/aeronaves/"/>
    <x v="1"/>
    <x v="12"/>
    <d v="2026-05-24T15:00:30"/>
    <d v="2026-05-24T15:00:30"/>
    <s v="::ffff:127.0.0.1"/>
    <s v="Apache-HttpClient/4.5.14 (Java/21.0.11)"/>
    <d v="2026-05-24T15:00:30"/>
  </r>
  <r>
    <s v="cmpjwmnjo0098w2rwfrj18mg2"/>
    <x v="1"/>
    <s v="GET"/>
    <s v="/api/v1/aeronaves"/>
    <s v="/api/v1/aeronaves/"/>
    <x v="1"/>
    <x v="13"/>
    <d v="2026-05-24T15:00:30"/>
    <d v="2026-05-24T15:00:31"/>
    <s v="::ffff:127.0.0.1"/>
    <s v="Apache-HttpClient/4.5.14 (Java/21.0.11)"/>
    <d v="2026-05-24T15:00:31"/>
  </r>
  <r>
    <s v="cmpjwmnm4009iw2rwlomoqwqk"/>
    <x v="1"/>
    <s v="GET"/>
    <s v="/api/v1/aeronaves"/>
    <s v="/api/v1/aeronaves/"/>
    <x v="1"/>
    <x v="14"/>
    <d v="2026-05-24T15:00:31"/>
    <d v="2026-05-24T15:00:31"/>
    <s v="::ffff:127.0.0.1"/>
    <s v="Apache-HttpClient/4.5.14 (Java/21.0.11)"/>
    <d v="2026-05-24T15:00:31"/>
  </r>
  <r>
    <s v="cmpjwmnoh009sw2rw040v0hwv"/>
    <x v="1"/>
    <s v="GET"/>
    <s v="/api/v1/aeronaves"/>
    <s v="/api/v1/aeronaves/"/>
    <x v="1"/>
    <x v="15"/>
    <d v="2026-05-24T15:00:31"/>
    <d v="2026-05-24T15:00:31"/>
    <s v="::ffff:127.0.0.1"/>
    <s v="Apache-HttpClient/4.5.14 (Java/21.0.11)"/>
    <d v="2026-05-24T15:00:31"/>
  </r>
  <r>
    <s v="cmpjwmnqu00a2w2rwl9jrr84p"/>
    <x v="1"/>
    <s v="GET"/>
    <s v="/api/v1/aeronaves"/>
    <s v="/api/v1/aeronaves/"/>
    <x v="1"/>
    <x v="16"/>
    <d v="2026-05-24T15:00:31"/>
    <d v="2026-05-24T15:00:31"/>
    <s v="::ffff:127.0.0.1"/>
    <s v="Apache-HttpClient/4.5.14 (Java/21.0.11)"/>
    <d v="2026-05-24T15:00:31"/>
  </r>
  <r>
    <s v="cmpjwmnto00acw2rw43ebpkid"/>
    <x v="1"/>
    <s v="GET"/>
    <s v="/api/v1/aeronaves"/>
    <s v="/api/v1/aeronaves/"/>
    <x v="1"/>
    <x v="17"/>
    <d v="2026-05-24T15:00:31"/>
    <d v="2026-05-24T15:00:31"/>
    <s v="::ffff:127.0.0.1"/>
    <s v="Apache-HttpClient/4.5.14 (Java/21.0.11)"/>
    <d v="2026-05-24T15:00:31"/>
  </r>
  <r>
    <s v="cmpjwmnw400amw2rwykr4wdf8"/>
    <x v="1"/>
    <s v="GET"/>
    <s v="/api/v1/aeronaves"/>
    <s v="/api/v1/aeronaves/"/>
    <x v="1"/>
    <x v="18"/>
    <d v="2026-05-24T15:00:31"/>
    <d v="2026-05-24T15:00:31"/>
    <s v="::ffff:127.0.0.1"/>
    <s v="Apache-HttpClient/4.5.14 (Java/21.0.11)"/>
    <d v="2026-05-24T15:00:31"/>
  </r>
  <r>
    <s v="cmpjwmnyd00aww2rwvgup7sc4"/>
    <x v="1"/>
    <s v="GET"/>
    <s v="/api/v1/aeronaves"/>
    <s v="/api/v1/aeronaves/"/>
    <x v="1"/>
    <x v="19"/>
    <d v="2026-05-24T15:00:31"/>
    <d v="2026-05-24T15:00:31"/>
    <s v="::ffff:127.0.0.1"/>
    <s v="Apache-HttpClient/4.5.14 (Java/21.0.11)"/>
    <d v="2026-05-24T15:00:31"/>
  </r>
  <r>
    <s v="cmpjwmncf008fw2rw7mxvcckz"/>
    <x v="2"/>
    <s v="GET"/>
    <s v="/api/v1/etapas"/>
    <s v="/api/v1/etapas/"/>
    <x v="1"/>
    <x v="20"/>
    <d v="2026-05-24T15:00:30"/>
    <d v="2026-05-24T15:00:30"/>
    <s v="::ffff:127.0.0.1"/>
    <s v="Apache-HttpClient/4.5.14 (Java/21.0.11)"/>
    <d v="2026-05-24T15:00:30"/>
  </r>
  <r>
    <s v="cmpjwmnf5008pw2rw7fmei8o5"/>
    <x v="2"/>
    <s v="GET"/>
    <s v="/api/v1/etapas"/>
    <s v="/api/v1/etapas/"/>
    <x v="1"/>
    <x v="21"/>
    <d v="2026-05-24T15:00:30"/>
    <d v="2026-05-24T15:00:30"/>
    <s v="::ffff:127.0.0.1"/>
    <s v="Apache-HttpClient/4.5.14 (Java/21.0.11)"/>
    <d v="2026-05-24T15:00:30"/>
  </r>
  <r>
    <s v="cmpjwmnhm008zw2rwyu8phg0p"/>
    <x v="2"/>
    <s v="GET"/>
    <s v="/api/v1/etapas"/>
    <s v="/api/v1/etapas/"/>
    <x v="1"/>
    <x v="22"/>
    <d v="2026-05-24T15:00:30"/>
    <d v="2026-05-24T15:00:30"/>
    <s v="::ffff:127.0.0.1"/>
    <s v="Apache-HttpClient/4.5.14 (Java/21.0.11)"/>
    <d v="2026-05-24T15:00:30"/>
  </r>
  <r>
    <s v="cmpjwmnjv0099w2rwr9qflz2y"/>
    <x v="2"/>
    <s v="GET"/>
    <s v="/api/v1/etapas"/>
    <s v="/api/v1/etapas/"/>
    <x v="1"/>
    <x v="23"/>
    <d v="2026-05-24T15:00:31"/>
    <d v="2026-05-24T15:00:31"/>
    <s v="::ffff:127.0.0.1"/>
    <s v="Apache-HttpClient/4.5.14 (Java/21.0.11)"/>
    <d v="2026-05-24T15:00:31"/>
  </r>
  <r>
    <s v="cmpjwmnmb009jw2rwegtvdis1"/>
    <x v="2"/>
    <s v="GET"/>
    <s v="/api/v1/etapas"/>
    <s v="/api/v1/etapas/"/>
    <x v="1"/>
    <x v="24"/>
    <d v="2026-05-24T15:00:31"/>
    <d v="2026-05-24T15:00:31"/>
    <s v="::ffff:127.0.0.1"/>
    <s v="Apache-HttpClient/4.5.14 (Java/21.0.11)"/>
    <d v="2026-05-24T15:00:31"/>
  </r>
  <r>
    <s v="cmpjwmnop009tw2rw2c493y9l"/>
    <x v="2"/>
    <s v="GET"/>
    <s v="/api/v1/etapas"/>
    <s v="/api/v1/etapas/"/>
    <x v="1"/>
    <x v="25"/>
    <d v="2026-05-24T15:00:31"/>
    <d v="2026-05-24T15:00:31"/>
    <s v="::ffff:127.0.0.1"/>
    <s v="Apache-HttpClient/4.5.14 (Java/21.0.11)"/>
    <d v="2026-05-24T15:00:31"/>
  </r>
  <r>
    <s v="cmpjwmnr500a3w2rwdp9yfrsv"/>
    <x v="2"/>
    <s v="GET"/>
    <s v="/api/v1/etapas"/>
    <s v="/api/v1/etapas/"/>
    <x v="1"/>
    <x v="26"/>
    <d v="2026-05-24T15:00:31"/>
    <d v="2026-05-24T15:00:31"/>
    <s v="::ffff:127.0.0.1"/>
    <s v="Apache-HttpClient/4.5.14 (Java/21.0.11)"/>
    <d v="2026-05-24T15:00:31"/>
  </r>
  <r>
    <s v="cmpjwmnu000adw2rw5u6da9h5"/>
    <x v="2"/>
    <s v="GET"/>
    <s v="/api/v1/etapas"/>
    <s v="/api/v1/etapas/"/>
    <x v="1"/>
    <x v="27"/>
    <d v="2026-05-24T15:00:31"/>
    <d v="2026-05-24T15:00:31"/>
    <s v="::ffff:127.0.0.1"/>
    <s v="Apache-HttpClient/4.5.14 (Java/21.0.11)"/>
    <d v="2026-05-24T15:00:31"/>
  </r>
  <r>
    <s v="cmpjwmnwb00anw2rwa2ybt202"/>
    <x v="2"/>
    <s v="GET"/>
    <s v="/api/v1/etapas"/>
    <s v="/api/v1/etapas/"/>
    <x v="1"/>
    <x v="28"/>
    <d v="2026-05-24T15:00:31"/>
    <d v="2026-05-24T15:00:31"/>
    <s v="::ffff:127.0.0.1"/>
    <s v="Apache-HttpClient/4.5.14 (Java/21.0.11)"/>
    <d v="2026-05-24T15:00:31"/>
  </r>
  <r>
    <s v="cmpjwmnyo00axw2rwors7dehp"/>
    <x v="2"/>
    <s v="GET"/>
    <s v="/api/v1/etapas"/>
    <s v="/api/v1/etapas/"/>
    <x v="1"/>
    <x v="29"/>
    <d v="2026-05-24T15:00:31"/>
    <d v="2026-05-24T15:00:31"/>
    <s v="::ffff:127.0.0.1"/>
    <s v="Apache-HttpClient/4.5.14 (Java/21.0.11)"/>
    <d v="2026-05-24T15:00:31"/>
  </r>
  <r>
    <s v="cmpjwmncl008gw2rwfyiav8s5"/>
    <x v="3"/>
    <s v="GET"/>
    <s v="/api/v1/funcionarios"/>
    <s v="/api/v1/funcionarios/"/>
    <x v="1"/>
    <x v="30"/>
    <d v="2026-05-24T15:00:30"/>
    <d v="2026-05-24T15:00:30"/>
    <s v="::ffff:127.0.0.1"/>
    <s v="Apache-HttpClient/4.5.14 (Java/21.0.11)"/>
    <d v="2026-05-24T15:00:30"/>
  </r>
  <r>
    <s v="cmpjwmnfb008qw2rwqviwnbev"/>
    <x v="3"/>
    <s v="GET"/>
    <s v="/api/v1/funcionarios"/>
    <s v="/api/v1/funcionarios/"/>
    <x v="1"/>
    <x v="31"/>
    <d v="2026-05-24T15:00:30"/>
    <d v="2026-05-24T15:00:30"/>
    <s v="::ffff:127.0.0.1"/>
    <s v="Apache-HttpClient/4.5.14 (Java/21.0.11)"/>
    <d v="2026-05-24T15:00:30"/>
  </r>
  <r>
    <s v="cmpjwmnhr0090w2rwvy0og93u"/>
    <x v="3"/>
    <s v="GET"/>
    <s v="/api/v1/funcionarios"/>
    <s v="/api/v1/funcionarios/"/>
    <x v="1"/>
    <x v="32"/>
    <d v="2026-05-24T15:00:30"/>
    <d v="2026-05-24T15:00:30"/>
    <s v="::ffff:127.0.0.1"/>
    <s v="Apache-HttpClient/4.5.14 (Java/21.0.11)"/>
    <d v="2026-05-24T15:00:30"/>
  </r>
  <r>
    <s v="cmpjwmnk1009aw2rwrt8ltkyz"/>
    <x v="3"/>
    <s v="GET"/>
    <s v="/api/v1/funcionarios"/>
    <s v="/api/v1/funcionarios/"/>
    <x v="1"/>
    <x v="33"/>
    <d v="2026-05-24T15:00:31"/>
    <d v="2026-05-24T15:00:31"/>
    <s v="::ffff:127.0.0.1"/>
    <s v="Apache-HttpClient/4.5.14 (Java/21.0.11)"/>
    <d v="2026-05-24T15:00:31"/>
  </r>
  <r>
    <s v="cmpjwmnmh009kw2rwj2j8bpe8"/>
    <x v="3"/>
    <s v="GET"/>
    <s v="/api/v1/funcionarios"/>
    <s v="/api/v1/funcionarios/"/>
    <x v="1"/>
    <x v="34"/>
    <d v="2026-05-24T15:00:31"/>
    <d v="2026-05-24T15:00:31"/>
    <s v="::ffff:127.0.0.1"/>
    <s v="Apache-HttpClient/4.5.14 (Java/21.0.11)"/>
    <d v="2026-05-24T15:00:31"/>
  </r>
  <r>
    <s v="cmpjwmnov009uw2rw96imfxwf"/>
    <x v="3"/>
    <s v="GET"/>
    <s v="/api/v1/funcionarios"/>
    <s v="/api/v1/funcionarios/"/>
    <x v="1"/>
    <x v="35"/>
    <d v="2026-05-24T15:00:31"/>
    <d v="2026-05-24T15:00:31"/>
    <s v="::ffff:127.0.0.1"/>
    <s v="Apache-HttpClient/4.5.14 (Java/21.0.11)"/>
    <d v="2026-05-24T15:00:31"/>
  </r>
  <r>
    <s v="cmpjwmnrf00a4w2rwf1s4n8ta"/>
    <x v="3"/>
    <s v="GET"/>
    <s v="/api/v1/funcionarios"/>
    <s v="/api/v1/funcionarios/"/>
    <x v="1"/>
    <x v="36"/>
    <d v="2026-05-24T15:00:31"/>
    <d v="2026-05-24T15:00:31"/>
    <s v="::ffff:127.0.0.1"/>
    <s v="Apache-HttpClient/4.5.14 (Java/21.0.11)"/>
    <d v="2026-05-24T15:00:31"/>
  </r>
  <r>
    <s v="cmpjwmnu500aew2rwdh0mw760"/>
    <x v="3"/>
    <s v="GET"/>
    <s v="/api/v1/funcionarios"/>
    <s v="/api/v1/funcionarios/"/>
    <x v="1"/>
    <x v="37"/>
    <d v="2026-05-24T15:00:31"/>
    <d v="2026-05-24T15:00:31"/>
    <s v="::ffff:127.0.0.1"/>
    <s v="Apache-HttpClient/4.5.14 (Java/21.0.11)"/>
    <d v="2026-05-24T15:00:31"/>
  </r>
  <r>
    <s v="cmpjwmnwf00aow2rwmi8ozkhj"/>
    <x v="3"/>
    <s v="GET"/>
    <s v="/api/v1/funcionarios"/>
    <s v="/api/v1/funcionarios/"/>
    <x v="1"/>
    <x v="38"/>
    <d v="2026-05-24T15:00:31"/>
    <d v="2026-05-24T15:00:31"/>
    <s v="::ffff:127.0.0.1"/>
    <s v="Apache-HttpClient/4.5.14 (Java/21.0.11)"/>
    <d v="2026-05-24T15:00:31"/>
  </r>
  <r>
    <s v="cmpjwmnyt00ayw2rwtg4sdn4a"/>
    <x v="3"/>
    <s v="GET"/>
    <s v="/api/v1/funcionarios"/>
    <s v="/api/v1/funcionarios/"/>
    <x v="1"/>
    <x v="39"/>
    <d v="2026-05-24T15:00:31"/>
    <d v="2026-05-24T15:00:31"/>
    <s v="::ffff:127.0.0.1"/>
    <s v="Apache-HttpClient/4.5.14 (Java/21.0.11)"/>
    <d v="2026-05-24T15:00:31"/>
  </r>
  <r>
    <s v="cmpjwmncq008hw2rw63g83731"/>
    <x v="4"/>
    <s v="GET"/>
    <s v="/api/v1/pecas"/>
    <s v="/api/v1/pecas/"/>
    <x v="1"/>
    <x v="40"/>
    <d v="2026-05-24T15:00:30"/>
    <d v="2026-05-24T15:00:30"/>
    <s v="::ffff:127.0.0.1"/>
    <s v="Apache-HttpClient/4.5.14 (Java/21.0.11)"/>
    <d v="2026-05-24T15:00:30"/>
  </r>
  <r>
    <s v="cmpjwmnfh008rw2rw8e6d1kgg"/>
    <x v="4"/>
    <s v="GET"/>
    <s v="/api/v1/pecas"/>
    <s v="/api/v1/pecas/"/>
    <x v="1"/>
    <x v="41"/>
    <d v="2026-05-24T15:00:30"/>
    <d v="2026-05-24T15:00:30"/>
    <s v="::ffff:127.0.0.1"/>
    <s v="Apache-HttpClient/4.5.14 (Java/21.0.11)"/>
    <d v="2026-05-24T15:00:30"/>
  </r>
  <r>
    <s v="cmpjwmnhw0091w2rwr9fx7che"/>
    <x v="4"/>
    <s v="GET"/>
    <s v="/api/v1/pecas"/>
    <s v="/api/v1/pecas/"/>
    <x v="1"/>
    <x v="42"/>
    <d v="2026-05-24T15:00:30"/>
    <d v="2026-05-24T15:00:30"/>
    <s v="::ffff:127.0.0.1"/>
    <s v="Apache-HttpClient/4.5.14 (Java/21.0.11)"/>
    <d v="2026-05-24T15:00:30"/>
  </r>
  <r>
    <s v="cmpjwmnk7009bw2rwng2p4rh9"/>
    <x v="4"/>
    <s v="GET"/>
    <s v="/api/v1/pecas"/>
    <s v="/api/v1/pecas/"/>
    <x v="1"/>
    <x v="43"/>
    <d v="2026-05-24T15:00:31"/>
    <d v="2026-05-24T15:00:31"/>
    <s v="::ffff:127.0.0.1"/>
    <s v="Apache-HttpClient/4.5.14 (Java/21.0.11)"/>
    <d v="2026-05-24T15:00:31"/>
  </r>
  <r>
    <s v="cmpjwmnmo009lw2rwt9ufgh1m"/>
    <x v="4"/>
    <s v="GET"/>
    <s v="/api/v1/pecas"/>
    <s v="/api/v1/pecas/"/>
    <x v="1"/>
    <x v="44"/>
    <d v="2026-05-24T15:00:31"/>
    <d v="2026-05-24T15:00:31"/>
    <s v="::ffff:127.0.0.1"/>
    <s v="Apache-HttpClient/4.5.14 (Java/21.0.11)"/>
    <d v="2026-05-24T15:00:31"/>
  </r>
  <r>
    <s v="cmpjwmnp2009vw2rwh7ecs0pa"/>
    <x v="4"/>
    <s v="GET"/>
    <s v="/api/v1/pecas"/>
    <s v="/api/v1/pecas/"/>
    <x v="1"/>
    <x v="45"/>
    <d v="2026-05-24T15:00:31"/>
    <d v="2026-05-24T15:00:31"/>
    <s v="::ffff:127.0.0.1"/>
    <s v="Apache-HttpClient/4.5.14 (Java/21.0.11)"/>
    <d v="2026-05-24T15:00:31"/>
  </r>
  <r>
    <s v="cmpjwmnrm00a5w2rwiiaztbk3"/>
    <x v="4"/>
    <s v="GET"/>
    <s v="/api/v1/pecas"/>
    <s v="/api/v1/pecas/"/>
    <x v="1"/>
    <x v="46"/>
    <d v="2026-05-24T15:00:31"/>
    <d v="2026-05-24T15:00:31"/>
    <s v="::ffff:127.0.0.1"/>
    <s v="Apache-HttpClient/4.5.14 (Java/21.0.11)"/>
    <d v="2026-05-24T15:00:31"/>
  </r>
  <r>
    <s v="cmpjwmnub00afw2rwyu6i9jxw"/>
    <x v="4"/>
    <s v="GET"/>
    <s v="/api/v1/pecas"/>
    <s v="/api/v1/pecas/"/>
    <x v="1"/>
    <x v="47"/>
    <d v="2026-05-24T15:00:31"/>
    <d v="2026-05-24T15:00:31"/>
    <s v="::ffff:127.0.0.1"/>
    <s v="Apache-HttpClient/4.5.14 (Java/21.0.11)"/>
    <d v="2026-05-24T15:00:31"/>
  </r>
  <r>
    <s v="cmpjwmnwk00apw2rwq2ckkns0"/>
    <x v="4"/>
    <s v="GET"/>
    <s v="/api/v1/pecas"/>
    <s v="/api/v1/pecas/"/>
    <x v="1"/>
    <x v="48"/>
    <d v="2026-05-24T15:00:31"/>
    <d v="2026-05-24T15:00:31"/>
    <s v="::ffff:127.0.0.1"/>
    <s v="Apache-HttpClient/4.5.14 (Java/21.0.11)"/>
    <d v="2026-05-24T15:00:31"/>
  </r>
  <r>
    <s v="cmpjwmnz000azw2rw39mkba8z"/>
    <x v="4"/>
    <s v="GET"/>
    <s v="/api/v1/pecas"/>
    <s v="/api/v1/pecas/"/>
    <x v="1"/>
    <x v="49"/>
    <d v="2026-05-24T15:00:31"/>
    <d v="2026-05-24T15:00:31"/>
    <s v="::ffff:127.0.0.1"/>
    <s v="Apache-HttpClient/4.5.14 (Java/21.0.11)"/>
    <d v="2026-05-24T15:00:31"/>
  </r>
  <r>
    <s v="cmpjwmne6008mw2rwmjnss1gl"/>
    <x v="5"/>
    <s v="GET"/>
    <s v="/api/v1/pecas/21"/>
    <s v="/api/v1/pecas/:id"/>
    <x v="1"/>
    <x v="50"/>
    <d v="2026-05-24T15:00:30"/>
    <d v="2026-05-24T15:00:30"/>
    <s v="::ffff:127.0.0.1"/>
    <s v="Apache-HttpClient/4.5.14 (Java/21.0.11)"/>
    <d v="2026-05-24T15:00:30"/>
  </r>
  <r>
    <s v="cmpjwmngr008ww2rweyhbziuj"/>
    <x v="5"/>
    <s v="GET"/>
    <s v="/api/v1/pecas/21"/>
    <s v="/api/v1/pecas/:id"/>
    <x v="1"/>
    <x v="51"/>
    <d v="2026-05-24T15:00:30"/>
    <d v="2026-05-24T15:00:30"/>
    <s v="::ffff:127.0.0.1"/>
    <s v="Apache-HttpClient/4.5.14 (Java/21.0.11)"/>
    <d v="2026-05-24T15:00:30"/>
  </r>
  <r>
    <s v="cmpjwmnj00096w2rw881e0koo"/>
    <x v="5"/>
    <s v="GET"/>
    <s v="/api/v1/pecas/21"/>
    <s v="/api/v1/pecas/:id"/>
    <x v="1"/>
    <x v="52"/>
    <d v="2026-05-24T15:00:30"/>
    <d v="2026-05-24T15:00:30"/>
    <s v="::ffff:127.0.0.1"/>
    <s v="Apache-HttpClient/4.5.14 (Java/21.0.11)"/>
    <d v="2026-05-24T15:00:30"/>
  </r>
  <r>
    <s v="cmpjwmnld009gw2rw0zsm9spj"/>
    <x v="5"/>
    <s v="GET"/>
    <s v="/api/v1/pecas/21"/>
    <s v="/api/v1/pecas/:id"/>
    <x v="1"/>
    <x v="53"/>
    <d v="2026-05-24T15:00:31"/>
    <d v="2026-05-24T15:00:31"/>
    <s v="::ffff:127.0.0.1"/>
    <s v="Apache-HttpClient/4.5.14 (Java/21.0.11)"/>
    <d v="2026-05-24T15:00:31"/>
  </r>
  <r>
    <s v="cmpjwmnnq009qw2rwrtwpkbl9"/>
    <x v="5"/>
    <s v="GET"/>
    <s v="/api/v1/pecas/21"/>
    <s v="/api/v1/pecas/:id"/>
    <x v="1"/>
    <x v="54"/>
    <d v="2026-05-24T15:00:31"/>
    <d v="2026-05-24T15:00:31"/>
    <s v="::ffff:127.0.0.1"/>
    <s v="Apache-HttpClient/4.5.14 (Java/21.0.11)"/>
    <d v="2026-05-24T15:00:31"/>
  </r>
  <r>
    <s v="cmpjwmnq400a0w2rwe98ib570"/>
    <x v="5"/>
    <s v="GET"/>
    <s v="/api/v1/pecas/21"/>
    <s v="/api/v1/pecas/:id"/>
    <x v="1"/>
    <x v="55"/>
    <d v="2026-05-24T15:00:31"/>
    <d v="2026-05-24T15:00:31"/>
    <s v="::ffff:127.0.0.1"/>
    <s v="Apache-HttpClient/4.5.14 (Java/21.0.11)"/>
    <d v="2026-05-24T15:00:31"/>
  </r>
  <r>
    <s v="cmpjwmnso00aaw2rwnn977fa7"/>
    <x v="5"/>
    <s v="GET"/>
    <s v="/api/v1/pecas/21"/>
    <s v="/api/v1/pecas/:id"/>
    <x v="1"/>
    <x v="56"/>
    <d v="2026-05-24T15:00:31"/>
    <d v="2026-05-24T15:00:31"/>
    <s v="::ffff:127.0.0.1"/>
    <s v="Apache-HttpClient/4.5.14 (Java/21.0.11)"/>
    <d v="2026-05-24T15:00:31"/>
  </r>
  <r>
    <s v="cmpjwmnvh00akw2rw6t1bs8hl"/>
    <x v="5"/>
    <s v="GET"/>
    <s v="/api/v1/pecas/21"/>
    <s v="/api/v1/pecas/:id"/>
    <x v="1"/>
    <x v="57"/>
    <d v="2026-05-24T15:00:31"/>
    <d v="2026-05-24T15:00:31"/>
    <s v="::ffff:127.0.0.1"/>
    <s v="Apache-HttpClient/4.5.14 (Java/21.0.11)"/>
    <d v="2026-05-24T15:00:31"/>
  </r>
  <r>
    <s v="cmpjwmnxp00auw2rwzy91o3s6"/>
    <x v="5"/>
    <s v="GET"/>
    <s v="/api/v1/pecas/21"/>
    <s v="/api/v1/pecas/:id"/>
    <x v="1"/>
    <x v="58"/>
    <d v="2026-05-24T15:00:31"/>
    <d v="2026-05-24T15:00:31"/>
    <s v="::ffff:127.0.0.1"/>
    <s v="Apache-HttpClient/4.5.14 (Java/21.0.11)"/>
    <d v="2026-05-24T15:00:31"/>
  </r>
  <r>
    <s v="cmpjwmo0400b4w2rw01kh7ph9"/>
    <x v="5"/>
    <s v="GET"/>
    <s v="/api/v1/pecas/21"/>
    <s v="/api/v1/pecas/:id"/>
    <x v="1"/>
    <x v="55"/>
    <d v="2026-05-24T15:00:31"/>
    <d v="2026-05-24T15:00:31"/>
    <s v="::ffff:127.0.0.1"/>
    <s v="Apache-HttpClient/4.5.14 (Java/21.0.11)"/>
    <d v="2026-05-24T15:00:31"/>
  </r>
  <r>
    <s v="cmpjwmncx008iw2rwgvwomy0e"/>
    <x v="6"/>
    <s v="GET"/>
    <s v="/api/v1/relatorios"/>
    <s v="/api/v1/relatorios/"/>
    <x v="1"/>
    <x v="59"/>
    <d v="2026-05-24T15:00:30"/>
    <d v="2026-05-24T15:00:30"/>
    <s v="::ffff:127.0.0.1"/>
    <s v="Apache-HttpClient/4.5.14 (Java/21.0.11)"/>
    <d v="2026-05-24T15:00:30"/>
  </r>
  <r>
    <s v="cmpjwmnfm008sw2rwo7fdm62m"/>
    <x v="6"/>
    <s v="GET"/>
    <s v="/api/v1/relatorios"/>
    <s v="/api/v1/relatorios/"/>
    <x v="1"/>
    <x v="60"/>
    <d v="2026-05-24T15:00:30"/>
    <d v="2026-05-24T15:00:30"/>
    <s v="::ffff:127.0.0.1"/>
    <s v="Apache-HttpClient/4.5.14 (Java/21.0.11)"/>
    <d v="2026-05-24T15:00:30"/>
  </r>
  <r>
    <s v="cmpjwmni30092w2rwtw3xla4z"/>
    <x v="6"/>
    <s v="GET"/>
    <s v="/api/v1/relatorios"/>
    <s v="/api/v1/relatorios/"/>
    <x v="1"/>
    <x v="61"/>
    <d v="2026-05-24T15:00:30"/>
    <d v="2026-05-24T15:00:30"/>
    <s v="::ffff:127.0.0.1"/>
    <s v="Apache-HttpClient/4.5.14 (Java/21.0.11)"/>
    <d v="2026-05-24T15:00:30"/>
  </r>
  <r>
    <s v="cmpjwmnkd009cw2rwi10k4wwh"/>
    <x v="6"/>
    <s v="GET"/>
    <s v="/api/v1/relatorios"/>
    <s v="/api/v1/relatorios/"/>
    <x v="1"/>
    <x v="62"/>
    <d v="2026-05-24T15:00:31"/>
    <d v="2026-05-24T15:00:31"/>
    <s v="::ffff:127.0.0.1"/>
    <s v="Apache-HttpClient/4.5.14 (Java/21.0.11)"/>
    <d v="2026-05-24T15:00:31"/>
  </r>
  <r>
    <s v="cmpjwmnmu009mw2rwbwm6vo7z"/>
    <x v="6"/>
    <s v="GET"/>
    <s v="/api/v1/relatorios"/>
    <s v="/api/v1/relatorios/"/>
    <x v="1"/>
    <x v="63"/>
    <d v="2026-05-24T15:00:31"/>
    <d v="2026-05-24T15:00:31"/>
    <s v="::ffff:127.0.0.1"/>
    <s v="Apache-HttpClient/4.5.14 (Java/21.0.11)"/>
    <d v="2026-05-24T15:00:31"/>
  </r>
  <r>
    <s v="cmpjwmnp7009ww2rwtr1w6ehj"/>
    <x v="6"/>
    <s v="GET"/>
    <s v="/api/v1/relatorios"/>
    <s v="/api/v1/relatorios/"/>
    <x v="1"/>
    <x v="64"/>
    <d v="2026-05-24T15:00:31"/>
    <d v="2026-05-24T15:00:31"/>
    <s v="::ffff:127.0.0.1"/>
    <s v="Apache-HttpClient/4.5.14 (Java/21.0.11)"/>
    <d v="2026-05-24T15:00:31"/>
  </r>
  <r>
    <s v="cmpjwmnrs00a6w2rwzcxwjuyf"/>
    <x v="6"/>
    <s v="GET"/>
    <s v="/api/v1/relatorios"/>
    <s v="/api/v1/relatorios/"/>
    <x v="1"/>
    <x v="65"/>
    <d v="2026-05-24T15:00:31"/>
    <d v="2026-05-24T15:00:31"/>
    <s v="::ffff:127.0.0.1"/>
    <s v="Apache-HttpClient/4.5.14 (Java/21.0.11)"/>
    <d v="2026-05-24T15:00:31"/>
  </r>
  <r>
    <s v="cmpjwmnuh00agw2rwc8jydiyn"/>
    <x v="6"/>
    <s v="GET"/>
    <s v="/api/v1/relatorios"/>
    <s v="/api/v1/relatorios/"/>
    <x v="1"/>
    <x v="66"/>
    <d v="2026-05-24T15:00:31"/>
    <d v="2026-05-24T15:00:31"/>
    <s v="::ffff:127.0.0.1"/>
    <s v="Apache-HttpClient/4.5.14 (Java/21.0.11)"/>
    <d v="2026-05-24T15:00:31"/>
  </r>
  <r>
    <s v="cmpjwmnwq00aqw2rw4gcub044"/>
    <x v="6"/>
    <s v="GET"/>
    <s v="/api/v1/relatorios"/>
    <s v="/api/v1/relatorios/"/>
    <x v="1"/>
    <x v="67"/>
    <d v="2026-05-24T15:00:31"/>
    <d v="2026-05-24T15:00:31"/>
    <s v="::ffff:127.0.0.1"/>
    <s v="Apache-HttpClient/4.5.14 (Java/21.0.11)"/>
    <d v="2026-05-24T15:00:31"/>
  </r>
  <r>
    <s v="cmpjwmnz700b0w2rwggcd4hqe"/>
    <x v="6"/>
    <s v="GET"/>
    <s v="/api/v1/relatorios"/>
    <s v="/api/v1/relatorios/"/>
    <x v="1"/>
    <x v="68"/>
    <d v="2026-05-24T15:00:31"/>
    <d v="2026-05-24T15:00:31"/>
    <s v="::ffff:127.0.0.1"/>
    <s v="Apache-HttpClient/4.5.14 (Java/21.0.11)"/>
    <d v="2026-05-24T15:00:31"/>
  </r>
  <r>
    <s v="cmpjwmnd2008jw2rw0zkiqdo5"/>
    <x v="7"/>
    <s v="GET"/>
    <s v="/api/v1/testes"/>
    <s v="/api/v1/testes/"/>
    <x v="1"/>
    <x v="33"/>
    <d v="2026-05-24T15:00:30"/>
    <d v="2026-05-24T15:00:30"/>
    <s v="::ffff:127.0.0.1"/>
    <s v="Apache-HttpClient/4.5.14 (Java/21.0.11)"/>
    <d v="2026-05-24T15:00:30"/>
  </r>
  <r>
    <s v="cmpjwmnft008tw2rwgrixth80"/>
    <x v="7"/>
    <s v="GET"/>
    <s v="/api/v1/testes"/>
    <s v="/api/v1/testes/"/>
    <x v="1"/>
    <x v="69"/>
    <d v="2026-05-24T15:00:30"/>
    <d v="2026-05-24T15:00:30"/>
    <s v="::ffff:127.0.0.1"/>
    <s v="Apache-HttpClient/4.5.14 (Java/21.0.11)"/>
    <d v="2026-05-24T15:00:30"/>
  </r>
  <r>
    <s v="cmpjwmni80093w2rw5bo5gy8x"/>
    <x v="7"/>
    <s v="GET"/>
    <s v="/api/v1/testes"/>
    <s v="/api/v1/testes/"/>
    <x v="1"/>
    <x v="70"/>
    <d v="2026-05-24T15:00:30"/>
    <d v="2026-05-24T15:00:30"/>
    <s v="::ffff:127.0.0.1"/>
    <s v="Apache-HttpClient/4.5.14 (Java/21.0.11)"/>
    <d v="2026-05-24T15:00:30"/>
  </r>
  <r>
    <s v="cmpjwmnki009dw2rwuts2zc58"/>
    <x v="7"/>
    <s v="GET"/>
    <s v="/api/v1/testes"/>
    <s v="/api/v1/testes/"/>
    <x v="1"/>
    <x v="71"/>
    <d v="2026-05-24T15:00:31"/>
    <d v="2026-05-24T15:00:31"/>
    <s v="::ffff:127.0.0.1"/>
    <s v="Apache-HttpClient/4.5.14 (Java/21.0.11)"/>
    <d v="2026-05-24T15:00:31"/>
  </r>
  <r>
    <s v="cmpjwmnmy009nw2rwbk8ottp1"/>
    <x v="7"/>
    <s v="GET"/>
    <s v="/api/v1/testes"/>
    <s v="/api/v1/testes/"/>
    <x v="1"/>
    <x v="72"/>
    <d v="2026-05-24T15:00:31"/>
    <d v="2026-05-24T15:00:31"/>
    <s v="::ffff:127.0.0.1"/>
    <s v="Apache-HttpClient/4.5.14 (Java/21.0.11)"/>
    <d v="2026-05-24T15:00:31"/>
  </r>
  <r>
    <s v="cmpjwmnpd009xw2rwv0mjdh7j"/>
    <x v="7"/>
    <s v="GET"/>
    <s v="/api/v1/testes"/>
    <s v="/api/v1/testes/"/>
    <x v="1"/>
    <x v="73"/>
    <d v="2026-05-24T15:00:31"/>
    <d v="2026-05-24T15:00:31"/>
    <s v="::ffff:127.0.0.1"/>
    <s v="Apache-HttpClient/4.5.14 (Java/21.0.11)"/>
    <d v="2026-05-24T15:00:31"/>
  </r>
  <r>
    <s v="cmpjwmnry00a7w2rwcnygbq64"/>
    <x v="7"/>
    <s v="GET"/>
    <s v="/api/v1/testes"/>
    <s v="/api/v1/testes/"/>
    <x v="1"/>
    <x v="74"/>
    <d v="2026-05-24T15:00:31"/>
    <d v="2026-05-24T15:00:31"/>
    <s v="::ffff:127.0.0.1"/>
    <s v="Apache-HttpClient/4.5.14 (Java/21.0.11)"/>
    <d v="2026-05-24T15:00:31"/>
  </r>
  <r>
    <s v="cmpjwmnun00ahw2rw5aqpb9he"/>
    <x v="7"/>
    <s v="GET"/>
    <s v="/api/v1/testes"/>
    <s v="/api/v1/testes/"/>
    <x v="1"/>
    <x v="75"/>
    <d v="2026-05-24T15:00:31"/>
    <d v="2026-05-24T15:00:31"/>
    <s v="::ffff:127.0.0.1"/>
    <s v="Apache-HttpClient/4.5.14 (Java/21.0.11)"/>
    <d v="2026-05-24T15:00:31"/>
  </r>
  <r>
    <s v="cmpjwmnwv00arw2rwr49g7dbm"/>
    <x v="7"/>
    <s v="GET"/>
    <s v="/api/v1/testes"/>
    <s v="/api/v1/testes/"/>
    <x v="1"/>
    <x v="76"/>
    <d v="2026-05-24T15:00:31"/>
    <d v="2026-05-24T15:00:31"/>
    <s v="::ffff:127.0.0.1"/>
    <s v="Apache-HttpClient/4.5.14 (Java/21.0.11)"/>
    <d v="2026-05-24T15:00:31"/>
  </r>
  <r>
    <s v="cmpjwmnzc00b1w2rw36995zw5"/>
    <x v="7"/>
    <s v="GET"/>
    <s v="/api/v1/testes"/>
    <s v="/api/v1/testes/"/>
    <x v="1"/>
    <x v="77"/>
    <d v="2026-05-24T15:00:31"/>
    <d v="2026-05-24T15:00:31"/>
    <s v="::ffff:127.0.0.1"/>
    <s v="Apache-HttpClient/4.5.14 (Java/21.0.11)"/>
    <d v="2026-05-24T15:00:31"/>
  </r>
  <r>
    <s v="cmpjwmne2008lw2rwi4i2b6mr"/>
    <x v="8"/>
    <s v="PATCH"/>
    <s v="/api/v1/pecas/21"/>
    <s v="/api/v1/pecas/:id"/>
    <x v="1"/>
    <x v="78"/>
    <d v="2026-05-24T15:00:30"/>
    <d v="2026-05-24T15:00:30"/>
    <s v="::ffff:127.0.0.1"/>
    <s v="Apache-HttpClient/4.5.14 (Java/21.0.11)"/>
    <d v="2026-05-24T15:00:30"/>
  </r>
  <r>
    <s v="cmpjwmngj008vw2rwmwfkyf7r"/>
    <x v="8"/>
    <s v="PATCH"/>
    <s v="/api/v1/pecas/21"/>
    <s v="/api/v1/pecas/:id"/>
    <x v="1"/>
    <x v="79"/>
    <d v="2026-05-24T15:00:30"/>
    <d v="2026-05-24T15:00:30"/>
    <s v="::ffff:127.0.0.1"/>
    <s v="Apache-HttpClient/4.5.14 (Java/21.0.11)"/>
    <d v="2026-05-24T15:00:30"/>
  </r>
  <r>
    <s v="cmpjwmniu0095w2rw9ee08hhp"/>
    <x v="8"/>
    <s v="PATCH"/>
    <s v="/api/v1/pecas/21"/>
    <s v="/api/v1/pecas/:id"/>
    <x v="1"/>
    <x v="80"/>
    <d v="2026-05-24T15:00:30"/>
    <d v="2026-05-24T15:00:30"/>
    <s v="::ffff:127.0.0.1"/>
    <s v="Apache-HttpClient/4.5.14 (Java/21.0.11)"/>
    <d v="2026-05-24T15:00:30"/>
  </r>
  <r>
    <s v="cmpjwmnl9009fw2rwfkqlj712"/>
    <x v="8"/>
    <s v="PATCH"/>
    <s v="/api/v1/pecas/21"/>
    <s v="/api/v1/pecas/:id"/>
    <x v="1"/>
    <x v="81"/>
    <d v="2026-05-24T15:00:31"/>
    <d v="2026-05-24T15:00:31"/>
    <s v="::ffff:127.0.0.1"/>
    <s v="Apache-HttpClient/4.5.14 (Java/21.0.11)"/>
    <d v="2026-05-24T15:00:31"/>
  </r>
  <r>
    <s v="cmpjwmnnm009pw2rw1nv7jofo"/>
    <x v="8"/>
    <s v="PATCH"/>
    <s v="/api/v1/pecas/21"/>
    <s v="/api/v1/pecas/:id"/>
    <x v="1"/>
    <x v="82"/>
    <d v="2026-05-24T15:00:31"/>
    <d v="2026-05-24T15:00:31"/>
    <s v="::ffff:127.0.0.1"/>
    <s v="Apache-HttpClient/4.5.14 (Java/21.0.11)"/>
    <d v="2026-05-24T15:00:31"/>
  </r>
  <r>
    <s v="cmpjwmnq0009zw2rw44s5yd0z"/>
    <x v="8"/>
    <s v="PATCH"/>
    <s v="/api/v1/pecas/21"/>
    <s v="/api/v1/pecas/:id"/>
    <x v="1"/>
    <x v="83"/>
    <d v="2026-05-24T15:00:31"/>
    <d v="2026-05-24T15:00:31"/>
    <s v="::ffff:127.0.0.1"/>
    <s v="Apache-HttpClient/4.5.14 (Java/21.0.11)"/>
    <d v="2026-05-24T15:00:31"/>
  </r>
  <r>
    <s v="cmpjwmnsj00a9w2rw1lvxec21"/>
    <x v="8"/>
    <s v="PATCH"/>
    <s v="/api/v1/pecas/21"/>
    <s v="/api/v1/pecas/:id"/>
    <x v="1"/>
    <x v="84"/>
    <d v="2026-05-24T15:00:31"/>
    <d v="2026-05-24T15:00:31"/>
    <s v="::ffff:127.0.0.1"/>
    <s v="Apache-HttpClient/4.5.14 (Java/21.0.11)"/>
    <d v="2026-05-24T15:00:31"/>
  </r>
  <r>
    <s v="cmpjwmnve00ajw2rwdrs3bvl1"/>
    <x v="8"/>
    <s v="PATCH"/>
    <s v="/api/v1/pecas/21"/>
    <s v="/api/v1/pecas/:id"/>
    <x v="1"/>
    <x v="85"/>
    <d v="2026-05-24T15:00:31"/>
    <d v="2026-05-24T15:00:31"/>
    <s v="::ffff:127.0.0.1"/>
    <s v="Apache-HttpClient/4.5.14 (Java/21.0.11)"/>
    <d v="2026-05-24T15:00:31"/>
  </r>
  <r>
    <s v="cmpjwmnxk00atw2rwnpwizbn7"/>
    <x v="8"/>
    <s v="PATCH"/>
    <s v="/api/v1/pecas/21"/>
    <s v="/api/v1/pecas/:id"/>
    <x v="1"/>
    <x v="86"/>
    <d v="2026-05-24T15:00:31"/>
    <d v="2026-05-24T15:00:31"/>
    <s v="::ffff:127.0.0.1"/>
    <s v="Apache-HttpClient/4.5.14 (Java/21.0.11)"/>
    <d v="2026-05-24T15:00:31"/>
  </r>
  <r>
    <s v="cmpjwmo0000b3w2rw4y6d92c1"/>
    <x v="8"/>
    <s v="PATCH"/>
    <s v="/api/v1/pecas/21"/>
    <s v="/api/v1/pecas/:id"/>
    <x v="1"/>
    <x v="87"/>
    <d v="2026-05-24T15:00:31"/>
    <d v="2026-05-24T15:00:31"/>
    <s v="::ffff:127.0.0.1"/>
    <s v="Apache-HttpClient/4.5.14 (Java/21.0.11)"/>
    <d v="2026-05-24T15:00:31"/>
  </r>
  <r>
    <s v="cmpjwmndn008kw2rwir1fjgw0"/>
    <x v="9"/>
    <s v="POST"/>
    <s v="/api/v1/pecas"/>
    <s v="/api/v1/pecas/"/>
    <x v="2"/>
    <x v="88"/>
    <d v="2026-05-24T15:00:30"/>
    <d v="2026-05-24T15:00:30"/>
    <s v="::ffff:127.0.0.1"/>
    <s v="Apache-HttpClient/4.5.14 (Java/21.0.11)"/>
    <d v="2026-05-24T15:00:30"/>
  </r>
  <r>
    <s v="cmpjwmng6008uw2rw46gtirl9"/>
    <x v="9"/>
    <s v="POST"/>
    <s v="/api/v1/pecas"/>
    <s v="/api/v1/pecas/"/>
    <x v="2"/>
    <x v="89"/>
    <d v="2026-05-24T15:00:30"/>
    <d v="2026-05-24T15:00:30"/>
    <s v="::ffff:127.0.0.1"/>
    <s v="Apache-HttpClient/4.5.14 (Java/21.0.11)"/>
    <d v="2026-05-24T15:00:30"/>
  </r>
  <r>
    <s v="cmpjwmnij0094w2rwpw6c05bm"/>
    <x v="9"/>
    <s v="POST"/>
    <s v="/api/v1/pecas"/>
    <s v="/api/v1/pecas/"/>
    <x v="2"/>
    <x v="90"/>
    <d v="2026-05-24T15:00:30"/>
    <d v="2026-05-24T15:00:30"/>
    <s v="::ffff:127.0.0.1"/>
    <s v="Apache-HttpClient/4.5.14 (Java/21.0.11)"/>
    <d v="2026-05-24T15:00:30"/>
  </r>
  <r>
    <s v="cmpjwmnkw009ew2rwkq2r4pua"/>
    <x v="9"/>
    <s v="POST"/>
    <s v="/api/v1/pecas"/>
    <s v="/api/v1/pecas/"/>
    <x v="2"/>
    <x v="91"/>
    <d v="2026-05-24T15:00:31"/>
    <d v="2026-05-24T15:00:31"/>
    <s v="::ffff:127.0.0.1"/>
    <s v="Apache-HttpClient/4.5.14 (Java/21.0.11)"/>
    <d v="2026-05-24T15:00:31"/>
  </r>
  <r>
    <s v="cmpjwmnnb009ow2rwj0101aoq"/>
    <x v="9"/>
    <s v="POST"/>
    <s v="/api/v1/pecas"/>
    <s v="/api/v1/pecas/"/>
    <x v="2"/>
    <x v="92"/>
    <d v="2026-05-24T15:00:31"/>
    <d v="2026-05-24T15:00:31"/>
    <s v="::ffff:127.0.0.1"/>
    <s v="Apache-HttpClient/4.5.14 (Java/21.0.11)"/>
    <d v="2026-05-24T15:00:31"/>
  </r>
  <r>
    <s v="cmpjwmnpp009yw2rw1g9waqne"/>
    <x v="9"/>
    <s v="POST"/>
    <s v="/api/v1/pecas"/>
    <s v="/api/v1/pecas/"/>
    <x v="2"/>
    <x v="93"/>
    <d v="2026-05-24T15:00:31"/>
    <d v="2026-05-24T15:00:31"/>
    <s v="::ffff:127.0.0.1"/>
    <s v="Apache-HttpClient/4.5.14 (Java/21.0.11)"/>
    <d v="2026-05-24T15:00:31"/>
  </r>
  <r>
    <s v="cmpjwmns900a8w2rw0acy3mdz"/>
    <x v="9"/>
    <s v="POST"/>
    <s v="/api/v1/pecas"/>
    <s v="/api/v1/pecas/"/>
    <x v="2"/>
    <x v="94"/>
    <d v="2026-05-24T15:00:31"/>
    <d v="2026-05-24T15:00:31"/>
    <s v="::ffff:127.0.0.1"/>
    <s v="Apache-HttpClient/4.5.14 (Java/21.0.11)"/>
    <d v="2026-05-24T15:00:31"/>
  </r>
  <r>
    <s v="cmpjwmnv100aiw2rw84s15vp1"/>
    <x v="9"/>
    <s v="POST"/>
    <s v="/api/v1/pecas"/>
    <s v="/api/v1/pecas/"/>
    <x v="2"/>
    <x v="95"/>
    <d v="2026-05-24T15:00:31"/>
    <d v="2026-05-24T15:00:31"/>
    <s v="::ffff:127.0.0.1"/>
    <s v="Apache-HttpClient/4.5.14 (Java/21.0.11)"/>
    <d v="2026-05-24T15:00:31"/>
  </r>
  <r>
    <s v="cmpjwmnx700asw2rwuz3g9n1g"/>
    <x v="9"/>
    <s v="POST"/>
    <s v="/api/v1/pecas"/>
    <s v="/api/v1/pecas/"/>
    <x v="2"/>
    <x v="96"/>
    <d v="2026-05-24T15:00:31"/>
    <d v="2026-05-24T15:00:31"/>
    <s v="::ffff:127.0.0.1"/>
    <s v="Apache-HttpClient/4.5.14 (Java/21.0.11)"/>
    <d v="2026-05-24T15:00:31"/>
  </r>
  <r>
    <s v="cmpjwmnzp00b2w2rw014uebp5"/>
    <x v="9"/>
    <s v="POST"/>
    <s v="/api/v1/pecas"/>
    <s v="/api/v1/pecas/"/>
    <x v="2"/>
    <x v="97"/>
    <d v="2026-05-24T15:00:31"/>
    <d v="2026-05-24T15:00:31"/>
    <s v="::ffff:127.0.0.1"/>
    <s v="Apache-HttpClient/4.5.14 (Java/21.0.11)"/>
    <d v="2026-05-24T15:00: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mpjx8znd00bfw2rw33km2qiu"/>
    <x v="0"/>
    <s v="DELETE"/>
    <s v="/api/v1/pecas/21"/>
    <s v="/api/v1/pecas/:id"/>
    <x v="0"/>
    <n v="5.55"/>
    <d v="2026-05-24T15:17:53"/>
    <d v="2026-05-24T15:17:53"/>
    <s v="::ffff:127.0.0.1"/>
    <s v="Apache-HttpClient/4.5.14 (Java/21.0.11)"/>
    <d v="2026-05-24T15:17:53"/>
  </r>
  <r>
    <s v="cmpjx8zq200bpw2rw5w4i2dk6"/>
    <x v="0"/>
    <s v="DELETE"/>
    <s v="/api/v1/pecas/21"/>
    <s v="/api/v1/pecas/:id"/>
    <x v="0"/>
    <n v="9.5"/>
    <d v="2026-05-24T15:17:53"/>
    <d v="2026-05-24T15:17:53"/>
    <s v="::ffff:127.0.0.1"/>
    <s v="Apache-HttpClient/4.5.14 (Java/21.0.11)"/>
    <d v="2026-05-24T15:17:53"/>
  </r>
  <r>
    <s v="cmpjx8ztp00c7w2rw9dfn7db4"/>
    <x v="0"/>
    <s v="DELETE"/>
    <s v="/api/v1/pecas/ID_NAO_ENCONTRADO"/>
    <s v="/api/v1/pecas/:id"/>
    <x v="1"/>
    <n v="7.61"/>
    <d v="2026-05-24T15:17:53"/>
    <d v="2026-05-24T15:17:53"/>
    <s v="::ffff:127.0.0.1"/>
    <s v="Apache-HttpClient/4.5.14 (Java/21.0.11)"/>
    <d v="2026-05-24T15:17:53"/>
  </r>
  <r>
    <s v="cmpjx8zuf00caw2rwx9tm8wf9"/>
    <x v="0"/>
    <s v="DELETE"/>
    <s v="/api/v1/pecas/21"/>
    <s v="/api/v1/pecas/:id"/>
    <x v="0"/>
    <n v="14.37"/>
    <d v="2026-05-24T15:17:53"/>
    <d v="2026-05-24T15:17:53"/>
    <s v="::ffff:127.0.0.1"/>
    <s v="Apache-HttpClient/4.5.14 (Java/21.0.11)"/>
    <d v="2026-05-24T15:17:53"/>
  </r>
  <r>
    <s v="cmpjx8zyq00cyw2rw4m6x9z43"/>
    <x v="0"/>
    <s v="DELETE"/>
    <s v="/api/v1/pecas/21"/>
    <s v="/api/v1/pecas/:id"/>
    <x v="0"/>
    <n v="6.95"/>
    <d v="2026-05-24T15:17:53"/>
    <d v="2026-05-24T15:17:53"/>
    <s v="::ffff:127.0.0.1"/>
    <s v="Apache-HttpClient/4.5.14 (Java/21.0.11)"/>
    <d v="2026-05-24T15:17:53"/>
  </r>
  <r>
    <s v="cmpjx8zz700d1w2rwm48se7zi"/>
    <x v="0"/>
    <s v="DELETE"/>
    <s v="/api/v1/pecas/22"/>
    <s v="/api/v1/pecas/:id"/>
    <x v="0"/>
    <n v="11.74"/>
    <d v="2026-05-24T15:17:53"/>
    <d v="2026-05-24T15:17:53"/>
    <s v="::ffff:127.0.0.1"/>
    <s v="Apache-HttpClient/4.5.14 (Java/21.0.11)"/>
    <d v="2026-05-24T15:17:53"/>
  </r>
  <r>
    <s v="cmpjx900100d5w2rwqqdxgxhu"/>
    <x v="0"/>
    <s v="DELETE"/>
    <s v="/api/v1/pecas/23"/>
    <s v="/api/v1/pecas/:id"/>
    <x v="0"/>
    <n v="14.18"/>
    <d v="2026-05-24T15:17:53"/>
    <d v="2026-05-24T15:17:53"/>
    <s v="::ffff:127.0.0.1"/>
    <s v="Apache-HttpClient/4.5.14 (Java/21.0.11)"/>
    <d v="2026-05-24T15:17:53"/>
  </r>
  <r>
    <s v="cmpjx904e00dzw2rwb59m10ma"/>
    <x v="0"/>
    <s v="DELETE"/>
    <s v="/api/v1/pecas/ID_NAO_ENCONTRADO"/>
    <s v="/api/v1/pecas/:id"/>
    <x v="1"/>
    <n v="7.62"/>
    <d v="2026-05-24T15:17:53"/>
    <d v="2026-05-24T15:17:53"/>
    <s v="::ffff:127.0.0.1"/>
    <s v="Apache-HttpClient/4.5.14 (Java/21.0.11)"/>
    <d v="2026-05-24T15:17:53"/>
  </r>
  <r>
    <s v="cmpjx904z00e2w2rw77dxizg0"/>
    <x v="0"/>
    <s v="DELETE"/>
    <s v="/api/v1/pecas/21"/>
    <s v="/api/v1/pecas/:id"/>
    <x v="0"/>
    <n v="19.55"/>
    <d v="2026-05-24T15:17:53"/>
    <d v="2026-05-24T15:17:53"/>
    <s v="::ffff:127.0.0.1"/>
    <s v="Apache-HttpClient/4.5.14 (Java/21.0.11)"/>
    <d v="2026-05-24T15:17:53"/>
  </r>
  <r>
    <s v="cmpjx905y00e7w2rw942imdl9"/>
    <x v="0"/>
    <s v="DELETE"/>
    <s v="/api/v1/pecas/22"/>
    <s v="/api/v1/pecas/:id"/>
    <x v="0"/>
    <n v="14.57"/>
    <d v="2026-05-24T15:17:53"/>
    <d v="2026-05-24T15:17:53"/>
    <s v="::ffff:127.0.0.1"/>
    <s v="Apache-HttpClient/4.5.14 (Java/21.0.11)"/>
    <d v="2026-05-24T15:17:53"/>
  </r>
  <r>
    <s v="cmpjx907d00eew2rw78m9nweb"/>
    <x v="0"/>
    <s v="DELETE"/>
    <s v="/api/v1/pecas/23"/>
    <s v="/api/v1/pecas/:id"/>
    <x v="0"/>
    <n v="26.4"/>
    <d v="2026-05-24T15:17:53"/>
    <d v="2026-05-24T15:17:53"/>
    <s v="::ffff:127.0.0.1"/>
    <s v="Apache-HttpClient/4.5.14 (Java/21.0.11)"/>
    <d v="2026-05-24T15:17:53"/>
  </r>
  <r>
    <s v="cmpjx90ay00f9w2rwebxh2l88"/>
    <x v="0"/>
    <s v="DELETE"/>
    <s v="/api/v1/pecas/21"/>
    <s v="/api/v1/pecas/:id"/>
    <x v="0"/>
    <n v="6.79"/>
    <d v="2026-05-24T15:17:53"/>
    <d v="2026-05-24T15:17:53"/>
    <s v="::ffff:127.0.0.1"/>
    <s v="Apache-HttpClient/4.5.14 (Java/21.0.11)"/>
    <d v="2026-05-24T15:17:53"/>
  </r>
  <r>
    <s v="cmpjx90bi00ffw2rwufw4oyag"/>
    <x v="0"/>
    <s v="DELETE"/>
    <s v="/api/v1/pecas/22"/>
    <s v="/api/v1/pecas/:id"/>
    <x v="0"/>
    <n v="11.16"/>
    <d v="2026-05-24T15:17:53"/>
    <d v="2026-05-24T15:17:54"/>
    <s v="::ffff:127.0.0.1"/>
    <s v="Apache-HttpClient/4.5.14 (Java/21.0.11)"/>
    <d v="2026-05-24T15:17:54"/>
  </r>
  <r>
    <s v="cmpjx90c000fiw2rw86533xtj"/>
    <x v="0"/>
    <s v="DELETE"/>
    <s v="/api/v1/pecas/ID_NAO_ENCONTRADO"/>
    <s v="/api/v1/pecas/:id"/>
    <x v="1"/>
    <n v="9.52"/>
    <d v="2026-05-24T15:17:54"/>
    <d v="2026-05-24T15:17:54"/>
    <s v="::ffff:127.0.0.1"/>
    <s v="Apache-HttpClient/4.5.14 (Java/21.0.11)"/>
    <d v="2026-05-24T15:17:54"/>
  </r>
  <r>
    <s v="cmpjx90ce00flw2rw80nprlhi"/>
    <x v="0"/>
    <s v="DELETE"/>
    <s v="/api/v1/pecas/23"/>
    <s v="/api/v1/pecas/:id"/>
    <x v="0"/>
    <n v="12.83"/>
    <d v="2026-05-24T15:17:54"/>
    <d v="2026-05-24T15:17:54"/>
    <s v="::ffff:127.0.0.1"/>
    <s v="Apache-HttpClient/4.5.14 (Java/21.0.11)"/>
    <d v="2026-05-24T15:17:54"/>
  </r>
  <r>
    <s v="cmpjx90dn00ftw2rw2kaook3b"/>
    <x v="0"/>
    <s v="DELETE"/>
    <s v="/api/v1/pecas/24"/>
    <s v="/api/v1/pecas/:id"/>
    <x v="0"/>
    <n v="19.29"/>
    <d v="2026-05-24T15:17:54"/>
    <d v="2026-05-24T15:17:54"/>
    <s v="::ffff:127.0.0.1"/>
    <s v="Apache-HttpClient/4.5.14 (Java/21.0.11)"/>
    <d v="2026-05-24T15:17:54"/>
  </r>
  <r>
    <s v="cmpjx90gz00gqw2rwfgcygzi1"/>
    <x v="0"/>
    <s v="DELETE"/>
    <s v="/api/v1/pecas/21"/>
    <s v="/api/v1/pecas/:id"/>
    <x v="0"/>
    <n v="5.76"/>
    <d v="2026-05-24T15:17:54"/>
    <d v="2026-05-24T15:17:54"/>
    <s v="::ffff:127.0.0.1"/>
    <s v="Apache-HttpClient/4.5.14 (Java/21.0.11)"/>
    <d v="2026-05-24T15:17:54"/>
  </r>
  <r>
    <s v="cmpjx90hi00gtw2rwlzuubvwx"/>
    <x v="0"/>
    <s v="DELETE"/>
    <s v="/api/v1/pecas/22"/>
    <s v="/api/v1/pecas/:id"/>
    <x v="0"/>
    <n v="13.19"/>
    <d v="2026-05-24T15:17:54"/>
    <d v="2026-05-24T15:17:54"/>
    <s v="::ffff:127.0.0.1"/>
    <s v="Apache-HttpClient/4.5.14 (Java/21.0.11)"/>
    <d v="2026-05-24T15:17:54"/>
  </r>
  <r>
    <s v="cmpjx90hv00gww2rwcuu403c1"/>
    <x v="0"/>
    <s v="DELETE"/>
    <s v="/api/v1/pecas/23"/>
    <s v="/api/v1/pecas/:id"/>
    <x v="0"/>
    <n v="10.64"/>
    <d v="2026-05-24T15:17:54"/>
    <d v="2026-05-24T15:17:54"/>
    <s v="::ffff:127.0.0.1"/>
    <s v="Apache-HttpClient/4.5.14 (Java/21.0.11)"/>
    <d v="2026-05-24T15:17:54"/>
  </r>
  <r>
    <s v="cmpjx90i000gxw2rwbkltrn62"/>
    <x v="0"/>
    <s v="DELETE"/>
    <s v="/api/v1/pecas/ID_NAO_ENCONTRADO"/>
    <s v="/api/v1/pecas/:id"/>
    <x v="1"/>
    <n v="10.58"/>
    <d v="2026-05-24T15:17:54"/>
    <d v="2026-05-24T15:17:54"/>
    <s v="::ffff:127.0.0.1"/>
    <s v="Apache-HttpClient/4.5.14 (Java/21.0.11)"/>
    <d v="2026-05-24T15:17:54"/>
  </r>
  <r>
    <s v="cmpjx90ki00haw2rwkbdx6a1n"/>
    <x v="0"/>
    <s v="DELETE"/>
    <s v="/api/v1/pecas/24"/>
    <s v="/api/v1/pecas/:id"/>
    <x v="0"/>
    <n v="14.99"/>
    <d v="2026-05-24T15:17:54"/>
    <d v="2026-05-24T15:17:54"/>
    <s v="::ffff:127.0.0.1"/>
    <s v="Apache-HttpClient/4.5.14 (Java/21.0.11)"/>
    <d v="2026-05-24T15:17:54"/>
  </r>
  <r>
    <s v="cmpjx90of00i4w2rwulsf9yjt"/>
    <x v="0"/>
    <s v="DELETE"/>
    <s v="/api/v1/pecas/21"/>
    <s v="/api/v1/pecas/:id"/>
    <x v="0"/>
    <n v="13.87"/>
    <d v="2026-05-24T15:17:54"/>
    <d v="2026-05-24T15:17:54"/>
    <s v="::ffff:127.0.0.1"/>
    <s v="Apache-HttpClient/4.5.14 (Java/21.0.11)"/>
    <d v="2026-05-24T15:17:54"/>
  </r>
  <r>
    <s v="cmpjx90p100i8w2rwbm9uyzzf"/>
    <x v="0"/>
    <s v="DELETE"/>
    <s v="/api/v1/pecas/22"/>
    <s v="/api/v1/pecas/:id"/>
    <x v="0"/>
    <n v="17.63"/>
    <d v="2026-05-24T15:17:54"/>
    <d v="2026-05-24T15:17:54"/>
    <s v="::ffff:127.0.0.1"/>
    <s v="Apache-HttpClient/4.5.14 (Java/21.0.11)"/>
    <d v="2026-05-24T15:17:54"/>
  </r>
  <r>
    <s v="cmpjx90pk00i9w2rwyl52k9oe"/>
    <x v="0"/>
    <s v="DELETE"/>
    <s v="/api/v1/pecas/ID_NAO_ENCONTRADO"/>
    <s v="/api/v1/pecas/:id"/>
    <x v="1"/>
    <n v="23.94"/>
    <d v="2026-05-24T15:17:54"/>
    <d v="2026-05-24T15:17:54"/>
    <s v="::ffff:127.0.0.1"/>
    <s v="Apache-HttpClient/4.5.14 (Java/21.0.11)"/>
    <d v="2026-05-24T15:17:54"/>
  </r>
  <r>
    <s v="cmpjx90q500ibw2rwudh1khhx"/>
    <x v="0"/>
    <s v="DELETE"/>
    <s v="/api/v1/pecas/23"/>
    <s v="/api/v1/pecas/:id"/>
    <x v="0"/>
    <n v="18.489999999999998"/>
    <d v="2026-05-24T15:17:54"/>
    <d v="2026-05-24T15:17:54"/>
    <s v="::ffff:127.0.0.1"/>
    <s v="Apache-HttpClient/4.5.14 (Java/21.0.11)"/>
    <d v="2026-05-24T15:17:54"/>
  </r>
  <r>
    <s v="cmpjx90rj00ilw2rw7d2qcofr"/>
    <x v="0"/>
    <s v="DELETE"/>
    <s v="/api/v1/pecas/24"/>
    <s v="/api/v1/pecas/:id"/>
    <x v="0"/>
    <n v="5.52"/>
    <d v="2026-05-24T15:17:54"/>
    <d v="2026-05-24T15:17:54"/>
    <s v="::ffff:127.0.0.1"/>
    <s v="Apache-HttpClient/4.5.14 (Java/21.0.11)"/>
    <d v="2026-05-24T15:17:54"/>
  </r>
  <r>
    <s v="cmpjx90uw00jjw2rwxql4ztad"/>
    <x v="0"/>
    <s v="DELETE"/>
    <s v="/api/v1/pecas/21"/>
    <s v="/api/v1/pecas/:id"/>
    <x v="0"/>
    <n v="8.4700000000000006"/>
    <d v="2026-05-24T15:17:54"/>
    <d v="2026-05-24T15:17:54"/>
    <s v="::ffff:127.0.0.1"/>
    <s v="Apache-HttpClient/4.5.14 (Java/21.0.11)"/>
    <d v="2026-05-24T15:17:54"/>
  </r>
  <r>
    <s v="cmpjx90v500jlw2rwfxo02usr"/>
    <x v="0"/>
    <s v="DELETE"/>
    <s v="/api/v1/pecas/ID_NAO_ENCONTRADO"/>
    <s v="/api/v1/pecas/:id"/>
    <x v="1"/>
    <n v="10.5"/>
    <d v="2026-05-24T15:17:54"/>
    <d v="2026-05-24T15:17:54"/>
    <s v="::ffff:127.0.0.1"/>
    <s v="Apache-HttpClient/4.5.14 (Java/21.0.11)"/>
    <d v="2026-05-24T15:17:54"/>
  </r>
  <r>
    <s v="cmpjx90vb00jnw2rwalcnqdbc"/>
    <x v="0"/>
    <s v="DELETE"/>
    <s v="/api/v1/pecas/ID_NAO_ENCONTRADO"/>
    <s v="/api/v1/pecas/:id"/>
    <x v="1"/>
    <n v="12.03"/>
    <d v="2026-05-24T15:17:54"/>
    <d v="2026-05-24T15:17:54"/>
    <s v="::ffff:127.0.0.1"/>
    <s v="Apache-HttpClient/4.5.14 (Java/21.0.11)"/>
    <d v="2026-05-24T15:17:54"/>
  </r>
  <r>
    <s v="cmpjx90w600jpw2rwif9s1u4v"/>
    <x v="0"/>
    <s v="DELETE"/>
    <s v="/api/v1/pecas/22"/>
    <s v="/api/v1/pecas/:id"/>
    <x v="0"/>
    <n v="23.67"/>
    <d v="2026-05-24T15:17:54"/>
    <d v="2026-05-24T15:17:54"/>
    <s v="::ffff:127.0.0.1"/>
    <s v="Apache-HttpClient/4.5.14 (Java/21.0.11)"/>
    <d v="2026-05-24T15:17:54"/>
  </r>
  <r>
    <s v="cmpjx90yl00k3w2rwu7xnuvnt"/>
    <x v="0"/>
    <s v="DELETE"/>
    <s v="/api/v1/pecas/23"/>
    <s v="/api/v1/pecas/:id"/>
    <x v="0"/>
    <n v="15.26"/>
    <d v="2026-05-24T15:17:54"/>
    <d v="2026-05-24T15:17:54"/>
    <s v="::ffff:127.0.0.1"/>
    <s v="Apache-HttpClient/4.5.14 (Java/21.0.11)"/>
    <d v="2026-05-24T15:17:54"/>
  </r>
  <r>
    <s v="cmpjx912r00kvw2rwtstazi8u"/>
    <x v="0"/>
    <s v="DELETE"/>
    <s v="/api/v1/pecas/ID_NAO_ENCONTRADO"/>
    <s v="/api/v1/pecas/:id"/>
    <x v="1"/>
    <n v="5.78"/>
    <d v="2026-05-24T15:17:54"/>
    <d v="2026-05-24T15:17:54"/>
    <s v="::ffff:127.0.0.1"/>
    <s v="Apache-HttpClient/4.5.14 (Java/21.0.11)"/>
    <d v="2026-05-24T15:17:54"/>
  </r>
  <r>
    <s v="cmpjx912w00kxw2rwlkzxk6ud"/>
    <x v="0"/>
    <s v="DELETE"/>
    <s v="/api/v1/pecas/ID_NAO_ENCONTRADO"/>
    <s v="/api/v1/pecas/:id"/>
    <x v="1"/>
    <n v="6.43"/>
    <d v="2026-05-24T15:17:54"/>
    <d v="2026-05-24T15:17:54"/>
    <s v="::ffff:127.0.0.1"/>
    <s v="Apache-HttpClient/4.5.14 (Java/21.0.11)"/>
    <d v="2026-05-24T15:17:54"/>
  </r>
  <r>
    <s v="cmpjx913b00kzw2rwa3dbhhd1"/>
    <x v="0"/>
    <s v="DELETE"/>
    <s v="/api/v1/pecas/21"/>
    <s v="/api/v1/pecas/:id"/>
    <x v="0"/>
    <n v="10.72"/>
    <d v="2026-05-24T15:17:54"/>
    <d v="2026-05-24T15:17:55"/>
    <s v="::ffff:127.0.0.1"/>
    <s v="Apache-HttpClient/4.5.14 (Java/21.0.11)"/>
    <d v="2026-05-24T15:17:55"/>
  </r>
  <r>
    <s v="cmpjx914300l5w2rwkxf8imuy"/>
    <x v="0"/>
    <s v="DELETE"/>
    <s v="/api/v1/pecas/22"/>
    <s v="/api/v1/pecas/:id"/>
    <x v="0"/>
    <n v="11.09"/>
    <d v="2026-05-24T15:17:55"/>
    <d v="2026-05-24T15:17:55"/>
    <s v="::ffff:127.0.0.1"/>
    <s v="Apache-HttpClient/4.5.14 (Java/21.0.11)"/>
    <d v="2026-05-24T15:17:55"/>
  </r>
  <r>
    <s v="cmpjx915800liw2rw11ii1jxr"/>
    <x v="0"/>
    <s v="DELETE"/>
    <s v="/api/v1/pecas/23"/>
    <s v="/api/v1/pecas/:id"/>
    <x v="0"/>
    <n v="8.56"/>
    <d v="2026-05-24T15:17:55"/>
    <d v="2026-05-24T15:17:55"/>
    <s v="::ffff:127.0.0.1"/>
    <s v="Apache-HttpClient/4.5.14 (Java/21.0.11)"/>
    <d v="2026-05-24T15:17:55"/>
  </r>
  <r>
    <s v="cmpjx916u00lyw2rwqc1dadtl"/>
    <x v="0"/>
    <s v="DELETE"/>
    <s v="/api/v1/pecas/ID_NAO_ENCONTRADO"/>
    <s v="/api/v1/pecas/:id"/>
    <x v="1"/>
    <n v="4.7300000000000004"/>
    <d v="2026-05-24T15:17:55"/>
    <d v="2026-05-24T15:17:55"/>
    <s v="::ffff:127.0.0.1"/>
    <s v="Apache-HttpClient/4.5.14 (Java/21.0.11)"/>
    <d v="2026-05-24T15:17:55"/>
  </r>
  <r>
    <s v="cmpjx917e00m4w2rwdtncmzk7"/>
    <x v="0"/>
    <s v="DELETE"/>
    <s v="/api/v1/pecas/21"/>
    <s v="/api/v1/pecas/:id"/>
    <x v="0"/>
    <n v="10.1"/>
    <d v="2026-05-24T15:17:55"/>
    <d v="2026-05-24T15:17:55"/>
    <s v="::ffff:127.0.0.1"/>
    <s v="Apache-HttpClient/4.5.14 (Java/21.0.11)"/>
    <d v="2026-05-24T15:17:55"/>
  </r>
  <r>
    <s v="cmpjx918600m6w2rwb8odqi5n"/>
    <x v="0"/>
    <s v="DELETE"/>
    <s v="/api/v1/pecas/22"/>
    <s v="/api/v1/pecas/:id"/>
    <x v="0"/>
    <n v="10.93"/>
    <d v="2026-05-24T15:17:55"/>
    <d v="2026-05-24T15:17:55"/>
    <s v="::ffff:127.0.0.1"/>
    <s v="Apache-HttpClient/4.5.14 (Java/21.0.11)"/>
    <d v="2026-05-24T15:17:55"/>
  </r>
  <r>
    <s v="cmpjx91a000mjw2rw67z2pqk1"/>
    <x v="0"/>
    <s v="DELETE"/>
    <s v="/api/v1/pecas/23"/>
    <s v="/api/v1/pecas/:id"/>
    <x v="0"/>
    <n v="6.58"/>
    <d v="2026-05-24T15:17:55"/>
    <d v="2026-05-24T15:17:55"/>
    <s v="::ffff:127.0.0.1"/>
    <s v="Apache-HttpClient/4.5.14 (Java/21.0.11)"/>
    <d v="2026-05-24T15:17:55"/>
  </r>
  <r>
    <s v="cmpjx91cp00n5w2rwbmece3xi"/>
    <x v="0"/>
    <s v="DELETE"/>
    <s v="/api/v1/pecas/21"/>
    <s v="/api/v1/pecas/:id"/>
    <x v="0"/>
    <n v="9.52"/>
    <d v="2026-05-24T15:17:55"/>
    <d v="2026-05-24T15:17:55"/>
    <s v="::ffff:127.0.0.1"/>
    <s v="Apache-HttpClient/4.5.14 (Java/21.0.11)"/>
    <d v="2026-05-24T15:17:55"/>
  </r>
  <r>
    <s v="cmpjx91d500n7w2rwufif13p5"/>
    <x v="0"/>
    <s v="DELETE"/>
    <s v="/api/v1/pecas/22"/>
    <s v="/api/v1/pecas/:id"/>
    <x v="0"/>
    <n v="11.79"/>
    <d v="2026-05-24T15:17:55"/>
    <d v="2026-05-24T15:17:55"/>
    <s v="::ffff:127.0.0.1"/>
    <s v="Apache-HttpClient/4.5.14 (Java/21.0.11)"/>
    <d v="2026-05-24T15:17:55"/>
  </r>
  <r>
    <s v="cmpjx91e100nbw2rw3tipu3ub"/>
    <x v="0"/>
    <s v="DELETE"/>
    <s v="/api/v1/pecas/23"/>
    <s v="/api/v1/pecas/:id"/>
    <x v="0"/>
    <s v="12"/>
    <d v="2026-05-24T15:17:55"/>
    <d v="2026-05-24T15:17:55"/>
    <s v="::ffff:127.0.0.1"/>
    <s v="Apache-HttpClient/4.5.14 (Java/21.0.11)"/>
    <d v="2026-05-24T15:17:55"/>
  </r>
  <r>
    <s v="cmpjx91f900nnw2rwjpxi0r82"/>
    <x v="0"/>
    <s v="DELETE"/>
    <s v="/api/v1/pecas/24"/>
    <s v="/api/v1/pecas/:id"/>
    <x v="0"/>
    <n v="8.84"/>
    <d v="2026-05-24T15:17:55"/>
    <d v="2026-05-24T15:17:55"/>
    <s v="::ffff:127.0.0.1"/>
    <s v="Apache-HttpClient/4.5.14 (Java/21.0.11)"/>
    <d v="2026-05-24T15:17:55"/>
  </r>
  <r>
    <s v="cmpjx91h300o0w2rws8oyqcp8"/>
    <x v="0"/>
    <s v="DELETE"/>
    <s v="/api/v1/pecas/21"/>
    <s v="/api/v1/pecas/:id"/>
    <x v="0"/>
    <n v="7.38"/>
    <d v="2026-05-24T15:17:55"/>
    <d v="2026-05-24T15:17:55"/>
    <s v="::ffff:127.0.0.1"/>
    <s v="Apache-HttpClient/4.5.14 (Java/21.0.11)"/>
    <d v="2026-05-24T15:17:55"/>
  </r>
  <r>
    <s v="cmpjx91hm00o3w2rw9j3obx7a"/>
    <x v="0"/>
    <s v="DELETE"/>
    <s v="/api/v1/pecas/22"/>
    <s v="/api/v1/pecas/:id"/>
    <x v="0"/>
    <n v="11.04"/>
    <d v="2026-05-24T15:17:55"/>
    <d v="2026-05-24T15:17:55"/>
    <s v="::ffff:127.0.0.1"/>
    <s v="Apache-HttpClient/4.5.14 (Java/21.0.11)"/>
    <d v="2026-05-24T15:17:55"/>
  </r>
  <r>
    <s v="cmpjx91j100odw2rw1z9zjlyb"/>
    <x v="0"/>
    <s v="DELETE"/>
    <s v="/api/v1/pecas/21"/>
    <s v="/api/v1/pecas/:id"/>
    <x v="0"/>
    <n v="5.89"/>
    <d v="2026-05-24T15:17:55"/>
    <d v="2026-05-24T15:17:55"/>
    <s v="::ffff:127.0.0.1"/>
    <s v="Apache-HttpClient/4.5.14 (Java/21.0.11)"/>
    <d v="2026-05-24T15:17:55"/>
  </r>
  <r>
    <s v="cmpjx91kx00olw2rwpj7fq1o1"/>
    <x v="0"/>
    <s v="DELETE"/>
    <s v="/api/v1/pecas/21"/>
    <s v="/api/v1/pecas/:id"/>
    <x v="0"/>
    <n v="5.22"/>
    <d v="2026-05-24T15:17:55"/>
    <d v="2026-05-24T15:17:55"/>
    <s v="::ffff:127.0.0.1"/>
    <s v="Apache-HttpClient/4.5.14 (Java/21.0.11)"/>
    <d v="2026-05-24T15:17:55"/>
  </r>
  <r>
    <s v="cmpjx91ma00oxw2rwd2vgjltd"/>
    <x v="0"/>
    <s v="DELETE"/>
    <s v="/api/v1/pecas/21"/>
    <s v="/api/v1/pecas/:id"/>
    <x v="0"/>
    <n v="5.15"/>
    <d v="2026-05-24T15:17:55"/>
    <d v="2026-05-24T15:17:55"/>
    <s v="::ffff:127.0.0.1"/>
    <s v="Apache-HttpClient/4.5.14 (Java/21.0.11)"/>
    <d v="2026-05-24T15:17:55"/>
  </r>
  <r>
    <s v="cmpjx91n200p1w2rw7kybgrfc"/>
    <x v="0"/>
    <s v="DELETE"/>
    <s v="/api/v1/pecas/21"/>
    <s v="/api/v1/pecas/:id"/>
    <x v="0"/>
    <n v="5.77"/>
    <d v="2026-05-24T15:17:55"/>
    <d v="2026-05-24T15:17:55"/>
    <s v="::ffff:127.0.0.1"/>
    <s v="Apache-HttpClient/4.5.14 (Java/21.0.11)"/>
    <d v="2026-05-24T15:17:55"/>
  </r>
  <r>
    <s v="cmpjx8zl300b6w2rwdeqa0p1m"/>
    <x v="1"/>
    <s v="GET"/>
    <s v="/api/v1/aeronaves"/>
    <s v="/api/v1/aeronaves/"/>
    <x v="2"/>
    <n v="31.42"/>
    <d v="2026-05-24T15:17:53"/>
    <d v="2026-05-24T15:17:53"/>
    <s v="::ffff:127.0.0.1"/>
    <s v="Apache-HttpClient/4.5.14 (Java/21.0.11)"/>
    <d v="2026-05-24T15:17:53"/>
  </r>
  <r>
    <s v="cmpjx8znx00bgw2rwfce9pjee"/>
    <x v="1"/>
    <s v="GET"/>
    <s v="/api/v1/aeronaves"/>
    <s v="/api/v1/aeronaves/"/>
    <x v="2"/>
    <n v="18.510000000000002"/>
    <d v="2026-05-24T15:17:53"/>
    <d v="2026-05-24T15:17:53"/>
    <s v="::ffff:127.0.0.1"/>
    <s v="Apache-HttpClient/4.5.14 (Java/21.0.11)"/>
    <d v="2026-05-24T15:17:53"/>
  </r>
  <r>
    <s v="cmpjx8zqh00bqw2rwm922689q"/>
    <x v="1"/>
    <s v="GET"/>
    <s v="/api/v1/aeronaves"/>
    <s v="/api/v1/aeronaves/"/>
    <x v="2"/>
    <n v="23.02"/>
    <d v="2026-05-24T15:17:53"/>
    <d v="2026-05-24T15:17:53"/>
    <s v="::ffff:127.0.0.1"/>
    <s v="Apache-HttpClient/4.5.14 (Java/21.0.11)"/>
    <d v="2026-05-24T15:17:53"/>
  </r>
  <r>
    <s v="cmpjx8zr200brw2rwfxuh83bo"/>
    <x v="1"/>
    <s v="GET"/>
    <s v="/api/v1/aeronaves"/>
    <s v="/api/v1/aeronaves/"/>
    <x v="2"/>
    <n v="26.63"/>
    <d v="2026-05-24T15:17:53"/>
    <d v="2026-05-24T15:17:53"/>
    <s v="::ffff:127.0.0.1"/>
    <s v="Apache-HttpClient/4.5.14 (Java/21.0.11)"/>
    <d v="2026-05-24T15:17:53"/>
  </r>
  <r>
    <s v="cmpjx8zud00c9w2rwlj37nqrh"/>
    <x v="1"/>
    <s v="GET"/>
    <s v="/api/v1/aeronaves"/>
    <s v="/api/v1/aeronaves/"/>
    <x v="2"/>
    <n v="21.33"/>
    <d v="2026-05-24T15:17:53"/>
    <d v="2026-05-24T15:17:53"/>
    <s v="::ffff:127.0.0.1"/>
    <s v="Apache-HttpClient/4.5.14 (Java/21.0.11)"/>
    <d v="2026-05-24T15:17:53"/>
  </r>
  <r>
    <s v="cmpjx8zv900ccw2rwh7yq6m7d"/>
    <x v="1"/>
    <s v="GET"/>
    <s v="/api/v1/aeronaves"/>
    <s v="/api/v1/aeronaves/"/>
    <x v="2"/>
    <n v="25.32"/>
    <d v="2026-05-24T15:17:53"/>
    <d v="2026-05-24T15:17:53"/>
    <s v="::ffff:127.0.0.1"/>
    <s v="Apache-HttpClient/4.5.14 (Java/21.0.11)"/>
    <d v="2026-05-24T15:17:53"/>
  </r>
  <r>
    <s v="cmpjx8zwr00ciw2rw11leky95"/>
    <x v="1"/>
    <s v="GET"/>
    <s v="/api/v1/aeronaves"/>
    <s v="/api/v1/aeronaves/"/>
    <x v="2"/>
    <n v="36.61"/>
    <d v="2026-05-24T15:17:53"/>
    <d v="2026-05-24T15:17:53"/>
    <s v="::ffff:127.0.0.1"/>
    <s v="Apache-HttpClient/4.5.14 (Java/21.0.11)"/>
    <d v="2026-05-24T15:17:53"/>
  </r>
  <r>
    <s v="cmpjx8zzp00d3w2rworls6hwu"/>
    <x v="1"/>
    <s v="GET"/>
    <s v="/api/v1/aeronaves"/>
    <s v="/api/v1/aeronaves/"/>
    <x v="2"/>
    <n v="30.95"/>
    <d v="2026-05-24T15:17:53"/>
    <d v="2026-05-24T15:17:53"/>
    <s v="::ffff:127.0.0.1"/>
    <s v="Apache-HttpClient/4.5.14 (Java/21.0.11)"/>
    <d v="2026-05-24T15:17:53"/>
  </r>
  <r>
    <s v="cmpjx8zzx00d4w2rw68u6i8kn"/>
    <x v="1"/>
    <s v="GET"/>
    <s v="/api/v1/aeronaves"/>
    <s v="/api/v1/aeronaves/"/>
    <x v="2"/>
    <n v="21.55"/>
    <d v="2026-05-24T15:17:53"/>
    <d v="2026-05-24T15:17:53"/>
    <s v="::ffff:127.0.0.1"/>
    <s v="Apache-HttpClient/4.5.14 (Java/21.0.11)"/>
    <d v="2026-05-24T15:17:53"/>
  </r>
  <r>
    <s v="cmpjx901400d9w2rwpz09e0mg"/>
    <x v="1"/>
    <s v="GET"/>
    <s v="/api/v1/aeronaves"/>
    <s v="/api/v1/aeronaves/"/>
    <x v="2"/>
    <n v="33.69"/>
    <d v="2026-05-24T15:17:53"/>
    <d v="2026-05-24T15:17:53"/>
    <s v="::ffff:127.0.0.1"/>
    <s v="Apache-HttpClient/4.5.14 (Java/21.0.11)"/>
    <d v="2026-05-24T15:17:53"/>
  </r>
  <r>
    <s v="cmpjx902000dew2rwwxz82284"/>
    <x v="1"/>
    <s v="GET"/>
    <s v="/api/v1/aeronaves"/>
    <s v="/api/v1/aeronaves/"/>
    <x v="2"/>
    <s v="23"/>
    <d v="2026-05-24T15:17:53"/>
    <d v="2026-05-24T15:17:53"/>
    <s v="::ffff:127.0.0.1"/>
    <s v="Apache-HttpClient/4.5.14 (Java/21.0.11)"/>
    <d v="2026-05-24T15:17:53"/>
  </r>
  <r>
    <s v="cmpjx905a00e3w2rwueeok1us"/>
    <x v="1"/>
    <s v="GET"/>
    <s v="/api/v1/aeronaves"/>
    <s v="/api/v1/aeronaves/"/>
    <x v="2"/>
    <n v="30.15"/>
    <d v="2026-05-24T15:17:53"/>
    <d v="2026-05-24T15:17:53"/>
    <s v="::ffff:127.0.0.1"/>
    <s v="Apache-HttpClient/4.5.14 (Java/21.0.11)"/>
    <d v="2026-05-24T15:17:53"/>
  </r>
  <r>
    <s v="cmpjx906600e8w2rwncosckf0"/>
    <x v="1"/>
    <s v="GET"/>
    <s v="/api/v1/aeronaves"/>
    <s v="/api/v1/aeronaves/"/>
    <x v="2"/>
    <n v="27.2"/>
    <d v="2026-05-24T15:17:53"/>
    <d v="2026-05-24T15:17:53"/>
    <s v="::ffff:127.0.0.1"/>
    <s v="Apache-HttpClient/4.5.14 (Java/21.0.11)"/>
    <d v="2026-05-24T15:17:53"/>
  </r>
  <r>
    <s v="cmpjx907100ecw2rwx9uy9wso"/>
    <x v="1"/>
    <s v="GET"/>
    <s v="/api/v1/aeronaves"/>
    <s v="/api/v1/aeronaves/"/>
    <x v="2"/>
    <n v="28.97"/>
    <d v="2026-05-24T15:17:53"/>
    <d v="2026-05-24T15:17:53"/>
    <s v="::ffff:127.0.0.1"/>
    <s v="Apache-HttpClient/4.5.14 (Java/21.0.11)"/>
    <d v="2026-05-24T15:17:53"/>
  </r>
  <r>
    <s v="cmpjx907o00efw2rwyeha3hft"/>
    <x v="1"/>
    <s v="GET"/>
    <s v="/api/v1/aeronaves"/>
    <s v="/api/v1/aeronaves/"/>
    <x v="2"/>
    <n v="37.450000000000003"/>
    <d v="2026-05-24T15:17:53"/>
    <d v="2026-05-24T15:17:53"/>
    <s v="::ffff:127.0.0.1"/>
    <s v="Apache-HttpClient/4.5.14 (Java/21.0.11)"/>
    <d v="2026-05-24T15:17:53"/>
  </r>
  <r>
    <s v="cmpjx908l00ekw2rw4rtx3d99"/>
    <x v="1"/>
    <s v="GET"/>
    <s v="/api/v1/aeronaves"/>
    <s v="/api/v1/aeronaves/"/>
    <x v="2"/>
    <n v="32.03"/>
    <d v="2026-05-24T15:17:53"/>
    <d v="2026-05-24T15:17:53"/>
    <s v="::ffff:127.0.0.1"/>
    <s v="Apache-HttpClient/4.5.14 (Java/21.0.11)"/>
    <d v="2026-05-24T15:17:53"/>
  </r>
  <r>
    <s v="cmpjx90bp00fgw2rw967jaw3m"/>
    <x v="1"/>
    <s v="GET"/>
    <s v="/api/v1/aeronaves"/>
    <s v="/api/v1/aeronaves/"/>
    <x v="2"/>
    <n v="21.21"/>
    <d v="2026-05-24T15:17:53"/>
    <d v="2026-05-24T15:17:54"/>
    <s v="::ffff:127.0.0.1"/>
    <s v="Apache-HttpClient/4.5.14 (Java/21.0.11)"/>
    <d v="2026-05-24T15:17:54"/>
  </r>
  <r>
    <s v="cmpjx90ch00fmw2rwg6wvn189"/>
    <x v="1"/>
    <s v="GET"/>
    <s v="/api/v1/aeronaves"/>
    <s v="/api/v1/aeronaves/"/>
    <x v="2"/>
    <n v="21.84"/>
    <d v="2026-05-24T15:17:54"/>
    <d v="2026-05-24T15:17:54"/>
    <s v="::ffff:127.0.0.1"/>
    <s v="Apache-HttpClient/4.5.14 (Java/21.0.11)"/>
    <d v="2026-05-24T15:17:54"/>
  </r>
  <r>
    <s v="cmpjx90cw00fpw2rw4nn0fmaq"/>
    <x v="1"/>
    <s v="GET"/>
    <s v="/api/v1/aeronaves"/>
    <s v="/api/v1/aeronaves/"/>
    <x v="2"/>
    <n v="22.22"/>
    <d v="2026-05-24T15:17:54"/>
    <d v="2026-05-24T15:17:54"/>
    <s v="::ffff:127.0.0.1"/>
    <s v="Apache-HttpClient/4.5.14 (Java/21.0.11)"/>
    <d v="2026-05-24T15:17:54"/>
  </r>
  <r>
    <s v="cmpjx90dh00frw2rwzpz33wuu"/>
    <x v="1"/>
    <s v="GET"/>
    <s v="/api/v1/aeronaves"/>
    <s v="/api/v1/aeronaves/"/>
    <x v="2"/>
    <n v="31.46"/>
    <d v="2026-05-24T15:17:54"/>
    <d v="2026-05-24T15:17:54"/>
    <s v="::ffff:127.0.0.1"/>
    <s v="Apache-HttpClient/4.5.14 (Java/21.0.11)"/>
    <d v="2026-05-24T15:17:54"/>
  </r>
  <r>
    <s v="cmpjx90eg00g0w2rwzq4ivvvf"/>
    <x v="1"/>
    <s v="GET"/>
    <s v="/api/v1/aeronaves"/>
    <s v="/api/v1/aeronaves/"/>
    <x v="2"/>
    <n v="21.37"/>
    <d v="2026-05-24T15:17:54"/>
    <d v="2026-05-24T15:17:54"/>
    <s v="::ffff:127.0.0.1"/>
    <s v="Apache-HttpClient/4.5.14 (Java/21.0.11)"/>
    <d v="2026-05-24T15:17:54"/>
  </r>
  <r>
    <s v="cmpjx90ho00guw2rw4ulocxas"/>
    <x v="1"/>
    <s v="GET"/>
    <s v="/api/v1/aeronaves"/>
    <s v="/api/v1/aeronaves/"/>
    <x v="2"/>
    <n v="21.08"/>
    <d v="2026-05-24T15:17:54"/>
    <d v="2026-05-24T15:17:54"/>
    <s v="::ffff:127.0.0.1"/>
    <s v="Apache-HttpClient/4.5.14 (Java/21.0.11)"/>
    <d v="2026-05-24T15:17:54"/>
  </r>
  <r>
    <s v="cmpjx90in00gzw2rwstwnyui5"/>
    <x v="1"/>
    <s v="GET"/>
    <s v="/api/v1/aeronaves"/>
    <s v="/api/v1/aeronaves/"/>
    <x v="2"/>
    <n v="29.17"/>
    <d v="2026-05-24T15:17:54"/>
    <d v="2026-05-24T15:17:54"/>
    <s v="::ffff:127.0.0.1"/>
    <s v="Apache-HttpClient/4.5.14 (Java/21.0.11)"/>
    <d v="2026-05-24T15:17:54"/>
  </r>
  <r>
    <s v="cmpjx90jc00h1w2rwtgqlgmk5"/>
    <x v="1"/>
    <s v="GET"/>
    <s v="/api/v1/aeronaves"/>
    <s v="/api/v1/aeronaves/"/>
    <x v="2"/>
    <n v="43.48"/>
    <d v="2026-05-24T15:17:54"/>
    <d v="2026-05-24T15:17:54"/>
    <s v="::ffff:127.0.0.1"/>
    <s v="Apache-HttpClient/4.5.14 (Java/21.0.11)"/>
    <d v="2026-05-24T15:17:54"/>
  </r>
  <r>
    <s v="cmpjx90jp00h3w2rwq38vl4fy"/>
    <x v="1"/>
    <s v="GET"/>
    <s v="/api/v1/aeronaves"/>
    <s v="/api/v1/aeronaves/"/>
    <x v="2"/>
    <n v="51.2"/>
    <d v="2026-05-24T15:17:54"/>
    <d v="2026-05-24T15:17:54"/>
    <s v="::ffff:127.0.0.1"/>
    <s v="Apache-HttpClient/4.5.14 (Java/21.0.11)"/>
    <d v="2026-05-24T15:17:54"/>
  </r>
  <r>
    <s v="cmpjx90lh00hfw2rwdgrfhj59"/>
    <x v="1"/>
    <s v="GET"/>
    <s v="/api/v1/aeronaves"/>
    <s v="/api/v1/aeronaves/"/>
    <x v="2"/>
    <n v="30.11"/>
    <d v="2026-05-24T15:17:54"/>
    <d v="2026-05-24T15:17:54"/>
    <s v="::ffff:127.0.0.1"/>
    <s v="Apache-HttpClient/4.5.14 (Java/21.0.11)"/>
    <d v="2026-05-24T15:17:54"/>
  </r>
  <r>
    <s v="cmpjx90pv00iaw2rwhnfwe0oe"/>
    <x v="1"/>
    <s v="GET"/>
    <s v="/api/v1/aeronaves"/>
    <s v="/api/v1/aeronaves/"/>
    <x v="2"/>
    <n v="40.31"/>
    <d v="2026-05-24T15:17:54"/>
    <d v="2026-05-24T15:17:54"/>
    <s v="::ffff:127.0.0.1"/>
    <s v="Apache-HttpClient/4.5.14 (Java/21.0.11)"/>
    <d v="2026-05-24T15:17:54"/>
  </r>
  <r>
    <s v="cmpjx90qj00idw2rw0tfasmph"/>
    <x v="1"/>
    <s v="GET"/>
    <s v="/api/v1/aeronaves"/>
    <s v="/api/v1/aeronaves/"/>
    <x v="2"/>
    <n v="33.369999999999997"/>
    <d v="2026-05-24T15:17:54"/>
    <d v="2026-05-24T15:17:54"/>
    <s v="::ffff:127.0.0.1"/>
    <s v="Apache-HttpClient/4.5.14 (Java/21.0.11)"/>
    <d v="2026-05-24T15:17:54"/>
  </r>
  <r>
    <s v="cmpjx90qu00ifw2rwvqwvirct"/>
    <x v="1"/>
    <s v="GET"/>
    <s v="/api/v1/aeronaves"/>
    <s v="/api/v1/aeronaves/"/>
    <x v="2"/>
    <n v="34.36"/>
    <d v="2026-05-24T15:17:54"/>
    <d v="2026-05-24T15:17:54"/>
    <s v="::ffff:127.0.0.1"/>
    <s v="Apache-HttpClient/4.5.14 (Java/21.0.11)"/>
    <d v="2026-05-24T15:17:54"/>
  </r>
  <r>
    <s v="cmpjx90r700ihw2rwk4t8lpmu"/>
    <x v="1"/>
    <s v="GET"/>
    <s v="/api/v1/aeronaves"/>
    <s v="/api/v1/aeronaves/"/>
    <x v="2"/>
    <n v="27.95"/>
    <d v="2026-05-24T15:17:54"/>
    <d v="2026-05-24T15:17:54"/>
    <s v="::ffff:127.0.0.1"/>
    <s v="Apache-HttpClient/4.5.14 (Java/21.0.11)"/>
    <d v="2026-05-24T15:17:54"/>
  </r>
  <r>
    <s v="cmpjx90sb00itw2rwlzhpcqgz"/>
    <x v="1"/>
    <s v="GET"/>
    <s v="/api/v1/aeronaves"/>
    <s v="/api/v1/aeronaves/"/>
    <x v="2"/>
    <n v="22.19"/>
    <d v="2026-05-24T15:17:54"/>
    <d v="2026-05-24T15:17:54"/>
    <s v="::ffff:127.0.0.1"/>
    <s v="Apache-HttpClient/4.5.14 (Java/21.0.11)"/>
    <d v="2026-05-24T15:17:54"/>
  </r>
  <r>
    <s v="cmpjx90vu00jow2rwzz3lwizr"/>
    <x v="1"/>
    <s v="GET"/>
    <s v="/api/v1/aeronaves"/>
    <s v="/api/v1/aeronaves/"/>
    <x v="2"/>
    <n v="22.71"/>
    <d v="2026-05-24T15:17:54"/>
    <d v="2026-05-24T15:17:54"/>
    <s v="::ffff:127.0.0.1"/>
    <s v="Apache-HttpClient/4.5.14 (Java/21.0.11)"/>
    <d v="2026-05-24T15:17:54"/>
  </r>
  <r>
    <s v="cmpjx90wl00jqw2rwnwjyrn4s"/>
    <x v="1"/>
    <s v="GET"/>
    <s v="/api/v1/aeronaves"/>
    <s v="/api/v1/aeronaves/"/>
    <x v="2"/>
    <n v="40.57"/>
    <d v="2026-05-24T15:17:54"/>
    <d v="2026-05-24T15:17:54"/>
    <s v="::ffff:127.0.0.1"/>
    <s v="Apache-HttpClient/4.5.14 (Java/21.0.11)"/>
    <d v="2026-05-24T15:17:54"/>
  </r>
  <r>
    <s v="cmpjx90wt00jrw2rw50b8bci8"/>
    <x v="1"/>
    <s v="GET"/>
    <s v="/api/v1/aeronaves"/>
    <s v="/api/v1/aeronaves/"/>
    <x v="2"/>
    <n v="46.2"/>
    <d v="2026-05-24T15:17:54"/>
    <d v="2026-05-24T15:17:54"/>
    <s v="::ffff:127.0.0.1"/>
    <s v="Apache-HttpClient/4.5.14 (Java/21.0.11)"/>
    <d v="2026-05-24T15:17:54"/>
  </r>
  <r>
    <s v="cmpjx90xr00jvw2rwr3ajxrbu"/>
    <x v="1"/>
    <s v="GET"/>
    <s v="/api/v1/aeronaves"/>
    <s v="/api/v1/aeronaves/"/>
    <x v="2"/>
    <n v="39.380000000000003"/>
    <d v="2026-05-24T15:17:54"/>
    <d v="2026-05-24T15:17:54"/>
    <s v="::ffff:127.0.0.1"/>
    <s v="Apache-HttpClient/4.5.14 (Java/21.0.11)"/>
    <d v="2026-05-24T15:17:54"/>
  </r>
  <r>
    <s v="cmpjx910n00kbw2rw8n139f5v"/>
    <x v="1"/>
    <s v="GET"/>
    <s v="/api/v1/aeronaves"/>
    <s v="/api/v1/aeronaves/"/>
    <x v="2"/>
    <n v="68.8"/>
    <d v="2026-05-24T15:17:54"/>
    <d v="2026-05-24T15:17:54"/>
    <s v="::ffff:127.0.0.1"/>
    <s v="Apache-HttpClient/4.5.14 (Java/21.0.11)"/>
    <d v="2026-05-24T15:17:54"/>
  </r>
  <r>
    <s v="cmpjx913f00l0w2rw1c8tspku"/>
    <x v="1"/>
    <s v="GET"/>
    <s v="/api/v1/aeronaves"/>
    <s v="/api/v1/aeronaves/"/>
    <x v="2"/>
    <n v="16.66"/>
    <d v="2026-05-24T15:17:54"/>
    <d v="2026-05-24T15:17:55"/>
    <s v="::ffff:127.0.0.1"/>
    <s v="Apache-HttpClient/4.5.14 (Java/21.0.11)"/>
    <d v="2026-05-24T15:17:55"/>
  </r>
  <r>
    <s v="cmpjx913p00l3w2rwczu1wdn3"/>
    <x v="1"/>
    <s v="GET"/>
    <s v="/api/v1/aeronaves"/>
    <s v="/api/v1/aeronaves/"/>
    <x v="2"/>
    <n v="23.51"/>
    <d v="2026-05-24T15:17:54"/>
    <d v="2026-05-24T15:17:55"/>
    <s v="::ffff:127.0.0.1"/>
    <s v="Apache-HttpClient/4.5.14 (Java/21.0.11)"/>
    <d v="2026-05-24T15:17:55"/>
  </r>
  <r>
    <s v="cmpjx914g00l7w2rwur6fzqql"/>
    <x v="1"/>
    <s v="GET"/>
    <s v="/api/v1/aeronaves"/>
    <s v="/api/v1/aeronaves/"/>
    <x v="2"/>
    <n v="26.42"/>
    <d v="2026-05-24T15:17:55"/>
    <d v="2026-05-24T15:17:55"/>
    <s v="::ffff:127.0.0.1"/>
    <s v="Apache-HttpClient/4.5.14 (Java/21.0.11)"/>
    <d v="2026-05-24T15:17:55"/>
  </r>
  <r>
    <s v="cmpjx915u00lnw2rwesbzny31"/>
    <x v="1"/>
    <s v="GET"/>
    <s v="/api/v1/aeronaves"/>
    <s v="/api/v1/aeronaves/"/>
    <x v="2"/>
    <n v="16.989999999999998"/>
    <d v="2026-05-24T15:17:55"/>
    <d v="2026-05-24T15:17:55"/>
    <s v="::ffff:127.0.0.1"/>
    <s v="Apache-HttpClient/4.5.14 (Java/21.0.11)"/>
    <d v="2026-05-24T15:17:55"/>
  </r>
  <r>
    <s v="cmpjx917q00m5w2rw3hrq6cj2"/>
    <x v="1"/>
    <s v="GET"/>
    <s v="/api/v1/aeronaves"/>
    <s v="/api/v1/aeronaves/"/>
    <x v="2"/>
    <n v="24.21"/>
    <d v="2026-05-24T15:17:55"/>
    <d v="2026-05-24T15:17:55"/>
    <s v="::ffff:127.0.0.1"/>
    <s v="Apache-HttpClient/4.5.14 (Java/21.0.11)"/>
    <d v="2026-05-24T15:17:55"/>
  </r>
  <r>
    <s v="cmpjx918m00m8w2rwjvc7dvv8"/>
    <x v="1"/>
    <s v="GET"/>
    <s v="/api/v1/aeronaves"/>
    <s v="/api/v1/aeronaves/"/>
    <x v="2"/>
    <n v="27.68"/>
    <d v="2026-05-24T15:17:55"/>
    <d v="2026-05-24T15:17:55"/>
    <s v="::ffff:127.0.0.1"/>
    <s v="Apache-HttpClient/4.5.14 (Java/21.0.11)"/>
    <d v="2026-05-24T15:17:55"/>
  </r>
  <r>
    <s v="cmpjx919600mbw2rwshvwf8fo"/>
    <x v="1"/>
    <s v="GET"/>
    <s v="/api/v1/aeronaves"/>
    <s v="/api/v1/aeronaves/"/>
    <x v="2"/>
    <n v="27.04"/>
    <d v="2026-05-24T15:17:55"/>
    <d v="2026-05-24T15:17:55"/>
    <s v="::ffff:127.0.0.1"/>
    <s v="Apache-HttpClient/4.5.14 (Java/21.0.11)"/>
    <d v="2026-05-24T15:17:55"/>
  </r>
  <r>
    <s v="cmpjx91av00mow2rwcrfs3hcj"/>
    <x v="1"/>
    <s v="GET"/>
    <s v="/api/v1/aeronaves"/>
    <s v="/api/v1/aeronaves/"/>
    <x v="2"/>
    <n v="24.28"/>
    <d v="2026-05-24T15:17:55"/>
    <d v="2026-05-24T15:17:55"/>
    <s v="::ffff:127.0.0.1"/>
    <s v="Apache-HttpClient/4.5.14 (Java/21.0.11)"/>
    <d v="2026-05-24T15:17:55"/>
  </r>
  <r>
    <s v="cmpjx91dj00n9w2rwelizskgq"/>
    <x v="1"/>
    <s v="GET"/>
    <s v="/api/v1/aeronaves"/>
    <s v="/api/v1/aeronaves/"/>
    <x v="2"/>
    <n v="23.57"/>
    <d v="2026-05-24T15:17:55"/>
    <d v="2026-05-24T15:17:55"/>
    <s v="::ffff:127.0.0.1"/>
    <s v="Apache-HttpClient/4.5.14 (Java/21.0.11)"/>
    <d v="2026-05-24T15:17:55"/>
  </r>
  <r>
    <s v="cmpjx91eb00ndw2rwmneh6jwm"/>
    <x v="1"/>
    <s v="GET"/>
    <s v="/api/v1/aeronaves"/>
    <s v="/api/v1/aeronaves/"/>
    <x v="2"/>
    <n v="27.11"/>
    <d v="2026-05-24T15:17:55"/>
    <d v="2026-05-24T15:17:55"/>
    <s v="::ffff:127.0.0.1"/>
    <s v="Apache-HttpClient/4.5.14 (Java/21.0.11)"/>
    <d v="2026-05-24T15:17:55"/>
  </r>
  <r>
    <s v="cmpjx91g000nqw2rwy88kiycy"/>
    <x v="1"/>
    <s v="GET"/>
    <s v="/api/v1/aeronaves"/>
    <s v="/api/v1/aeronaves/"/>
    <x v="2"/>
    <n v="23.37"/>
    <d v="2026-05-24T15:17:55"/>
    <d v="2026-05-24T15:17:55"/>
    <s v="::ffff:127.0.0.1"/>
    <s v="Apache-HttpClient/4.5.14 (Java/21.0.11)"/>
    <d v="2026-05-24T15:17:55"/>
  </r>
  <r>
    <s v="cmpjx91hs00o4w2rw3z114bx2"/>
    <x v="1"/>
    <s v="GET"/>
    <s v="/api/v1/aeronaves"/>
    <s v="/api/v1/aeronaves/"/>
    <x v="2"/>
    <n v="22.11"/>
    <d v="2026-05-24T15:17:55"/>
    <d v="2026-05-24T15:17:55"/>
    <s v="::ffff:127.0.0.1"/>
    <s v="Apache-HttpClient/4.5.14 (Java/21.0.11)"/>
    <d v="2026-05-24T15:17:55"/>
  </r>
  <r>
    <s v="cmpjx91jy00oew2rwtll4f88g"/>
    <x v="1"/>
    <s v="GET"/>
    <s v="/api/v1/aeronaves"/>
    <s v="/api/v1/aeronaves/"/>
    <x v="2"/>
    <n v="30.37"/>
    <d v="2026-05-24T15:17:55"/>
    <d v="2026-05-24T15:17:55"/>
    <s v="::ffff:127.0.0.1"/>
    <s v="Apache-HttpClient/4.5.14 (Java/21.0.11)"/>
    <d v="2026-05-24T15:17:55"/>
  </r>
  <r>
    <s v="cmpjx91ld00oow2rws0rapioo"/>
    <x v="1"/>
    <s v="GET"/>
    <s v="/api/v1/aeronaves"/>
    <s v="/api/v1/aeronaves/"/>
    <x v="2"/>
    <n v="14.3"/>
    <d v="2026-05-24T15:17:55"/>
    <d v="2026-05-24T15:17:55"/>
    <s v="::ffff:127.0.0.1"/>
    <s v="Apache-HttpClient/4.5.14 (Java/21.0.11)"/>
    <d v="2026-05-24T15:17:55"/>
  </r>
  <r>
    <s v="cmpjx8zlb00b7w2rw222yci5x"/>
    <x v="2"/>
    <s v="GET"/>
    <s v="/api/v1/etapas"/>
    <s v="/api/v1/etapas/"/>
    <x v="2"/>
    <n v="6.77"/>
    <d v="2026-05-24T15:17:53"/>
    <d v="2026-05-24T15:17:53"/>
    <s v="::ffff:127.0.0.1"/>
    <s v="Apache-HttpClient/4.5.14 (Java/21.0.11)"/>
    <d v="2026-05-24T15:17:53"/>
  </r>
  <r>
    <s v="cmpjx8zo700bhw2rwqsr5z6mu"/>
    <x v="2"/>
    <s v="GET"/>
    <s v="/api/v1/etapas"/>
    <s v="/api/v1/etapas/"/>
    <x v="2"/>
    <n v="7.2"/>
    <d v="2026-05-24T15:17:53"/>
    <d v="2026-05-24T15:17:53"/>
    <s v="::ffff:127.0.0.1"/>
    <s v="Apache-HttpClient/4.5.14 (Java/21.0.11)"/>
    <d v="2026-05-24T15:17:53"/>
  </r>
  <r>
    <s v="cmpjx8zr600bsw2rw1igglg5e"/>
    <x v="2"/>
    <s v="GET"/>
    <s v="/api/v1/etapas"/>
    <s v="/api/v1/etapas/"/>
    <x v="2"/>
    <n v="16.11"/>
    <d v="2026-05-24T15:17:53"/>
    <d v="2026-05-24T15:17:53"/>
    <s v="::ffff:127.0.0.1"/>
    <s v="Apache-HttpClient/4.5.14 (Java/21.0.11)"/>
    <d v="2026-05-24T15:17:53"/>
  </r>
  <r>
    <s v="cmpjx8zri00buw2rwi5mqz0g5"/>
    <x v="2"/>
    <s v="GET"/>
    <s v="/api/v1/etapas"/>
    <s v="/api/v1/etapas/"/>
    <x v="2"/>
    <n v="10.33"/>
    <d v="2026-05-24T15:17:53"/>
    <d v="2026-05-24T15:17:53"/>
    <s v="::ffff:127.0.0.1"/>
    <s v="Apache-HttpClient/4.5.14 (Java/21.0.11)"/>
    <d v="2026-05-24T15:17:53"/>
  </r>
  <r>
    <s v="cmpjx8zuu00cbw2rw7abqqyr7"/>
    <x v="2"/>
    <s v="GET"/>
    <s v="/api/v1/etapas"/>
    <s v="/api/v1/etapas/"/>
    <x v="2"/>
    <n v="13.68"/>
    <d v="2026-05-24T15:17:53"/>
    <d v="2026-05-24T15:17:53"/>
    <s v="::ffff:127.0.0.1"/>
    <s v="Apache-HttpClient/4.5.14 (Java/21.0.11)"/>
    <d v="2026-05-24T15:17:53"/>
  </r>
  <r>
    <s v="cmpjx8zvw00cfw2rwkrvu1nva"/>
    <x v="2"/>
    <s v="GET"/>
    <s v="/api/v1/etapas"/>
    <s v="/api/v1/etapas/"/>
    <x v="2"/>
    <n v="16.809999999999999"/>
    <d v="2026-05-24T15:17:53"/>
    <d v="2026-05-24T15:17:53"/>
    <s v="::ffff:127.0.0.1"/>
    <s v="Apache-HttpClient/4.5.14 (Java/21.0.11)"/>
    <d v="2026-05-24T15:17:53"/>
  </r>
  <r>
    <s v="cmpjx8zxa00clw2rwl54il7sl"/>
    <x v="2"/>
    <s v="GET"/>
    <s v="/api/v1/etapas"/>
    <s v="/api/v1/etapas/"/>
    <x v="2"/>
    <n v="13.51"/>
    <d v="2026-05-24T15:17:53"/>
    <d v="2026-05-24T15:17:53"/>
    <s v="::ffff:127.0.0.1"/>
    <s v="Apache-HttpClient/4.5.14 (Java/21.0.11)"/>
    <d v="2026-05-24T15:17:53"/>
  </r>
  <r>
    <s v="cmpjx900b00d6w2rwjiplljsk"/>
    <x v="2"/>
    <s v="GET"/>
    <s v="/api/v1/etapas"/>
    <s v="/api/v1/etapas/"/>
    <x v="2"/>
    <n v="12.04"/>
    <d v="2026-05-24T15:17:53"/>
    <d v="2026-05-24T15:17:53"/>
    <s v="::ffff:127.0.0.1"/>
    <s v="Apache-HttpClient/4.5.14 (Java/21.0.11)"/>
    <d v="2026-05-24T15:17:53"/>
  </r>
  <r>
    <s v="cmpjx900f00d7w2rw8xavg6w1"/>
    <x v="2"/>
    <s v="GET"/>
    <s v="/api/v1/etapas"/>
    <s v="/api/v1/etapas/"/>
    <x v="2"/>
    <n v="11.31"/>
    <d v="2026-05-24T15:17:53"/>
    <d v="2026-05-24T15:17:53"/>
    <s v="::ffff:127.0.0.1"/>
    <s v="Apache-HttpClient/4.5.14 (Java/21.0.11)"/>
    <d v="2026-05-24T15:17:53"/>
  </r>
  <r>
    <s v="cmpjx901i00dcw2rwbnybvaqc"/>
    <x v="2"/>
    <s v="GET"/>
    <s v="/api/v1/etapas"/>
    <s v="/api/v1/etapas/"/>
    <x v="2"/>
    <n v="8.01"/>
    <d v="2026-05-24T15:17:53"/>
    <d v="2026-05-24T15:17:53"/>
    <s v="::ffff:127.0.0.1"/>
    <s v="Apache-HttpClient/4.5.14 (Java/21.0.11)"/>
    <d v="2026-05-24T15:17:53"/>
  </r>
  <r>
    <s v="cmpjx902l00dkw2rwgy9a275g"/>
    <x v="2"/>
    <s v="GET"/>
    <s v="/api/v1/etapas"/>
    <s v="/api/v1/etapas/"/>
    <x v="2"/>
    <n v="9.69"/>
    <d v="2026-05-24T15:17:53"/>
    <d v="2026-05-24T15:17:53"/>
    <s v="::ffff:127.0.0.1"/>
    <s v="Apache-HttpClient/4.5.14 (Java/21.0.11)"/>
    <d v="2026-05-24T15:17:53"/>
  </r>
  <r>
    <s v="cmpjx905t00e5w2rwxwascedd"/>
    <x v="2"/>
    <s v="GET"/>
    <s v="/api/v1/etapas"/>
    <s v="/api/v1/etapas/"/>
    <x v="2"/>
    <n v="13.17"/>
    <d v="2026-05-24T15:17:53"/>
    <d v="2026-05-24T15:17:53"/>
    <s v="::ffff:127.0.0.1"/>
    <s v="Apache-HttpClient/4.5.14 (Java/21.0.11)"/>
    <d v="2026-05-24T15:17:53"/>
  </r>
  <r>
    <s v="cmpjx906p00ebw2rwrk5wmgpa"/>
    <x v="2"/>
    <s v="GET"/>
    <s v="/api/v1/etapas"/>
    <s v="/api/v1/etapas/"/>
    <x v="2"/>
    <n v="13.01"/>
    <d v="2026-05-24T15:17:53"/>
    <d v="2026-05-24T15:17:53"/>
    <s v="::ffff:127.0.0.1"/>
    <s v="Apache-HttpClient/4.5.14 (Java/21.0.11)"/>
    <d v="2026-05-24T15:17:53"/>
  </r>
  <r>
    <s v="cmpjx907v00ehw2rw79pc28o7"/>
    <x v="2"/>
    <s v="GET"/>
    <s v="/api/v1/etapas"/>
    <s v="/api/v1/etapas/"/>
    <x v="2"/>
    <n v="14.79"/>
    <d v="2026-05-24T15:17:53"/>
    <d v="2026-05-24T15:17:53"/>
    <s v="::ffff:127.0.0.1"/>
    <s v="Apache-HttpClient/4.5.14 (Java/21.0.11)"/>
    <d v="2026-05-24T15:17:53"/>
  </r>
  <r>
    <s v="cmpjx908b00ejw2rw0h244xlz"/>
    <x v="2"/>
    <s v="GET"/>
    <s v="/api/v1/etapas"/>
    <s v="/api/v1/etapas/"/>
    <x v="2"/>
    <n v="11.94"/>
    <d v="2026-05-24T15:17:53"/>
    <d v="2026-05-24T15:17:53"/>
    <s v="::ffff:127.0.0.1"/>
    <s v="Apache-HttpClient/4.5.14 (Java/21.0.11)"/>
    <d v="2026-05-24T15:17:53"/>
  </r>
  <r>
    <s v="cmpjx909600eqw2rw3487jue3"/>
    <x v="2"/>
    <s v="GET"/>
    <s v="/api/v1/etapas"/>
    <s v="/api/v1/etapas/"/>
    <x v="2"/>
    <n v="8.61"/>
    <d v="2026-05-24T15:17:53"/>
    <d v="2026-05-24T15:17:53"/>
    <s v="::ffff:127.0.0.1"/>
    <s v="Apache-HttpClient/4.5.14 (Java/21.0.11)"/>
    <d v="2026-05-24T15:17:53"/>
  </r>
  <r>
    <s v="cmpjx90c700fjw2rw770kq3wq"/>
    <x v="2"/>
    <s v="GET"/>
    <s v="/api/v1/etapas"/>
    <s v="/api/v1/etapas/"/>
    <x v="2"/>
    <n v="10.84"/>
    <d v="2026-05-24T15:17:54"/>
    <d v="2026-05-24T15:17:54"/>
    <s v="::ffff:127.0.0.1"/>
    <s v="Apache-HttpClient/4.5.14 (Java/21.0.11)"/>
    <d v="2026-05-24T15:17:54"/>
  </r>
  <r>
    <s v="cmpjx90d600fqw2rwoae9wbbh"/>
    <x v="2"/>
    <s v="GET"/>
    <s v="/api/v1/etapas"/>
    <s v="/api/v1/etapas/"/>
    <x v="2"/>
    <n v="17.829999999999998"/>
    <d v="2026-05-24T15:17:54"/>
    <d v="2026-05-24T15:17:54"/>
    <s v="::ffff:127.0.0.1"/>
    <s v="Apache-HttpClient/4.5.14 (Java/21.0.11)"/>
    <d v="2026-05-24T15:17:54"/>
  </r>
  <r>
    <s v="cmpjx90dq00fuw2rwi6456hk0"/>
    <x v="2"/>
    <s v="GET"/>
    <s v="/api/v1/etapas"/>
    <s v="/api/v1/etapas/"/>
    <x v="2"/>
    <n v="18.690000000000001"/>
    <d v="2026-05-24T15:17:54"/>
    <d v="2026-05-24T15:17:54"/>
    <s v="::ffff:127.0.0.1"/>
    <s v="Apache-HttpClient/4.5.14 (Java/21.0.11)"/>
    <d v="2026-05-24T15:17:54"/>
  </r>
  <r>
    <s v="cmpjx90dy00fww2rwk68srl7z"/>
    <x v="2"/>
    <s v="GET"/>
    <s v="/api/v1/etapas"/>
    <s v="/api/v1/etapas/"/>
    <x v="2"/>
    <n v="6.59"/>
    <d v="2026-05-24T15:17:54"/>
    <d v="2026-05-24T15:17:54"/>
    <s v="::ffff:127.0.0.1"/>
    <s v="Apache-HttpClient/4.5.14 (Java/21.0.11)"/>
    <d v="2026-05-24T15:17:54"/>
  </r>
  <r>
    <s v="cmpjx90ey00g6w2rwwph9ctn0"/>
    <x v="2"/>
    <s v="GET"/>
    <s v="/api/v1/etapas"/>
    <s v="/api/v1/etapas/"/>
    <x v="2"/>
    <n v="9.67"/>
    <d v="2026-05-24T15:17:54"/>
    <d v="2026-05-24T15:17:54"/>
    <s v="::ffff:127.0.0.1"/>
    <s v="Apache-HttpClient/4.5.14 (Java/21.0.11)"/>
    <d v="2026-05-24T15:17:54"/>
  </r>
  <r>
    <s v="cmpjx90i800gyw2rw6lnss1j6"/>
    <x v="2"/>
    <s v="GET"/>
    <s v="/api/v1/etapas"/>
    <s v="/api/v1/etapas/"/>
    <x v="2"/>
    <n v="13.91"/>
    <d v="2026-05-24T15:17:54"/>
    <d v="2026-05-24T15:17:54"/>
    <s v="::ffff:127.0.0.1"/>
    <s v="Apache-HttpClient/4.5.14 (Java/21.0.11)"/>
    <d v="2026-05-24T15:17:54"/>
  </r>
  <r>
    <s v="cmpjx90js00h4w2rw4pyuavzv"/>
    <x v="2"/>
    <s v="GET"/>
    <s v="/api/v1/etapas"/>
    <s v="/api/v1/etapas/"/>
    <x v="2"/>
    <n v="25.13"/>
    <d v="2026-05-24T15:17:54"/>
    <d v="2026-05-24T15:17:54"/>
    <s v="::ffff:127.0.0.1"/>
    <s v="Apache-HttpClient/4.5.14 (Java/21.0.11)"/>
    <d v="2026-05-24T15:17:54"/>
  </r>
  <r>
    <s v="cmpjx90k800h7w2rw0qz8f74s"/>
    <x v="2"/>
    <s v="GET"/>
    <s v="/api/v1/etapas"/>
    <s v="/api/v1/etapas/"/>
    <x v="2"/>
    <n v="12.04"/>
    <d v="2026-05-24T15:17:54"/>
    <d v="2026-05-24T15:17:54"/>
    <s v="::ffff:127.0.0.1"/>
    <s v="Apache-HttpClient/4.5.14 (Java/21.0.11)"/>
    <d v="2026-05-24T15:17:54"/>
  </r>
  <r>
    <s v="cmpjx90ke00h9w2rwot20rzgk"/>
    <x v="2"/>
    <s v="GET"/>
    <s v="/api/v1/etapas"/>
    <s v="/api/v1/etapas/"/>
    <x v="2"/>
    <n v="13.78"/>
    <d v="2026-05-24T15:17:54"/>
    <d v="2026-05-24T15:17:54"/>
    <s v="::ffff:127.0.0.1"/>
    <s v="Apache-HttpClient/4.5.14 (Java/21.0.11)"/>
    <d v="2026-05-24T15:17:54"/>
  </r>
  <r>
    <s v="cmpjx90m200hkw2rwchn5lo8w"/>
    <x v="2"/>
    <s v="GET"/>
    <s v="/api/v1/etapas"/>
    <s v="/api/v1/etapas/"/>
    <x v="2"/>
    <n v="8.44"/>
    <d v="2026-05-24T15:17:54"/>
    <d v="2026-05-24T15:17:54"/>
    <s v="::ffff:127.0.0.1"/>
    <s v="Apache-HttpClient/4.5.14 (Java/21.0.11)"/>
    <d v="2026-05-24T15:17:54"/>
  </r>
  <r>
    <s v="cmpjx90qn00iew2rwvpj1sn8n"/>
    <x v="2"/>
    <s v="GET"/>
    <s v="/api/v1/etapas"/>
    <s v="/api/v1/etapas/"/>
    <x v="2"/>
    <n v="16.64"/>
    <d v="2026-05-24T15:17:54"/>
    <d v="2026-05-24T15:17:54"/>
    <s v="::ffff:127.0.0.1"/>
    <s v="Apache-HttpClient/4.5.14 (Java/21.0.11)"/>
    <d v="2026-05-24T15:17:54"/>
  </r>
  <r>
    <s v="cmpjx90rb00ijw2rw6tg1eunb"/>
    <x v="2"/>
    <s v="GET"/>
    <s v="/api/v1/etapas"/>
    <s v="/api/v1/etapas/"/>
    <x v="2"/>
    <n v="13.33"/>
    <d v="2026-05-24T15:17:54"/>
    <d v="2026-05-24T15:17:54"/>
    <s v="::ffff:127.0.0.1"/>
    <s v="Apache-HttpClient/4.5.14 (Java/21.0.11)"/>
    <d v="2026-05-24T15:17:54"/>
  </r>
  <r>
    <s v="cmpjx90rf00ikw2rwpc3xx08b"/>
    <x v="2"/>
    <s v="GET"/>
    <s v="/api/v1/etapas"/>
    <s v="/api/v1/etapas/"/>
    <x v="2"/>
    <n v="11.87"/>
    <d v="2026-05-24T15:17:54"/>
    <d v="2026-05-24T15:17:54"/>
    <s v="::ffff:127.0.0.1"/>
    <s v="Apache-HttpClient/4.5.14 (Java/21.0.11)"/>
    <d v="2026-05-24T15:17:54"/>
  </r>
  <r>
    <s v="cmpjx90ro00iow2rwic1jmddq"/>
    <x v="2"/>
    <s v="GET"/>
    <s v="/api/v1/etapas"/>
    <s v="/api/v1/etapas/"/>
    <x v="2"/>
    <n v="8.18"/>
    <d v="2026-05-24T15:17:54"/>
    <d v="2026-05-24T15:17:54"/>
    <s v="::ffff:127.0.0.1"/>
    <s v="Apache-HttpClient/4.5.14 (Java/21.0.11)"/>
    <d v="2026-05-24T15:17:54"/>
  </r>
  <r>
    <s v="cmpjx90st00izw2rwr2olupre"/>
    <x v="2"/>
    <s v="GET"/>
    <s v="/api/v1/etapas"/>
    <s v="/api/v1/etapas/"/>
    <x v="2"/>
    <n v="12.17"/>
    <d v="2026-05-24T15:17:54"/>
    <d v="2026-05-24T15:17:54"/>
    <s v="::ffff:127.0.0.1"/>
    <s v="Apache-HttpClient/4.5.14 (Java/21.0.11)"/>
    <d v="2026-05-24T15:17:54"/>
  </r>
  <r>
    <s v="cmpjx90x000jtw2rwzme9apgx"/>
    <x v="2"/>
    <s v="GET"/>
    <s v="/api/v1/etapas"/>
    <s v="/api/v1/etapas/"/>
    <x v="2"/>
    <n v="27.8"/>
    <d v="2026-05-24T15:17:54"/>
    <d v="2026-05-24T15:17:54"/>
    <s v="::ffff:127.0.0.1"/>
    <s v="Apache-HttpClient/4.5.14 (Java/21.0.11)"/>
    <d v="2026-05-24T15:17:54"/>
  </r>
  <r>
    <s v="cmpjx90xi00juw2rwmpzfs9xs"/>
    <x v="2"/>
    <s v="GET"/>
    <s v="/api/v1/etapas"/>
    <s v="/api/v1/etapas/"/>
    <x v="2"/>
    <n v="11.25"/>
    <d v="2026-05-24T15:17:54"/>
    <d v="2026-05-24T15:17:54"/>
    <s v="::ffff:127.0.0.1"/>
    <s v="Apache-HttpClient/4.5.14 (Java/21.0.11)"/>
    <d v="2026-05-24T15:17:54"/>
  </r>
  <r>
    <s v="cmpjx90y100jyw2rwyixg2w4l"/>
    <x v="2"/>
    <s v="GET"/>
    <s v="/api/v1/etapas"/>
    <s v="/api/v1/etapas/"/>
    <x v="2"/>
    <n v="24.93"/>
    <d v="2026-05-24T15:17:54"/>
    <d v="2026-05-24T15:17:54"/>
    <s v="::ffff:127.0.0.1"/>
    <s v="Apache-HttpClient/4.5.14 (Java/21.0.11)"/>
    <d v="2026-05-24T15:17:54"/>
  </r>
  <r>
    <s v="cmpjx90ye00k0w2rwnihud54n"/>
    <x v="2"/>
    <s v="GET"/>
    <s v="/api/v1/etapas"/>
    <s v="/api/v1/etapas/"/>
    <x v="2"/>
    <n v="9.41"/>
    <d v="2026-05-24T15:17:54"/>
    <d v="2026-05-24T15:17:54"/>
    <s v="::ffff:127.0.0.1"/>
    <s v="Apache-HttpClient/4.5.14 (Java/21.0.11)"/>
    <d v="2026-05-24T15:17:54"/>
  </r>
  <r>
    <s v="cmpjx911b00kgw2rwrqjyuxs3"/>
    <x v="2"/>
    <s v="GET"/>
    <s v="/api/v1/etapas"/>
    <s v="/api/v1/etapas/"/>
    <x v="2"/>
    <n v="14.76"/>
    <d v="2026-05-24T15:17:54"/>
    <d v="2026-05-24T15:17:54"/>
    <s v="::ffff:127.0.0.1"/>
    <s v="Apache-HttpClient/4.5.14 (Java/21.0.11)"/>
    <d v="2026-05-24T15:17:54"/>
  </r>
  <r>
    <s v="cmpjx914000l4w2rw8jqjcbri"/>
    <x v="2"/>
    <s v="GET"/>
    <s v="/api/v1/etapas"/>
    <s v="/api/v1/etapas/"/>
    <x v="2"/>
    <n v="9.19"/>
    <d v="2026-05-24T15:17:55"/>
    <d v="2026-05-24T15:17:55"/>
    <s v="::ffff:127.0.0.1"/>
    <s v="Apache-HttpClient/4.5.14 (Java/21.0.11)"/>
    <d v="2026-05-24T15:17:55"/>
  </r>
  <r>
    <s v="cmpjx914500l6w2rwpwhmmtuw"/>
    <x v="2"/>
    <s v="GET"/>
    <s v="/api/v1/etapas"/>
    <s v="/api/v1/etapas/"/>
    <x v="2"/>
    <n v="11.07"/>
    <d v="2026-05-24T15:17:55"/>
    <d v="2026-05-24T15:17:55"/>
    <s v="::ffff:127.0.0.1"/>
    <s v="Apache-HttpClient/4.5.14 (Java/21.0.11)"/>
    <d v="2026-05-24T15:17:55"/>
  </r>
  <r>
    <s v="cmpjx914s00lbw2rwhpd9jyz1"/>
    <x v="2"/>
    <s v="GET"/>
    <s v="/api/v1/etapas"/>
    <s v="/api/v1/etapas/"/>
    <x v="2"/>
    <n v="7.7"/>
    <d v="2026-05-24T15:17:55"/>
    <d v="2026-05-24T15:17:55"/>
    <s v="::ffff:127.0.0.1"/>
    <s v="Apache-HttpClient/4.5.14 (Java/21.0.11)"/>
    <d v="2026-05-24T15:17:55"/>
  </r>
  <r>
    <s v="cmpjx916300lpw2rwt221dtn2"/>
    <x v="2"/>
    <s v="GET"/>
    <s v="/api/v1/etapas"/>
    <s v="/api/v1/etapas/"/>
    <x v="2"/>
    <n v="6.26"/>
    <d v="2026-05-24T15:17:55"/>
    <d v="2026-05-24T15:17:55"/>
    <s v="::ffff:127.0.0.1"/>
    <s v="Apache-HttpClient/4.5.14 (Java/21.0.11)"/>
    <d v="2026-05-24T15:17:55"/>
  </r>
  <r>
    <s v="cmpjx918b00m7w2rwklosz6ye"/>
    <x v="2"/>
    <s v="GET"/>
    <s v="/api/v1/etapas"/>
    <s v="/api/v1/etapas/"/>
    <x v="2"/>
    <n v="14.59"/>
    <d v="2026-05-24T15:17:55"/>
    <d v="2026-05-24T15:17:55"/>
    <s v="::ffff:127.0.0.1"/>
    <s v="Apache-HttpClient/4.5.14 (Java/21.0.11)"/>
    <d v="2026-05-24T15:17:55"/>
  </r>
  <r>
    <s v="cmpjx919800mcw2rw4z7folk4"/>
    <x v="2"/>
    <s v="GET"/>
    <s v="/api/v1/etapas"/>
    <s v="/api/v1/etapas/"/>
    <x v="2"/>
    <n v="12.6"/>
    <d v="2026-05-24T15:17:55"/>
    <d v="2026-05-24T15:17:55"/>
    <s v="::ffff:127.0.0.1"/>
    <s v="Apache-HttpClient/4.5.14 (Java/21.0.11)"/>
    <d v="2026-05-24T15:17:55"/>
  </r>
  <r>
    <s v="cmpjx919w00miw2rw4eg1ela1"/>
    <x v="2"/>
    <s v="GET"/>
    <s v="/api/v1/etapas"/>
    <s v="/api/v1/etapas/"/>
    <x v="2"/>
    <n v="8.31"/>
    <d v="2026-05-24T15:17:55"/>
    <d v="2026-05-24T15:17:55"/>
    <s v="::ffff:127.0.0.1"/>
    <s v="Apache-HttpClient/4.5.14 (Java/21.0.11)"/>
    <d v="2026-05-24T15:17:55"/>
  </r>
  <r>
    <s v="cmpjx91bj00mtw2rwz4qx1lae"/>
    <x v="2"/>
    <s v="GET"/>
    <s v="/api/v1/etapas"/>
    <s v="/api/v1/etapas/"/>
    <x v="2"/>
    <n v="11.92"/>
    <d v="2026-05-24T15:17:55"/>
    <d v="2026-05-24T15:17:55"/>
    <s v="::ffff:127.0.0.1"/>
    <s v="Apache-HttpClient/4.5.14 (Java/21.0.11)"/>
    <d v="2026-05-24T15:17:55"/>
  </r>
  <r>
    <s v="cmpjx91e700ncw2rwi6m7sm4k"/>
    <x v="2"/>
    <s v="GET"/>
    <s v="/api/v1/etapas"/>
    <s v="/api/v1/etapas/"/>
    <x v="2"/>
    <n v="15.91"/>
    <d v="2026-05-24T15:17:55"/>
    <d v="2026-05-24T15:17:55"/>
    <s v="::ffff:127.0.0.1"/>
    <s v="Apache-HttpClient/4.5.14 (Java/21.0.11)"/>
    <d v="2026-05-24T15:17:55"/>
  </r>
  <r>
    <s v="cmpjx91ej00nfw2rwr19fpkpt"/>
    <x v="2"/>
    <s v="GET"/>
    <s v="/api/v1/etapas"/>
    <s v="/api/v1/etapas/"/>
    <x v="2"/>
    <n v="5.32"/>
    <d v="2026-05-24T15:17:55"/>
    <d v="2026-05-24T15:17:55"/>
    <s v="::ffff:127.0.0.1"/>
    <s v="Apache-HttpClient/4.5.14 (Java/21.0.11)"/>
    <d v="2026-05-24T15:17:55"/>
  </r>
  <r>
    <s v="cmpjx91gc00nsw2rwv2idmaea"/>
    <x v="2"/>
    <s v="GET"/>
    <s v="/api/v1/etapas"/>
    <s v="/api/v1/etapas/"/>
    <x v="2"/>
    <n v="6.79"/>
    <d v="2026-05-24T15:17:55"/>
    <d v="2026-05-24T15:17:55"/>
    <s v="::ffff:127.0.0.1"/>
    <s v="Apache-HttpClient/4.5.14 (Java/21.0.11)"/>
    <d v="2026-05-24T15:17:55"/>
  </r>
  <r>
    <s v="cmpjx91i200o5w2rwmeeo9vyv"/>
    <x v="2"/>
    <s v="GET"/>
    <s v="/api/v1/etapas"/>
    <s v="/api/v1/etapas/"/>
    <x v="2"/>
    <n v="6.78"/>
    <d v="2026-05-24T15:17:55"/>
    <d v="2026-05-24T15:17:55"/>
    <s v="::ffff:127.0.0.1"/>
    <s v="Apache-HttpClient/4.5.14 (Java/21.0.11)"/>
    <d v="2026-05-24T15:17:55"/>
  </r>
  <r>
    <s v="cmpjx91kc00ogw2rwwltss5by"/>
    <x v="2"/>
    <s v="GET"/>
    <s v="/api/v1/etapas"/>
    <s v="/api/v1/etapas/"/>
    <x v="2"/>
    <n v="7.99"/>
    <d v="2026-05-24T15:17:55"/>
    <d v="2026-05-24T15:17:55"/>
    <s v="::ffff:127.0.0.1"/>
    <s v="Apache-HttpClient/4.5.14 (Java/21.0.11)"/>
    <d v="2026-05-24T15:17:55"/>
  </r>
  <r>
    <s v="cmpjx91lm00opw2rwllcbtbts"/>
    <x v="2"/>
    <s v="GET"/>
    <s v="/api/v1/etapas"/>
    <s v="/api/v1/etapas/"/>
    <x v="2"/>
    <n v="5.81"/>
    <d v="2026-05-24T15:17:55"/>
    <d v="2026-05-24T15:17:55"/>
    <s v="::ffff:127.0.0.1"/>
    <s v="Apache-HttpClient/4.5.14 (Java/21.0.11)"/>
    <d v="2026-05-24T15:17:55"/>
  </r>
  <r>
    <s v="cmpjx8zlh00b8w2rwc2hjw2ah"/>
    <x v="3"/>
    <s v="GET"/>
    <s v="/api/v1/funcionarios"/>
    <s v="/api/v1/funcionarios/"/>
    <x v="2"/>
    <n v="4.16"/>
    <d v="2026-05-24T15:17:53"/>
    <d v="2026-05-24T15:17:53"/>
    <s v="::ffff:127.0.0.1"/>
    <s v="Apache-HttpClient/4.5.14 (Java/21.0.11)"/>
    <d v="2026-05-24T15:17:53"/>
  </r>
  <r>
    <s v="cmpjx8zoe00biw2rw4lajyzi8"/>
    <x v="3"/>
    <s v="GET"/>
    <s v="/api/v1/funcionarios"/>
    <s v="/api/v1/funcionarios/"/>
    <x v="2"/>
    <n v="4.53"/>
    <d v="2026-05-24T15:17:53"/>
    <d v="2026-05-24T15:17:53"/>
    <s v="::ffff:127.0.0.1"/>
    <s v="Apache-HttpClient/4.5.14 (Java/21.0.11)"/>
    <d v="2026-05-24T15:17:53"/>
  </r>
  <r>
    <s v="cmpjx8zre00btw2rwvoalfv5i"/>
    <x v="3"/>
    <s v="GET"/>
    <s v="/api/v1/funcionarios"/>
    <s v="/api/v1/funcionarios/"/>
    <x v="2"/>
    <n v="5.35"/>
    <d v="2026-05-24T15:17:53"/>
    <d v="2026-05-24T15:17:53"/>
    <s v="::ffff:127.0.0.1"/>
    <s v="Apache-HttpClient/4.5.14 (Java/21.0.11)"/>
    <d v="2026-05-24T15:17:53"/>
  </r>
  <r>
    <s v="cmpjx8zru00bww2rwo2gs4s2t"/>
    <x v="3"/>
    <s v="GET"/>
    <s v="/api/v1/funcionarios"/>
    <s v="/api/v1/funcionarios/"/>
    <x v="2"/>
    <n v="8.25"/>
    <d v="2026-05-24T15:17:53"/>
    <d v="2026-05-24T15:17:53"/>
    <s v="::ffff:127.0.0.1"/>
    <s v="Apache-HttpClient/4.5.14 (Java/21.0.11)"/>
    <d v="2026-05-24T15:17:53"/>
  </r>
  <r>
    <s v="cmpjx8zvd00cdw2rw2vr02gdn"/>
    <x v="3"/>
    <s v="GET"/>
    <s v="/api/v1/funcionarios"/>
    <s v="/api/v1/funcionarios/"/>
    <x v="2"/>
    <n v="9.9"/>
    <d v="2026-05-24T15:17:53"/>
    <d v="2026-05-24T15:17:53"/>
    <s v="::ffff:127.0.0.1"/>
    <s v="Apache-HttpClient/4.5.14 (Java/21.0.11)"/>
    <d v="2026-05-24T15:17:53"/>
  </r>
  <r>
    <s v="cmpjx8zwj00chw2rwevr3pmsg"/>
    <x v="3"/>
    <s v="GET"/>
    <s v="/api/v1/funcionarios"/>
    <s v="/api/v1/funcionarios/"/>
    <x v="2"/>
    <n v="11.94"/>
    <d v="2026-05-24T15:17:53"/>
    <d v="2026-05-24T15:17:53"/>
    <s v="::ffff:127.0.0.1"/>
    <s v="Apache-HttpClient/4.5.14 (Java/21.0.11)"/>
    <d v="2026-05-24T15:17:53"/>
  </r>
  <r>
    <s v="cmpjx8zxj00cnw2rw5oq7mts3"/>
    <x v="3"/>
    <s v="GET"/>
    <s v="/api/v1/funcionarios"/>
    <s v="/api/v1/funcionarios/"/>
    <x v="2"/>
    <n v="4.47"/>
    <d v="2026-05-24T15:17:53"/>
    <d v="2026-05-24T15:17:53"/>
    <s v="::ffff:127.0.0.1"/>
    <s v="Apache-HttpClient/4.5.14 (Java/21.0.11)"/>
    <d v="2026-05-24T15:17:53"/>
  </r>
  <r>
    <s v="cmpjx900x00d8w2rw4es414j1"/>
    <x v="3"/>
    <s v="GET"/>
    <s v="/api/v1/funcionarios"/>
    <s v="/api/v1/funcionarios/"/>
    <x v="2"/>
    <n v="11.86"/>
    <d v="2026-05-24T15:17:53"/>
    <d v="2026-05-24T15:17:53"/>
    <s v="::ffff:127.0.0.1"/>
    <s v="Apache-HttpClient/4.5.14 (Java/21.0.11)"/>
    <d v="2026-05-24T15:17:53"/>
  </r>
  <r>
    <s v="cmpjx901800daw2rw1i0azr5x"/>
    <x v="3"/>
    <s v="GET"/>
    <s v="/api/v1/funcionarios"/>
    <s v="/api/v1/funcionarios/"/>
    <x v="2"/>
    <n v="21.38"/>
    <d v="2026-05-24T15:17:53"/>
    <d v="2026-05-24T15:17:53"/>
    <s v="::ffff:127.0.0.1"/>
    <s v="Apache-HttpClient/4.5.14 (Java/21.0.11)"/>
    <d v="2026-05-24T15:17:53"/>
  </r>
  <r>
    <s v="cmpjx902500dgw2rw2c2r4q97"/>
    <x v="3"/>
    <s v="GET"/>
    <s v="/api/v1/funcionarios"/>
    <s v="/api/v1/funcionarios/"/>
    <x v="2"/>
    <n v="14.06"/>
    <d v="2026-05-24T15:17:53"/>
    <d v="2026-05-24T15:17:53"/>
    <s v="::ffff:127.0.0.1"/>
    <s v="Apache-HttpClient/4.5.14 (Java/21.0.11)"/>
    <d v="2026-05-24T15:17:53"/>
  </r>
  <r>
    <s v="cmpjx902x00dnw2rwxnu8i08m"/>
    <x v="3"/>
    <s v="GET"/>
    <s v="/api/v1/funcionarios"/>
    <s v="/api/v1/funcionarios/"/>
    <x v="2"/>
    <n v="5.38"/>
    <d v="2026-05-24T15:17:53"/>
    <d v="2026-05-24T15:17:53"/>
    <s v="::ffff:127.0.0.1"/>
    <s v="Apache-HttpClient/4.5.14 (Java/21.0.11)"/>
    <d v="2026-05-24T15:17:53"/>
  </r>
  <r>
    <s v="cmpjx906a00e9w2rw35t4sig5"/>
    <x v="3"/>
    <s v="GET"/>
    <s v="/api/v1/funcionarios"/>
    <s v="/api/v1/funcionarios/"/>
    <x v="2"/>
    <n v="8.15"/>
    <d v="2026-05-24T15:17:53"/>
    <d v="2026-05-24T15:17:53"/>
    <s v="::ffff:127.0.0.1"/>
    <s v="Apache-HttpClient/4.5.14 (Java/21.0.11)"/>
    <d v="2026-05-24T15:17:53"/>
  </r>
  <r>
    <s v="cmpjx907r00egw2rwh6y3dnso"/>
    <x v="3"/>
    <s v="GET"/>
    <s v="/api/v1/funcionarios"/>
    <s v="/api/v1/funcionarios/"/>
    <x v="2"/>
    <n v="15.38"/>
    <d v="2026-05-24T15:17:53"/>
    <d v="2026-05-24T15:17:53"/>
    <s v="::ffff:127.0.0.1"/>
    <s v="Apache-HttpClient/4.5.14 (Java/21.0.11)"/>
    <d v="2026-05-24T15:17:53"/>
  </r>
  <r>
    <s v="cmpjx908o00emw2rw1rx09ds0"/>
    <x v="3"/>
    <s v="GET"/>
    <s v="/api/v1/funcionarios"/>
    <s v="/api/v1/funcionarios/"/>
    <x v="2"/>
    <n v="19.41"/>
    <d v="2026-05-24T15:17:53"/>
    <d v="2026-05-24T15:17:53"/>
    <s v="::ffff:127.0.0.1"/>
    <s v="Apache-HttpClient/4.5.14 (Java/21.0.11)"/>
    <d v="2026-05-24T15:17:53"/>
  </r>
  <r>
    <s v="cmpjx909200eow2rw823e73rb"/>
    <x v="3"/>
    <s v="GET"/>
    <s v="/api/v1/funcionarios"/>
    <s v="/api/v1/funcionarios/"/>
    <x v="2"/>
    <n v="5.37"/>
    <d v="2026-05-24T15:17:53"/>
    <d v="2026-05-24T15:17:53"/>
    <s v="::ffff:127.0.0.1"/>
    <s v="Apache-HttpClient/4.5.14 (Java/21.0.11)"/>
    <d v="2026-05-24T15:17:53"/>
  </r>
  <r>
    <s v="cmpjx909h00euw2rwwiutb0ll"/>
    <x v="3"/>
    <s v="GET"/>
    <s v="/api/v1/funcionarios"/>
    <s v="/api/v1/funcionarios/"/>
    <x v="2"/>
    <n v="6.33"/>
    <d v="2026-05-24T15:17:53"/>
    <d v="2026-05-24T15:17:53"/>
    <s v="::ffff:127.0.0.1"/>
    <s v="Apache-HttpClient/4.5.14 (Java/21.0.11)"/>
    <d v="2026-05-24T15:17:53"/>
  </r>
  <r>
    <s v="cmpjx90cn00fnw2rw1ocycpgs"/>
    <x v="3"/>
    <s v="GET"/>
    <s v="/api/v1/funcionarios"/>
    <s v="/api/v1/funcionarios/"/>
    <x v="2"/>
    <n v="7.77"/>
    <d v="2026-05-24T15:17:54"/>
    <d v="2026-05-24T15:17:54"/>
    <s v="::ffff:127.0.0.1"/>
    <s v="Apache-HttpClient/4.5.14 (Java/21.0.11)"/>
    <d v="2026-05-24T15:17:54"/>
  </r>
  <r>
    <s v="cmpjx90du00fvw2rwlyc77nxw"/>
    <x v="3"/>
    <s v="GET"/>
    <s v="/api/v1/funcionarios"/>
    <s v="/api/v1/funcionarios/"/>
    <x v="2"/>
    <n v="8.66"/>
    <d v="2026-05-24T15:17:54"/>
    <d v="2026-05-24T15:17:54"/>
    <s v="::ffff:127.0.0.1"/>
    <s v="Apache-HttpClient/4.5.14 (Java/21.0.11)"/>
    <d v="2026-05-24T15:17:54"/>
  </r>
  <r>
    <s v="cmpjx90e600fyw2rw393f5uoj"/>
    <x v="3"/>
    <s v="GET"/>
    <s v="/api/v1/funcionarios"/>
    <s v="/api/v1/funcionarios/"/>
    <x v="2"/>
    <n v="10.26"/>
    <d v="2026-05-24T15:17:54"/>
    <d v="2026-05-24T15:17:54"/>
    <s v="::ffff:127.0.0.1"/>
    <s v="Apache-HttpClient/4.5.14 (Java/21.0.11)"/>
    <d v="2026-05-24T15:17:54"/>
  </r>
  <r>
    <s v="cmpjx90ej00g1w2rw1x1i889c"/>
    <x v="3"/>
    <s v="GET"/>
    <s v="/api/v1/funcionarios"/>
    <s v="/api/v1/funcionarios/"/>
    <x v="2"/>
    <n v="11.04"/>
    <d v="2026-05-24T15:17:54"/>
    <d v="2026-05-24T15:17:54"/>
    <s v="::ffff:127.0.0.1"/>
    <s v="Apache-HttpClient/4.5.14 (Java/21.0.11)"/>
    <d v="2026-05-24T15:17:54"/>
  </r>
  <r>
    <s v="cmpjx90fd00gaw2rwfzbgkuy4"/>
    <x v="3"/>
    <s v="GET"/>
    <s v="/api/v1/funcionarios"/>
    <s v="/api/v1/funcionarios/"/>
    <x v="2"/>
    <n v="7.2"/>
    <d v="2026-05-24T15:17:54"/>
    <d v="2026-05-24T15:17:54"/>
    <s v="::ffff:127.0.0.1"/>
    <s v="Apache-HttpClient/4.5.14 (Java/21.0.11)"/>
    <d v="2026-05-24T15:17:54"/>
  </r>
  <r>
    <s v="cmpjx90jf00h2w2rw5moauupi"/>
    <x v="3"/>
    <s v="GET"/>
    <s v="/api/v1/funcionarios"/>
    <s v="/api/v1/funcionarios/"/>
    <x v="2"/>
    <n v="19.16"/>
    <d v="2026-05-24T15:17:54"/>
    <d v="2026-05-24T15:17:54"/>
    <s v="::ffff:127.0.0.1"/>
    <s v="Apache-HttpClient/4.5.14 (Java/21.0.11)"/>
    <d v="2026-05-24T15:17:54"/>
  </r>
  <r>
    <s v="cmpjx90kb00h8w2rw1l3ha85u"/>
    <x v="3"/>
    <s v="GET"/>
    <s v="/api/v1/funcionarios"/>
    <s v="/api/v1/funcionarios/"/>
    <x v="2"/>
    <n v="9.33"/>
    <d v="2026-05-24T15:17:54"/>
    <d v="2026-05-24T15:17:54"/>
    <s v="::ffff:127.0.0.1"/>
    <s v="Apache-HttpClient/4.5.14 (Java/21.0.11)"/>
    <d v="2026-05-24T15:17:54"/>
  </r>
  <r>
    <s v="cmpjx90ku00hcw2rwookyid9u"/>
    <x v="3"/>
    <s v="GET"/>
    <s v="/api/v1/funcionarios"/>
    <s v="/api/v1/funcionarios/"/>
    <x v="2"/>
    <n v="9.4700000000000006"/>
    <d v="2026-05-24T15:17:54"/>
    <d v="2026-05-24T15:17:54"/>
    <s v="::ffff:127.0.0.1"/>
    <s v="Apache-HttpClient/4.5.14 (Java/21.0.11)"/>
    <d v="2026-05-24T15:17:54"/>
  </r>
  <r>
    <s v="cmpjx90l500hew2rw72hvnh1h"/>
    <x v="3"/>
    <s v="GET"/>
    <s v="/api/v1/funcionarios"/>
    <s v="/api/v1/funcionarios/"/>
    <x v="2"/>
    <n v="18.850000000000001"/>
    <d v="2026-05-24T15:17:54"/>
    <d v="2026-05-24T15:17:54"/>
    <s v="::ffff:127.0.0.1"/>
    <s v="Apache-HttpClient/4.5.14 (Java/21.0.11)"/>
    <d v="2026-05-24T15:17:54"/>
  </r>
  <r>
    <s v="cmpjx90mh00how2rw8a8fijd5"/>
    <x v="3"/>
    <s v="GET"/>
    <s v="/api/v1/funcionarios"/>
    <s v="/api/v1/funcionarios/"/>
    <x v="2"/>
    <n v="4.17"/>
    <d v="2026-05-24T15:17:54"/>
    <d v="2026-05-24T15:17:54"/>
    <s v="::ffff:127.0.0.1"/>
    <s v="Apache-HttpClient/4.5.14 (Java/21.0.11)"/>
    <d v="2026-05-24T15:17:54"/>
  </r>
  <r>
    <s v="cmpjx90r900iiw2rwhmosgvg7"/>
    <x v="3"/>
    <s v="GET"/>
    <s v="/api/v1/funcionarios"/>
    <s v="/api/v1/funcionarios/"/>
    <x v="2"/>
    <n v="9.57"/>
    <d v="2026-05-24T15:17:54"/>
    <d v="2026-05-24T15:17:54"/>
    <s v="::ffff:127.0.0.1"/>
    <s v="Apache-HttpClient/4.5.14 (Java/21.0.11)"/>
    <d v="2026-05-24T15:17:54"/>
  </r>
  <r>
    <s v="cmpjx90rm00inw2rwxccaweyq"/>
    <x v="3"/>
    <s v="GET"/>
    <s v="/api/v1/funcionarios"/>
    <s v="/api/v1/funcionarios/"/>
    <x v="2"/>
    <n v="4.6100000000000003"/>
    <d v="2026-05-24T15:17:54"/>
    <d v="2026-05-24T15:17:54"/>
    <s v="::ffff:127.0.0.1"/>
    <s v="Apache-HttpClient/4.5.14 (Java/21.0.11)"/>
    <d v="2026-05-24T15:17:54"/>
  </r>
  <r>
    <s v="cmpjx90rq00ipw2rwnubnxwtd"/>
    <x v="3"/>
    <s v="GET"/>
    <s v="/api/v1/funcionarios"/>
    <s v="/api/v1/funcionarios/"/>
    <x v="2"/>
    <n v="8.51"/>
    <d v="2026-05-24T15:17:54"/>
    <d v="2026-05-24T15:17:54"/>
    <s v="::ffff:127.0.0.1"/>
    <s v="Apache-HttpClient/4.5.14 (Java/21.0.11)"/>
    <d v="2026-05-24T15:17:54"/>
  </r>
  <r>
    <s v="cmpjx90s500isw2rwel5ej0fp"/>
    <x v="3"/>
    <s v="GET"/>
    <s v="/api/v1/funcionarios"/>
    <s v="/api/v1/funcionarios/"/>
    <x v="2"/>
    <n v="11.7"/>
    <d v="2026-05-24T15:17:54"/>
    <d v="2026-05-24T15:17:54"/>
    <s v="::ffff:127.0.0.1"/>
    <s v="Apache-HttpClient/4.5.14 (Java/21.0.11)"/>
    <d v="2026-05-24T15:17:54"/>
  </r>
  <r>
    <s v="cmpjx90t600j3w2rwdh4eibje"/>
    <x v="3"/>
    <s v="GET"/>
    <s v="/api/v1/funcionarios"/>
    <s v="/api/v1/funcionarios/"/>
    <x v="2"/>
    <n v="9.7799999999999994"/>
    <d v="2026-05-24T15:17:54"/>
    <d v="2026-05-24T15:17:54"/>
    <s v="::ffff:127.0.0.1"/>
    <s v="Apache-HttpClient/4.5.14 (Java/21.0.11)"/>
    <d v="2026-05-24T15:17:54"/>
  </r>
  <r>
    <s v="cmpjx90xx00jxw2rwrtb59nmm"/>
    <x v="3"/>
    <s v="GET"/>
    <s v="/api/v1/funcionarios"/>
    <s v="/api/v1/funcionarios/"/>
    <x v="2"/>
    <n v="17.79"/>
    <d v="2026-05-24T15:17:54"/>
    <d v="2026-05-24T15:17:54"/>
    <s v="::ffff:127.0.0.1"/>
    <s v="Apache-HttpClient/4.5.14 (Java/21.0.11)"/>
    <d v="2026-05-24T15:17:54"/>
  </r>
  <r>
    <s v="cmpjx90yb00jzw2rw2g2ujvtt"/>
    <x v="3"/>
    <s v="GET"/>
    <s v="/api/v1/funcionarios"/>
    <s v="/api/v1/funcionarios/"/>
    <x v="2"/>
    <n v="7.58"/>
    <d v="2026-05-24T15:17:54"/>
    <d v="2026-05-24T15:17:54"/>
    <s v="::ffff:127.0.0.1"/>
    <s v="Apache-HttpClient/4.5.14 (Java/21.0.11)"/>
    <d v="2026-05-24T15:17:54"/>
  </r>
  <r>
    <s v="cmpjx90yh00k1w2rw85rkha3a"/>
    <x v="3"/>
    <s v="GET"/>
    <s v="/api/v1/funcionarios"/>
    <s v="/api/v1/funcionarios/"/>
    <x v="2"/>
    <n v="7.61"/>
    <d v="2026-05-24T15:17:54"/>
    <d v="2026-05-24T15:17:54"/>
    <s v="::ffff:127.0.0.1"/>
    <s v="Apache-HttpClient/4.5.14 (Java/21.0.11)"/>
    <d v="2026-05-24T15:17:54"/>
  </r>
  <r>
    <s v="cmpjx90ys00k5w2rwsv4bm0iy"/>
    <x v="3"/>
    <s v="GET"/>
    <s v="/api/v1/funcionarios"/>
    <s v="/api/v1/funcionarios/"/>
    <x v="2"/>
    <n v="5.34"/>
    <d v="2026-05-24T15:17:54"/>
    <d v="2026-05-24T15:17:54"/>
    <s v="::ffff:127.0.0.1"/>
    <s v="Apache-HttpClient/4.5.14 (Java/21.0.11)"/>
    <d v="2026-05-24T15:17:54"/>
  </r>
  <r>
    <s v="cmpjx911l00kiw2rwxjiioar4"/>
    <x v="3"/>
    <s v="GET"/>
    <s v="/api/v1/funcionarios"/>
    <s v="/api/v1/funcionarios/"/>
    <x v="2"/>
    <n v="4.37"/>
    <d v="2026-05-24T15:17:54"/>
    <d v="2026-05-24T15:17:54"/>
    <s v="::ffff:127.0.0.1"/>
    <s v="Apache-HttpClient/4.5.14 (Java/21.0.11)"/>
    <d v="2026-05-24T15:17:54"/>
  </r>
  <r>
    <s v="cmpjx914m00l9w2rwqj6qmbrf"/>
    <x v="3"/>
    <s v="GET"/>
    <s v="/api/v1/funcionarios"/>
    <s v="/api/v1/funcionarios/"/>
    <x v="2"/>
    <n v="4.01"/>
    <d v="2026-05-24T15:17:55"/>
    <d v="2026-05-24T15:17:55"/>
    <s v="::ffff:127.0.0.1"/>
    <s v="Apache-HttpClient/4.5.14 (Java/21.0.11)"/>
    <d v="2026-05-24T15:17:55"/>
  </r>
  <r>
    <s v="cmpjx914n00law2rwedm3cqsz"/>
    <x v="3"/>
    <s v="GET"/>
    <s v="/api/v1/funcionarios"/>
    <s v="/api/v1/funcionarios/"/>
    <x v="2"/>
    <n v="5.25"/>
    <d v="2026-05-24T15:17:55"/>
    <d v="2026-05-24T15:17:55"/>
    <s v="::ffff:127.0.0.1"/>
    <s v="Apache-HttpClient/4.5.14 (Java/21.0.11)"/>
    <d v="2026-05-24T15:17:55"/>
  </r>
  <r>
    <s v="cmpjx915100lfw2rwom0ytk7i"/>
    <x v="3"/>
    <s v="GET"/>
    <s v="/api/v1/funcionarios"/>
    <s v="/api/v1/funcionarios/"/>
    <x v="2"/>
    <n v="4.43"/>
    <d v="2026-05-24T15:17:55"/>
    <d v="2026-05-24T15:17:55"/>
    <s v="::ffff:127.0.0.1"/>
    <s v="Apache-HttpClient/4.5.14 (Java/21.0.11)"/>
    <d v="2026-05-24T15:17:55"/>
  </r>
  <r>
    <s v="cmpjx916c00lsw2rw0dd1nqld"/>
    <x v="3"/>
    <s v="GET"/>
    <s v="/api/v1/funcionarios"/>
    <s v="/api/v1/funcionarios/"/>
    <x v="2"/>
    <n v="4.04"/>
    <d v="2026-05-24T15:17:55"/>
    <d v="2026-05-24T15:17:55"/>
    <s v="::ffff:127.0.0.1"/>
    <s v="Apache-HttpClient/4.5.14 (Java/21.0.11)"/>
    <d v="2026-05-24T15:17:55"/>
  </r>
  <r>
    <s v="cmpjx919000maw2rww10ygkat"/>
    <x v="3"/>
    <s v="GET"/>
    <s v="/api/v1/funcionarios"/>
    <s v="/api/v1/funcionarios/"/>
    <x v="2"/>
    <n v="10.33"/>
    <d v="2026-05-24T15:17:55"/>
    <d v="2026-05-24T15:17:55"/>
    <s v="::ffff:127.0.0.1"/>
    <s v="Apache-HttpClient/4.5.14 (Java/21.0.11)"/>
    <d v="2026-05-24T15:17:55"/>
  </r>
  <r>
    <s v="cmpjx919q00mgw2rwsy0fd1j7"/>
    <x v="3"/>
    <s v="GET"/>
    <s v="/api/v1/funcionarios"/>
    <s v="/api/v1/funcionarios/"/>
    <x v="2"/>
    <n v="3.11"/>
    <d v="2026-05-24T15:17:55"/>
    <d v="2026-05-24T15:17:55"/>
    <s v="::ffff:127.0.0.1"/>
    <s v="Apache-HttpClient/4.5.14 (Java/21.0.11)"/>
    <d v="2026-05-24T15:17:55"/>
  </r>
  <r>
    <s v="cmpjx91a900mmw2rwssjz7n8p"/>
    <x v="3"/>
    <s v="GET"/>
    <s v="/api/v1/funcionarios"/>
    <s v="/api/v1/funcionarios/"/>
    <x v="2"/>
    <n v="10.14"/>
    <d v="2026-05-24T15:17:55"/>
    <d v="2026-05-24T15:17:55"/>
    <s v="::ffff:127.0.0.1"/>
    <s v="Apache-HttpClient/4.5.14 (Java/21.0.11)"/>
    <d v="2026-05-24T15:17:55"/>
  </r>
  <r>
    <s v="cmpjx91br00mvw2rw4rq0r4ed"/>
    <x v="3"/>
    <s v="GET"/>
    <s v="/api/v1/funcionarios"/>
    <s v="/api/v1/funcionarios/"/>
    <x v="2"/>
    <n v="4.53"/>
    <d v="2026-05-24T15:17:55"/>
    <d v="2026-05-24T15:17:55"/>
    <s v="::ffff:127.0.0.1"/>
    <s v="Apache-HttpClient/4.5.14 (Java/21.0.11)"/>
    <d v="2026-05-24T15:17:55"/>
  </r>
  <r>
    <s v="cmpjx91eg00new2rw99ol3oc1"/>
    <x v="3"/>
    <s v="GET"/>
    <s v="/api/v1/funcionarios"/>
    <s v="/api/v1/funcionarios/"/>
    <x v="2"/>
    <n v="3.06"/>
    <d v="2026-05-24T15:17:55"/>
    <d v="2026-05-24T15:17:55"/>
    <s v="::ffff:127.0.0.1"/>
    <s v="Apache-HttpClient/4.5.14 (Java/21.0.11)"/>
    <d v="2026-05-24T15:17:55"/>
  </r>
  <r>
    <s v="cmpjx91es00niw2rwpq4lau08"/>
    <x v="3"/>
    <s v="GET"/>
    <s v="/api/v1/funcionarios"/>
    <s v="/api/v1/funcionarios/"/>
    <x v="2"/>
    <n v="2.81"/>
    <d v="2026-05-24T15:17:55"/>
    <d v="2026-05-24T15:17:55"/>
    <s v="::ffff:127.0.0.1"/>
    <s v="Apache-HttpClient/4.5.14 (Java/21.0.11)"/>
    <d v="2026-05-24T15:17:55"/>
  </r>
  <r>
    <s v="cmpjx91gi00nuw2rwjompl4bp"/>
    <x v="3"/>
    <s v="GET"/>
    <s v="/api/v1/funcionarios"/>
    <s v="/api/v1/funcionarios/"/>
    <x v="2"/>
    <n v="4.0999999999999996"/>
    <d v="2026-05-24T15:17:55"/>
    <d v="2026-05-24T15:17:55"/>
    <s v="::ffff:127.0.0.1"/>
    <s v="Apache-HttpClient/4.5.14 (Java/21.0.11)"/>
    <d v="2026-05-24T15:17:55"/>
  </r>
  <r>
    <s v="cmpjx91id00o7w2rw3mc2v7xj"/>
    <x v="3"/>
    <s v="GET"/>
    <s v="/api/v1/funcionarios"/>
    <s v="/api/v1/funcionarios/"/>
    <x v="2"/>
    <n v="5.76"/>
    <d v="2026-05-24T15:17:55"/>
    <d v="2026-05-24T15:17:55"/>
    <s v="::ffff:127.0.0.1"/>
    <s v="Apache-HttpClient/4.5.14 (Java/21.0.11)"/>
    <d v="2026-05-24T15:17:55"/>
  </r>
  <r>
    <s v="cmpjx91ki00oiw2rw371a3t91"/>
    <x v="3"/>
    <s v="GET"/>
    <s v="/api/v1/funcionarios"/>
    <s v="/api/v1/funcionarios/"/>
    <x v="2"/>
    <n v="4.3"/>
    <d v="2026-05-24T15:17:55"/>
    <d v="2026-05-24T15:17:55"/>
    <s v="::ffff:127.0.0.1"/>
    <s v="Apache-HttpClient/4.5.14 (Java/21.0.11)"/>
    <d v="2026-05-24T15:17:55"/>
  </r>
  <r>
    <s v="cmpjx91lr00orw2rw0hjdt9si"/>
    <x v="3"/>
    <s v="GET"/>
    <s v="/api/v1/funcionarios"/>
    <s v="/api/v1/funcionarios/"/>
    <x v="2"/>
    <n v="4.46"/>
    <d v="2026-05-24T15:17:55"/>
    <d v="2026-05-24T15:17:55"/>
    <s v="::ffff:127.0.0.1"/>
    <s v="Apache-HttpClient/4.5.14 (Java/21.0.11)"/>
    <d v="2026-05-24T15:17:55"/>
  </r>
  <r>
    <s v="cmpjx8zlo00b9w2rwrnnbt027"/>
    <x v="4"/>
    <s v="GET"/>
    <s v="/api/v1/pecas"/>
    <s v="/api/v1/pecas/"/>
    <x v="2"/>
    <n v="5.67"/>
    <d v="2026-05-24T15:17:53"/>
    <d v="2026-05-24T15:17:53"/>
    <s v="::ffff:127.0.0.1"/>
    <s v="Apache-HttpClient/4.5.14 (Java/21.0.11)"/>
    <d v="2026-05-24T15:17:53"/>
  </r>
  <r>
    <s v="cmpjx8zok00bjw2rwm6rq11oe"/>
    <x v="4"/>
    <s v="GET"/>
    <s v="/api/v1/pecas"/>
    <s v="/api/v1/pecas/"/>
    <x v="2"/>
    <n v="5.09"/>
    <d v="2026-05-24T15:17:53"/>
    <d v="2026-05-24T15:17:53"/>
    <s v="::ffff:127.0.0.1"/>
    <s v="Apache-HttpClient/4.5.14 (Java/21.0.11)"/>
    <d v="2026-05-24T15:17:53"/>
  </r>
  <r>
    <s v="cmpjx8zrr00bvw2rw436ychea"/>
    <x v="4"/>
    <s v="GET"/>
    <s v="/api/v1/pecas"/>
    <s v="/api/v1/pecas/"/>
    <x v="2"/>
    <n v="6.77"/>
    <d v="2026-05-24T15:17:53"/>
    <d v="2026-05-24T15:17:53"/>
    <s v="::ffff:127.0.0.1"/>
    <s v="Apache-HttpClient/4.5.14 (Java/21.0.11)"/>
    <d v="2026-05-24T15:17:53"/>
  </r>
  <r>
    <s v="cmpjx8zs400byw2rw8u9gollu"/>
    <x v="4"/>
    <s v="GET"/>
    <s v="/api/v1/pecas"/>
    <s v="/api/v1/pecas/"/>
    <x v="2"/>
    <n v="8.02"/>
    <d v="2026-05-24T15:17:53"/>
    <d v="2026-05-24T15:17:53"/>
    <s v="::ffff:127.0.0.1"/>
    <s v="Apache-HttpClient/4.5.14 (Java/21.0.11)"/>
    <d v="2026-05-24T15:17:53"/>
  </r>
  <r>
    <s v="cmpjx8zvp00cew2rwq2xu4hoj"/>
    <x v="4"/>
    <s v="GET"/>
    <s v="/api/v1/pecas"/>
    <s v="/api/v1/pecas/"/>
    <x v="2"/>
    <n v="7.5"/>
    <d v="2026-05-24T15:17:53"/>
    <d v="2026-05-24T15:17:53"/>
    <s v="::ffff:127.0.0.1"/>
    <s v="Apache-HttpClient/4.5.14 (Java/21.0.11)"/>
    <d v="2026-05-24T15:17:53"/>
  </r>
  <r>
    <s v="cmpjx8zx600ckw2rwzfe9bw6i"/>
    <x v="4"/>
    <s v="GET"/>
    <s v="/api/v1/pecas"/>
    <s v="/api/v1/pecas/"/>
    <x v="2"/>
    <n v="9.7100000000000009"/>
    <d v="2026-05-24T15:17:53"/>
    <d v="2026-05-24T15:17:53"/>
    <s v="::ffff:127.0.0.1"/>
    <s v="Apache-HttpClient/4.5.14 (Java/21.0.11)"/>
    <d v="2026-05-24T15:17:53"/>
  </r>
  <r>
    <s v="cmpjx8zxr00cpw2rwg9ip4ikb"/>
    <x v="4"/>
    <s v="GET"/>
    <s v="/api/v1/pecas"/>
    <s v="/api/v1/pecas/"/>
    <x v="2"/>
    <n v="5.14"/>
    <d v="2026-05-24T15:17:53"/>
    <d v="2026-05-24T15:17:53"/>
    <s v="::ffff:127.0.0.1"/>
    <s v="Apache-HttpClient/4.5.14 (Java/21.0.11)"/>
    <d v="2026-05-24T15:17:53"/>
  </r>
  <r>
    <s v="cmpjx901f00dbw2rwyt2kh55n"/>
    <x v="4"/>
    <s v="GET"/>
    <s v="/api/v1/pecas"/>
    <s v="/api/v1/pecas/"/>
    <x v="2"/>
    <n v="6.68"/>
    <d v="2026-05-24T15:17:53"/>
    <d v="2026-05-24T15:17:53"/>
    <s v="::ffff:127.0.0.1"/>
    <s v="Apache-HttpClient/4.5.14 (Java/21.0.11)"/>
    <d v="2026-05-24T15:17:53"/>
  </r>
  <r>
    <s v="cmpjx901k00ddw2rwf3pl1q4b"/>
    <x v="4"/>
    <s v="GET"/>
    <s v="/api/v1/pecas"/>
    <s v="/api/v1/pecas/"/>
    <x v="2"/>
    <n v="8.93"/>
    <d v="2026-05-24T15:17:53"/>
    <d v="2026-05-24T15:17:53"/>
    <s v="::ffff:127.0.0.1"/>
    <s v="Apache-HttpClient/4.5.14 (Java/21.0.11)"/>
    <d v="2026-05-24T15:17:53"/>
  </r>
  <r>
    <s v="cmpjx902i00djw2rw8sodhsxy"/>
    <x v="4"/>
    <s v="GET"/>
    <s v="/api/v1/pecas"/>
    <s v="/api/v1/pecas/"/>
    <x v="2"/>
    <n v="5.13"/>
    <d v="2026-05-24T15:17:53"/>
    <d v="2026-05-24T15:17:53"/>
    <s v="::ffff:127.0.0.1"/>
    <s v="Apache-HttpClient/4.5.14 (Java/21.0.11)"/>
    <d v="2026-05-24T15:17:53"/>
  </r>
  <r>
    <s v="cmpjx903500dpw2rww6yv99ah"/>
    <x v="4"/>
    <s v="GET"/>
    <s v="/api/v1/pecas"/>
    <s v="/api/v1/pecas/"/>
    <x v="2"/>
    <n v="4.87"/>
    <d v="2026-05-24T15:17:53"/>
    <d v="2026-05-24T15:17:53"/>
    <s v="::ffff:127.0.0.1"/>
    <s v="Apache-HttpClient/4.5.14 (Java/21.0.11)"/>
    <d v="2026-05-24T15:17:53"/>
  </r>
  <r>
    <s v="cmpjx907a00edw2rwgiv2fn50"/>
    <x v="4"/>
    <s v="GET"/>
    <s v="/api/v1/pecas"/>
    <s v="/api/v1/pecas/"/>
    <x v="2"/>
    <n v="23.63"/>
    <d v="2026-05-24T15:17:53"/>
    <d v="2026-05-24T15:17:53"/>
    <s v="::ffff:127.0.0.1"/>
    <s v="Apache-HttpClient/4.5.14 (Java/21.0.11)"/>
    <d v="2026-05-24T15:17:53"/>
  </r>
  <r>
    <s v="cmpjx908n00elw2rwi0jk0sxd"/>
    <x v="4"/>
    <s v="GET"/>
    <s v="/api/v1/pecas"/>
    <s v="/api/v1/pecas/"/>
    <x v="2"/>
    <n v="18.64"/>
    <d v="2026-05-24T15:17:53"/>
    <d v="2026-05-24T15:17:53"/>
    <s v="::ffff:127.0.0.1"/>
    <s v="Apache-HttpClient/4.5.14 (Java/21.0.11)"/>
    <d v="2026-05-24T15:17:53"/>
  </r>
  <r>
    <s v="cmpjx909800erw2rwg8s11d3z"/>
    <x v="4"/>
    <s v="GET"/>
    <s v="/api/v1/pecas"/>
    <s v="/api/v1/pecas/"/>
    <x v="2"/>
    <n v="9.59"/>
    <d v="2026-05-24T15:17:53"/>
    <d v="2026-05-24T15:17:53"/>
    <s v="::ffff:127.0.0.1"/>
    <s v="Apache-HttpClient/4.5.14 (Java/21.0.11)"/>
    <d v="2026-05-24T15:17:53"/>
  </r>
  <r>
    <s v="cmpjx909d00esw2rwat0vgyin"/>
    <x v="4"/>
    <s v="GET"/>
    <s v="/api/v1/pecas"/>
    <s v="/api/v1/pecas/"/>
    <x v="2"/>
    <n v="3.64"/>
    <d v="2026-05-24T15:17:53"/>
    <d v="2026-05-24T15:17:53"/>
    <s v="::ffff:127.0.0.1"/>
    <s v="Apache-HttpClient/4.5.14 (Java/21.0.11)"/>
    <d v="2026-05-24T15:17:53"/>
  </r>
  <r>
    <s v="cmpjx909s00eyw2rwxc30ltbx"/>
    <x v="4"/>
    <s v="GET"/>
    <s v="/api/v1/pecas"/>
    <s v="/api/v1/pecas/"/>
    <x v="2"/>
    <n v="6.51"/>
    <d v="2026-05-24T15:17:53"/>
    <d v="2026-05-24T15:17:53"/>
    <s v="::ffff:127.0.0.1"/>
    <s v="Apache-HttpClient/4.5.14 (Java/21.0.11)"/>
    <d v="2026-05-24T15:17:53"/>
  </r>
  <r>
    <s v="cmpjx90dk00fsw2rwob61fb2r"/>
    <x v="4"/>
    <s v="GET"/>
    <s v="/api/v1/pecas"/>
    <s v="/api/v1/pecas/"/>
    <x v="2"/>
    <n v="18.920000000000002"/>
    <d v="2026-05-24T15:17:54"/>
    <d v="2026-05-24T15:17:54"/>
    <s v="::ffff:127.0.0.1"/>
    <s v="Apache-HttpClient/4.5.14 (Java/21.0.11)"/>
    <d v="2026-05-24T15:17:54"/>
  </r>
  <r>
    <s v="cmpjx90e700fzw2rw88u0erau"/>
    <x v="4"/>
    <s v="GET"/>
    <s v="/api/v1/pecas"/>
    <s v="/api/v1/pecas/"/>
    <x v="2"/>
    <n v="11.25"/>
    <d v="2026-05-24T15:17:54"/>
    <d v="2026-05-24T15:17:54"/>
    <s v="::ffff:127.0.0.1"/>
    <s v="Apache-HttpClient/4.5.14 (Java/21.0.11)"/>
    <d v="2026-05-24T15:17:54"/>
  </r>
  <r>
    <s v="cmpjx90en00g3w2rwhw7rkh3k"/>
    <x v="4"/>
    <s v="GET"/>
    <s v="/api/v1/pecas"/>
    <s v="/api/v1/pecas/"/>
    <x v="2"/>
    <n v="9.36"/>
    <d v="2026-05-24T15:17:54"/>
    <d v="2026-05-24T15:17:54"/>
    <s v="::ffff:127.0.0.1"/>
    <s v="Apache-HttpClient/4.5.14 (Java/21.0.11)"/>
    <d v="2026-05-24T15:17:54"/>
  </r>
  <r>
    <s v="cmpjx90ev00g5w2rwvclblx5v"/>
    <x v="4"/>
    <s v="GET"/>
    <s v="/api/v1/pecas"/>
    <s v="/api/v1/pecas/"/>
    <x v="2"/>
    <n v="6.13"/>
    <d v="2026-05-24T15:17:54"/>
    <d v="2026-05-24T15:17:54"/>
    <s v="::ffff:127.0.0.1"/>
    <s v="Apache-HttpClient/4.5.14 (Java/21.0.11)"/>
    <d v="2026-05-24T15:17:54"/>
  </r>
  <r>
    <s v="cmpjx90ft00gew2rw84jyauk7"/>
    <x v="4"/>
    <s v="GET"/>
    <s v="/api/v1/pecas"/>
    <s v="/api/v1/pecas/"/>
    <x v="2"/>
    <n v="10.08"/>
    <d v="2026-05-24T15:17:54"/>
    <d v="2026-05-24T15:17:54"/>
    <s v="::ffff:127.0.0.1"/>
    <s v="Apache-HttpClient/4.5.14 (Java/21.0.11)"/>
    <d v="2026-05-24T15:17:54"/>
  </r>
  <r>
    <s v="cmpjx90k500h6w2rw7kd5h0uy"/>
    <x v="4"/>
    <s v="GET"/>
    <s v="/api/v1/pecas"/>
    <s v="/api/v1/pecas/"/>
    <x v="2"/>
    <n v="7.84"/>
    <d v="2026-05-24T15:17:54"/>
    <d v="2026-05-24T15:17:54"/>
    <s v="::ffff:127.0.0.1"/>
    <s v="Apache-HttpClient/4.5.14 (Java/21.0.11)"/>
    <d v="2026-05-24T15:17:54"/>
  </r>
  <r>
    <s v="cmpjx90kx00hdw2rwrfykelld"/>
    <x v="4"/>
    <s v="GET"/>
    <s v="/api/v1/pecas"/>
    <s v="/api/v1/pecas/"/>
    <x v="2"/>
    <n v="11.89"/>
    <d v="2026-05-24T15:17:54"/>
    <d v="2026-05-24T15:17:54"/>
    <s v="::ffff:127.0.0.1"/>
    <s v="Apache-HttpClient/4.5.14 (Java/21.0.11)"/>
    <d v="2026-05-24T15:17:54"/>
  </r>
  <r>
    <s v="cmpjx90lm00hhw2rwnpmiosum"/>
    <x v="4"/>
    <s v="GET"/>
    <s v="/api/v1/pecas"/>
    <s v="/api/v1/pecas/"/>
    <x v="2"/>
    <n v="15.22"/>
    <d v="2026-05-24T15:17:54"/>
    <d v="2026-05-24T15:17:54"/>
    <s v="::ffff:127.0.0.1"/>
    <s v="Apache-HttpClient/4.5.14 (Java/21.0.11)"/>
    <d v="2026-05-24T15:17:54"/>
  </r>
  <r>
    <s v="cmpjx90ls00hjw2rw3e1lwyjn"/>
    <x v="4"/>
    <s v="GET"/>
    <s v="/api/v1/pecas"/>
    <s v="/api/v1/pecas/"/>
    <x v="2"/>
    <n v="14.43"/>
    <d v="2026-05-24T15:17:54"/>
    <d v="2026-05-24T15:17:54"/>
    <s v="::ffff:127.0.0.1"/>
    <s v="Apache-HttpClient/4.5.14 (Java/21.0.11)"/>
    <d v="2026-05-24T15:17:54"/>
  </r>
  <r>
    <s v="cmpjx90mz00hsw2rwuo4lo3c3"/>
    <x v="4"/>
    <s v="GET"/>
    <s v="/api/v1/pecas"/>
    <s v="/api/v1/pecas/"/>
    <x v="2"/>
    <n v="7.52"/>
    <d v="2026-05-24T15:17:54"/>
    <d v="2026-05-24T15:17:54"/>
    <s v="::ffff:127.0.0.1"/>
    <s v="Apache-HttpClient/4.5.14 (Java/21.0.11)"/>
    <d v="2026-05-24T15:17:54"/>
  </r>
  <r>
    <s v="cmpjx90rk00imw2rwma2y81fu"/>
    <x v="4"/>
    <s v="GET"/>
    <s v="/api/v1/pecas"/>
    <s v="/api/v1/pecas/"/>
    <x v="2"/>
    <n v="3.8"/>
    <d v="2026-05-24T15:17:54"/>
    <d v="2026-05-24T15:17:54"/>
    <s v="::ffff:127.0.0.1"/>
    <s v="Apache-HttpClient/4.5.14 (Java/21.0.11)"/>
    <d v="2026-05-24T15:17:54"/>
  </r>
  <r>
    <s v="cmpjx90s300irw2rw7fm0bt3i"/>
    <x v="4"/>
    <s v="GET"/>
    <s v="/api/v1/pecas"/>
    <s v="/api/v1/pecas/"/>
    <x v="2"/>
    <n v="10.79"/>
    <d v="2026-05-24T15:17:54"/>
    <d v="2026-05-24T15:17:54"/>
    <s v="::ffff:127.0.0.1"/>
    <s v="Apache-HttpClient/4.5.14 (Java/21.0.11)"/>
    <d v="2026-05-24T15:17:54"/>
  </r>
  <r>
    <s v="cmpjx90sd00iuw2rw79v2ee6r"/>
    <x v="4"/>
    <s v="GET"/>
    <s v="/api/v1/pecas"/>
    <s v="/api/v1/pecas/"/>
    <x v="2"/>
    <n v="16.100000000000001"/>
    <d v="2026-05-24T15:17:54"/>
    <d v="2026-05-24T15:17:54"/>
    <s v="::ffff:127.0.0.1"/>
    <s v="Apache-HttpClient/4.5.14 (Java/21.0.11)"/>
    <d v="2026-05-24T15:17:54"/>
  </r>
  <r>
    <s v="cmpjx90sn00ixw2rwdfc3x6mi"/>
    <x v="4"/>
    <s v="GET"/>
    <s v="/api/v1/pecas"/>
    <s v="/api/v1/pecas/"/>
    <x v="2"/>
    <n v="7.13"/>
    <d v="2026-05-24T15:17:54"/>
    <d v="2026-05-24T15:17:54"/>
    <s v="::ffff:127.0.0.1"/>
    <s v="Apache-HttpClient/4.5.14 (Java/21.0.11)"/>
    <d v="2026-05-24T15:17:54"/>
  </r>
  <r>
    <s v="cmpjx90tk00j6w2rwjdvmc19r"/>
    <x v="4"/>
    <s v="GET"/>
    <s v="/api/v1/pecas"/>
    <s v="/api/v1/pecas/"/>
    <x v="2"/>
    <n v="9.0299999999999994"/>
    <d v="2026-05-24T15:17:54"/>
    <d v="2026-05-24T15:17:54"/>
    <s v="::ffff:127.0.0.1"/>
    <s v="Apache-HttpClient/4.5.14 (Java/21.0.11)"/>
    <d v="2026-05-24T15:17:54"/>
  </r>
  <r>
    <s v="cmpjx90yj00k2w2rwp47qhrbq"/>
    <x v="4"/>
    <s v="GET"/>
    <s v="/api/v1/pecas"/>
    <s v="/api/v1/pecas/"/>
    <x v="2"/>
    <n v="11.37"/>
    <d v="2026-05-24T15:17:54"/>
    <d v="2026-05-24T15:17:54"/>
    <s v="::ffff:127.0.0.1"/>
    <s v="Apache-HttpClient/4.5.14 (Java/21.0.11)"/>
    <d v="2026-05-24T15:17:54"/>
  </r>
  <r>
    <s v="cmpjx90yq00k4w2rw0km1gb9f"/>
    <x v="4"/>
    <s v="GET"/>
    <s v="/api/v1/pecas"/>
    <s v="/api/v1/pecas/"/>
    <x v="2"/>
    <n v="6.31"/>
    <d v="2026-05-24T15:17:54"/>
    <d v="2026-05-24T15:17:54"/>
    <s v="::ffff:127.0.0.1"/>
    <s v="Apache-HttpClient/4.5.14 (Java/21.0.11)"/>
    <d v="2026-05-24T15:17:54"/>
  </r>
  <r>
    <s v="cmpjx90z500k6w2rw38u7xgc9"/>
    <x v="4"/>
    <s v="GET"/>
    <s v="/api/v1/pecas"/>
    <s v="/api/v1/pecas/"/>
    <x v="2"/>
    <n v="13.99"/>
    <d v="2026-05-24T15:17:54"/>
    <d v="2026-05-24T15:17:54"/>
    <s v="::ffff:127.0.0.1"/>
    <s v="Apache-HttpClient/4.5.14 (Java/21.0.11)"/>
    <d v="2026-05-24T15:17:54"/>
  </r>
  <r>
    <s v="cmpjx910d00k9w2rweunbyh8d"/>
    <x v="4"/>
    <s v="GET"/>
    <s v="/api/v1/pecas"/>
    <s v="/api/v1/pecas/"/>
    <x v="2"/>
    <n v="22.4"/>
    <d v="2026-05-24T15:17:54"/>
    <d v="2026-05-24T15:17:54"/>
    <s v="::ffff:127.0.0.1"/>
    <s v="Apache-HttpClient/4.5.14 (Java/21.0.11)"/>
    <d v="2026-05-24T15:17:54"/>
  </r>
  <r>
    <s v="cmpjx912200kmw2rwtaoyu3ig"/>
    <x v="4"/>
    <s v="GET"/>
    <s v="/api/v1/pecas"/>
    <s v="/api/v1/pecas/"/>
    <x v="2"/>
    <n v="12.46"/>
    <d v="2026-05-24T15:17:54"/>
    <d v="2026-05-24T15:17:54"/>
    <s v="::ffff:127.0.0.1"/>
    <s v="Apache-HttpClient/4.5.14 (Java/21.0.11)"/>
    <d v="2026-05-24T15:17:54"/>
  </r>
  <r>
    <s v="cmpjx914w00ldw2rwktlzrf6s"/>
    <x v="4"/>
    <s v="GET"/>
    <s v="/api/v1/pecas"/>
    <s v="/api/v1/pecas/"/>
    <x v="2"/>
    <n v="6.15"/>
    <d v="2026-05-24T15:17:55"/>
    <d v="2026-05-24T15:17:55"/>
    <s v="::ffff:127.0.0.1"/>
    <s v="Apache-HttpClient/4.5.14 (Java/21.0.11)"/>
    <d v="2026-05-24T15:17:55"/>
  </r>
  <r>
    <s v="cmpjx914y00lew2rwb6ei6wgg"/>
    <x v="4"/>
    <s v="GET"/>
    <s v="/api/v1/pecas"/>
    <s v="/api/v1/pecas/"/>
    <x v="2"/>
    <n v="5.56"/>
    <d v="2026-05-24T15:17:55"/>
    <d v="2026-05-24T15:17:55"/>
    <s v="::ffff:127.0.0.1"/>
    <s v="Apache-HttpClient/4.5.14 (Java/21.0.11)"/>
    <d v="2026-05-24T15:17:55"/>
  </r>
  <r>
    <s v="cmpjx915b00ljw2rwzulkmfku"/>
    <x v="4"/>
    <s v="GET"/>
    <s v="/api/v1/pecas"/>
    <s v="/api/v1/pecas/"/>
    <x v="2"/>
    <n v="5.97"/>
    <d v="2026-05-24T15:17:55"/>
    <d v="2026-05-24T15:17:55"/>
    <s v="::ffff:127.0.0.1"/>
    <s v="Apache-HttpClient/4.5.14 (Java/21.0.11)"/>
    <d v="2026-05-24T15:17:55"/>
  </r>
  <r>
    <s v="cmpjx916l00lww2rwsbpotrgy"/>
    <x v="4"/>
    <s v="GET"/>
    <s v="/api/v1/pecas"/>
    <s v="/api/v1/pecas/"/>
    <x v="2"/>
    <n v="5.71"/>
    <d v="2026-05-24T15:17:55"/>
    <d v="2026-05-24T15:17:55"/>
    <s v="::ffff:127.0.0.1"/>
    <s v="Apache-HttpClient/4.5.14 (Java/21.0.11)"/>
    <d v="2026-05-24T15:17:55"/>
  </r>
  <r>
    <s v="cmpjx919d00mdw2rwdqjhx71r"/>
    <x v="4"/>
    <s v="GET"/>
    <s v="/api/v1/pecas"/>
    <s v="/api/v1/pecas/"/>
    <x v="2"/>
    <n v="3.55"/>
    <d v="2026-05-24T15:17:55"/>
    <d v="2026-05-24T15:17:55"/>
    <s v="::ffff:127.0.0.1"/>
    <s v="Apache-HttpClient/4.5.14 (Java/21.0.11)"/>
    <d v="2026-05-24T15:17:55"/>
  </r>
  <r>
    <s v="cmpjx91a600mlw2rwoono0p90"/>
    <x v="4"/>
    <s v="GET"/>
    <s v="/api/v1/pecas"/>
    <s v="/api/v1/pecas/"/>
    <x v="2"/>
    <n v="7.99"/>
    <d v="2026-05-24T15:17:55"/>
    <d v="2026-05-24T15:17:55"/>
    <s v="::ffff:127.0.0.1"/>
    <s v="Apache-HttpClient/4.5.14 (Java/21.0.11)"/>
    <d v="2026-05-24T15:17:55"/>
  </r>
  <r>
    <s v="cmpjx91ay00mpw2rw60jbpxal"/>
    <x v="4"/>
    <s v="GET"/>
    <s v="/api/v1/pecas"/>
    <s v="/api/v1/pecas/"/>
    <x v="2"/>
    <n v="20.18"/>
    <d v="2026-05-24T15:17:55"/>
    <d v="2026-05-24T15:17:55"/>
    <s v="::ffff:127.0.0.1"/>
    <s v="Apache-HttpClient/4.5.14 (Java/21.0.11)"/>
    <d v="2026-05-24T15:17:55"/>
  </r>
  <r>
    <s v="cmpjx91bx00mxw2rw6x17cx02"/>
    <x v="4"/>
    <s v="GET"/>
    <s v="/api/v1/pecas"/>
    <s v="/api/v1/pecas/"/>
    <x v="2"/>
    <n v="4.18"/>
    <d v="2026-05-24T15:17:55"/>
    <d v="2026-05-24T15:17:55"/>
    <s v="::ffff:127.0.0.1"/>
    <s v="Apache-HttpClient/4.5.14 (Java/21.0.11)"/>
    <d v="2026-05-24T15:17:55"/>
  </r>
  <r>
    <s v="cmpjx91eo00nhw2rwicazsdod"/>
    <x v="4"/>
    <s v="GET"/>
    <s v="/api/v1/pecas"/>
    <s v="/api/v1/pecas/"/>
    <x v="2"/>
    <n v="5.73"/>
    <d v="2026-05-24T15:17:55"/>
    <d v="2026-05-24T15:17:55"/>
    <s v="::ffff:127.0.0.1"/>
    <s v="Apache-HttpClient/4.5.14 (Java/21.0.11)"/>
    <d v="2026-05-24T15:17:55"/>
  </r>
  <r>
    <s v="cmpjx91f400nlw2rw6fc15old"/>
    <x v="4"/>
    <s v="GET"/>
    <s v="/api/v1/pecas"/>
    <s v="/api/v1/pecas/"/>
    <x v="2"/>
    <n v="4.54"/>
    <d v="2026-05-24T15:17:55"/>
    <d v="2026-05-24T15:17:55"/>
    <s v="::ffff:127.0.0.1"/>
    <s v="Apache-HttpClient/4.5.14 (Java/21.0.11)"/>
    <d v="2026-05-24T15:17:55"/>
  </r>
  <r>
    <s v="cmpjx91gr00nww2rwxy9191cs"/>
    <x v="4"/>
    <s v="GET"/>
    <s v="/api/v1/pecas"/>
    <s v="/api/v1/pecas/"/>
    <x v="2"/>
    <n v="3.62"/>
    <d v="2026-05-24T15:17:55"/>
    <d v="2026-05-24T15:17:55"/>
    <s v="::ffff:127.0.0.1"/>
    <s v="Apache-HttpClient/4.5.14 (Java/21.0.11)"/>
    <d v="2026-05-24T15:17:55"/>
  </r>
  <r>
    <s v="cmpjx91ik00o8w2rwlccouveh"/>
    <x v="4"/>
    <s v="GET"/>
    <s v="/api/v1/pecas"/>
    <s v="/api/v1/pecas/"/>
    <x v="2"/>
    <n v="4.72"/>
    <d v="2026-05-24T15:17:55"/>
    <d v="2026-05-24T15:17:55"/>
    <s v="::ffff:127.0.0.1"/>
    <s v="Apache-HttpClient/4.5.14 (Java/21.0.11)"/>
    <d v="2026-05-24T15:17:55"/>
  </r>
  <r>
    <s v="cmpjx91kp00okw2rwryyc58ew"/>
    <x v="4"/>
    <s v="GET"/>
    <s v="/api/v1/pecas"/>
    <s v="/api/v1/pecas/"/>
    <x v="2"/>
    <n v="3.88"/>
    <d v="2026-05-24T15:17:55"/>
    <d v="2026-05-24T15:17:55"/>
    <s v="::ffff:127.0.0.1"/>
    <s v="Apache-HttpClient/4.5.14 (Java/21.0.11)"/>
    <d v="2026-05-24T15:17:55"/>
  </r>
  <r>
    <s v="cmpjx91lw00osw2rwrxj411qd"/>
    <x v="4"/>
    <s v="GET"/>
    <s v="/api/v1/pecas"/>
    <s v="/api/v1/pecas/"/>
    <x v="2"/>
    <n v="3.22"/>
    <d v="2026-05-24T15:17:55"/>
    <d v="2026-05-24T15:17:55"/>
    <s v="::ffff:127.0.0.1"/>
    <s v="Apache-HttpClient/4.5.14 (Java/21.0.11)"/>
    <d v="2026-05-24T15:17:55"/>
  </r>
  <r>
    <s v="cmpjx8zn400bew2rw7nwobzqb"/>
    <x v="5"/>
    <s v="GET"/>
    <s v="/api/v1/pecas/21"/>
    <s v="/api/v1/pecas/:id"/>
    <x v="2"/>
    <n v="3.39"/>
    <d v="2026-05-24T15:17:53"/>
    <d v="2026-05-24T15:17:53"/>
    <s v="::ffff:127.0.0.1"/>
    <s v="Apache-HttpClient/4.5.14 (Java/21.0.11)"/>
    <d v="2026-05-24T15:17:53"/>
  </r>
  <r>
    <s v="cmpjx8zpr00bow2rwyj6mv6te"/>
    <x v="5"/>
    <s v="GET"/>
    <s v="/api/v1/pecas/21"/>
    <s v="/api/v1/pecas/:id"/>
    <x v="2"/>
    <n v="2.75"/>
    <d v="2026-05-24T15:17:53"/>
    <d v="2026-05-24T15:17:53"/>
    <s v="::ffff:127.0.0.1"/>
    <s v="Apache-HttpClient/4.5.14 (Java/21.0.11)"/>
    <d v="2026-05-24T15:17:53"/>
  </r>
  <r>
    <s v="cmpjx8ztg00c5w2rwlg72h3ow"/>
    <x v="5"/>
    <s v="GET"/>
    <s v="/api/v1/pecas/ID_NAO_ENCONTRADO"/>
    <s v="/api/v1/pecas/:id"/>
    <x v="1"/>
    <n v="2.76"/>
    <d v="2026-05-24T15:17:53"/>
    <d v="2026-05-24T15:17:53"/>
    <s v="::ffff:127.0.0.1"/>
    <s v="Apache-HttpClient/4.5.14 (Java/21.0.11)"/>
    <d v="2026-05-24T15:17:53"/>
  </r>
  <r>
    <s v="cmpjx8ztt00c8w2rwehfiwe9m"/>
    <x v="5"/>
    <s v="GET"/>
    <s v="/api/v1/pecas/21"/>
    <s v="/api/v1/pecas/:id"/>
    <x v="2"/>
    <n v="2.95"/>
    <d v="2026-05-24T15:17:53"/>
    <d v="2026-05-24T15:17:53"/>
    <s v="::ffff:127.0.0.1"/>
    <s v="Apache-HttpClient/4.5.14 (Java/21.0.11)"/>
    <d v="2026-05-24T15:17:53"/>
  </r>
  <r>
    <s v="cmpjx8zyh00cvw2rwibvio093"/>
    <x v="5"/>
    <s v="GET"/>
    <s v="/api/v1/pecas/21"/>
    <s v="/api/v1/pecas/:id"/>
    <x v="2"/>
    <s v="5"/>
    <d v="2026-05-24T15:17:53"/>
    <d v="2026-05-24T15:17:53"/>
    <s v="::ffff:127.0.0.1"/>
    <s v="Apache-HttpClient/4.5.14 (Java/21.0.11)"/>
    <d v="2026-05-24T15:17:53"/>
  </r>
  <r>
    <s v="cmpjx8zyt00czw2rwlt5rw9mv"/>
    <x v="5"/>
    <s v="GET"/>
    <s v="/api/v1/pecas/22"/>
    <s v="/api/v1/pecas/:id"/>
    <x v="2"/>
    <n v="3.84"/>
    <d v="2026-05-24T15:17:53"/>
    <d v="2026-05-24T15:17:53"/>
    <s v="::ffff:127.0.0.1"/>
    <s v="Apache-HttpClient/4.5.14 (Java/21.0.11)"/>
    <d v="2026-05-24T15:17:53"/>
  </r>
  <r>
    <s v="cmpjx8zze00d2w2rwu7f9lawv"/>
    <x v="5"/>
    <s v="GET"/>
    <s v="/api/v1/pecas/23"/>
    <s v="/api/v1/pecas/:id"/>
    <x v="2"/>
    <n v="5.57"/>
    <d v="2026-05-24T15:17:53"/>
    <d v="2026-05-24T15:17:53"/>
    <s v="::ffff:127.0.0.1"/>
    <s v="Apache-HttpClient/4.5.14 (Java/21.0.11)"/>
    <d v="2026-05-24T15:17:53"/>
  </r>
  <r>
    <s v="cmpjx903z00dxw2rwyjpbqmq0"/>
    <x v="5"/>
    <s v="GET"/>
    <s v="/api/v1/pecas/ID_NAO_ENCONTRADO"/>
    <s v="/api/v1/pecas/:id"/>
    <x v="1"/>
    <n v="8.74"/>
    <d v="2026-05-24T15:17:53"/>
    <d v="2026-05-24T15:17:53"/>
    <s v="::ffff:127.0.0.1"/>
    <s v="Apache-HttpClient/4.5.14 (Java/21.0.11)"/>
    <d v="2026-05-24T15:17:53"/>
  </r>
  <r>
    <s v="cmpjx904900dyw2rwt7317eoy"/>
    <x v="5"/>
    <s v="GET"/>
    <s v="/api/v1/pecas/21"/>
    <s v="/api/v1/pecas/:id"/>
    <x v="2"/>
    <n v="5.13"/>
    <d v="2026-05-24T15:17:53"/>
    <d v="2026-05-24T15:17:53"/>
    <s v="::ffff:127.0.0.1"/>
    <s v="Apache-HttpClient/4.5.14 (Java/21.0.11)"/>
    <d v="2026-05-24T15:17:53"/>
  </r>
  <r>
    <s v="cmpjx905c00e4w2rwrz1crbfx"/>
    <x v="5"/>
    <s v="GET"/>
    <s v="/api/v1/pecas/22"/>
    <s v="/api/v1/pecas/:id"/>
    <x v="2"/>
    <n v="17.11"/>
    <d v="2026-05-24T15:17:53"/>
    <d v="2026-05-24T15:17:53"/>
    <s v="::ffff:127.0.0.1"/>
    <s v="Apache-HttpClient/4.5.14 (Java/21.0.11)"/>
    <d v="2026-05-24T15:17:53"/>
  </r>
  <r>
    <s v="cmpjx906g00eaw2rwh18fznu7"/>
    <x v="5"/>
    <s v="GET"/>
    <s v="/api/v1/pecas/23"/>
    <s v="/api/v1/pecas/:id"/>
    <x v="2"/>
    <n v="9.09"/>
    <d v="2026-05-24T15:17:53"/>
    <d v="2026-05-24T15:17:53"/>
    <s v="::ffff:127.0.0.1"/>
    <s v="Apache-HttpClient/4.5.14 (Java/21.0.11)"/>
    <d v="2026-05-24T15:17:53"/>
  </r>
  <r>
    <s v="cmpjx90ah00f5w2rw86twpvgz"/>
    <x v="5"/>
    <s v="GET"/>
    <s v="/api/v1/pecas/21"/>
    <s v="/api/v1/pecas/:id"/>
    <x v="2"/>
    <n v="5.16"/>
    <d v="2026-05-24T15:17:53"/>
    <d v="2026-05-24T15:17:53"/>
    <s v="::ffff:127.0.0.1"/>
    <s v="Apache-HttpClient/4.5.14 (Java/21.0.11)"/>
    <d v="2026-05-24T15:17:53"/>
  </r>
  <r>
    <s v="cmpjx90b200fbw2rwyizhn7so"/>
    <x v="5"/>
    <s v="GET"/>
    <s v="/api/v1/pecas/22"/>
    <s v="/api/v1/pecas/:id"/>
    <x v="2"/>
    <n v="5.45"/>
    <d v="2026-05-24T15:17:53"/>
    <d v="2026-05-24T15:17:53"/>
    <s v="::ffff:127.0.0.1"/>
    <s v="Apache-HttpClient/4.5.14 (Java/21.0.11)"/>
    <d v="2026-05-24T15:17:53"/>
  </r>
  <r>
    <s v="cmpjx90be00few2rw7hy3t36c"/>
    <x v="5"/>
    <s v="GET"/>
    <s v="/api/v1/pecas/ID_NAO_ENCONTRADO"/>
    <s v="/api/v1/pecas/:id"/>
    <x v="1"/>
    <n v="9.3699999999999992"/>
    <d v="2026-05-24T15:17:53"/>
    <d v="2026-05-24T15:17:53"/>
    <s v="::ffff:127.0.0.1"/>
    <s v="Apache-HttpClient/4.5.14 (Java/21.0.11)"/>
    <d v="2026-05-24T15:17:53"/>
  </r>
  <r>
    <s v="cmpjx90bu00fhw2rwiuzeloz9"/>
    <x v="5"/>
    <s v="GET"/>
    <s v="/api/v1/pecas/23"/>
    <s v="/api/v1/pecas/:id"/>
    <x v="2"/>
    <n v="12.72"/>
    <d v="2026-05-24T15:17:53"/>
    <d v="2026-05-24T15:17:54"/>
    <s v="::ffff:127.0.0.1"/>
    <s v="Apache-HttpClient/4.5.14 (Java/21.0.11)"/>
    <d v="2026-05-24T15:17:54"/>
  </r>
  <r>
    <s v="cmpjx90cp00fow2rw5nx9ikp6"/>
    <x v="5"/>
    <s v="GET"/>
    <s v="/api/v1/pecas/24"/>
    <s v="/api/v1/pecas/:id"/>
    <x v="2"/>
    <n v="7.55"/>
    <d v="2026-05-24T15:17:54"/>
    <d v="2026-05-24T15:17:54"/>
    <s v="::ffff:127.0.0.1"/>
    <s v="Apache-HttpClient/4.5.14 (Java/21.0.11)"/>
    <d v="2026-05-24T15:17:54"/>
  </r>
  <r>
    <s v="cmpjx90gm00glw2rweu60ghog"/>
    <x v="5"/>
    <s v="GET"/>
    <s v="/api/v1/pecas/21"/>
    <s v="/api/v1/pecas/:id"/>
    <x v="2"/>
    <n v="7.2"/>
    <d v="2026-05-24T15:17:54"/>
    <d v="2026-05-24T15:17:54"/>
    <s v="::ffff:127.0.0.1"/>
    <s v="Apache-HttpClient/4.5.14 (Java/21.0.11)"/>
    <d v="2026-05-24T15:17:54"/>
  </r>
  <r>
    <s v="cmpjx90gw00gow2rw272ia707"/>
    <x v="5"/>
    <s v="GET"/>
    <s v="/api/v1/pecas/22"/>
    <s v="/api/v1/pecas/:id"/>
    <x v="2"/>
    <n v="2.71"/>
    <d v="2026-05-24T15:17:54"/>
    <d v="2026-05-24T15:17:54"/>
    <s v="::ffff:127.0.0.1"/>
    <s v="Apache-HttpClient/4.5.14 (Java/21.0.11)"/>
    <d v="2026-05-24T15:17:54"/>
  </r>
  <r>
    <s v="cmpjx90h900grw2rwa5nbdu11"/>
    <x v="5"/>
    <s v="GET"/>
    <s v="/api/v1/pecas/23"/>
    <s v="/api/v1/pecas/:id"/>
    <x v="2"/>
    <n v="5.68"/>
    <d v="2026-05-24T15:17:54"/>
    <d v="2026-05-24T15:17:54"/>
    <s v="::ffff:127.0.0.1"/>
    <s v="Apache-HttpClient/4.5.14 (Java/21.0.11)"/>
    <d v="2026-05-24T15:17:54"/>
  </r>
  <r>
    <s v="cmpjx90ha00gsw2rwhb4ope11"/>
    <x v="5"/>
    <s v="GET"/>
    <s v="/api/v1/pecas/ID_NAO_ENCONTRADO"/>
    <s v="/api/v1/pecas/:id"/>
    <x v="1"/>
    <n v="6.2"/>
    <d v="2026-05-24T15:17:54"/>
    <d v="2026-05-24T15:17:54"/>
    <s v="::ffff:127.0.0.1"/>
    <s v="Apache-HttpClient/4.5.14 (Java/21.0.11)"/>
    <d v="2026-05-24T15:17:54"/>
  </r>
  <r>
    <s v="cmpjx90jz00h5w2rw7diuf49k"/>
    <x v="5"/>
    <s v="GET"/>
    <s v="/api/v1/pecas/24"/>
    <s v="/api/v1/pecas/:id"/>
    <x v="2"/>
    <n v="15.81"/>
    <d v="2026-05-24T15:17:54"/>
    <d v="2026-05-24T15:17:54"/>
    <s v="::ffff:127.0.0.1"/>
    <s v="Apache-HttpClient/4.5.14 (Java/21.0.11)"/>
    <d v="2026-05-24T15:17:54"/>
  </r>
  <r>
    <s v="cmpjx90ns00i0w2rwxb7qxvvy"/>
    <x v="5"/>
    <s v="GET"/>
    <s v="/api/v1/pecas/21"/>
    <s v="/api/v1/pecas/:id"/>
    <x v="2"/>
    <n v="10.19"/>
    <d v="2026-05-24T15:17:54"/>
    <d v="2026-05-24T15:17:54"/>
    <s v="::ffff:127.0.0.1"/>
    <s v="Apache-HttpClient/4.5.14 (Java/21.0.11)"/>
    <d v="2026-05-24T15:17:54"/>
  </r>
  <r>
    <s v="cmpjx90o700i2w2rwzl1adxe0"/>
    <x v="5"/>
    <s v="GET"/>
    <s v="/api/v1/pecas/22"/>
    <s v="/api/v1/pecas/:id"/>
    <x v="2"/>
    <n v="11.18"/>
    <d v="2026-05-24T15:17:54"/>
    <d v="2026-05-24T15:17:54"/>
    <s v="::ffff:127.0.0.1"/>
    <s v="Apache-HttpClient/4.5.14 (Java/21.0.11)"/>
    <d v="2026-05-24T15:17:54"/>
  </r>
  <r>
    <s v="cmpjx90om00i5w2rw19xhd7g7"/>
    <x v="5"/>
    <s v="GET"/>
    <s v="/api/v1/pecas/ID_NAO_ENCONTRADO"/>
    <s v="/api/v1/pecas/:id"/>
    <x v="1"/>
    <n v="12.98"/>
    <d v="2026-05-24T15:17:54"/>
    <d v="2026-05-24T15:17:54"/>
    <s v="::ffff:127.0.0.1"/>
    <s v="Apache-HttpClient/4.5.14 (Java/21.0.11)"/>
    <d v="2026-05-24T15:17:54"/>
  </r>
  <r>
    <s v="cmpjx90oy00i7w2rwf0rgcsxg"/>
    <x v="5"/>
    <s v="GET"/>
    <s v="/api/v1/pecas/23"/>
    <s v="/api/v1/pecas/:id"/>
    <x v="2"/>
    <n v="10.18"/>
    <d v="2026-05-24T15:17:54"/>
    <d v="2026-05-24T15:17:54"/>
    <s v="::ffff:127.0.0.1"/>
    <s v="Apache-HttpClient/4.5.14 (Java/21.0.11)"/>
    <d v="2026-05-24T15:17:54"/>
  </r>
  <r>
    <s v="cmpjx90r200igw2rw03bbsw83"/>
    <x v="5"/>
    <s v="GET"/>
    <s v="/api/v1/pecas/24"/>
    <s v="/api/v1/pecas/:id"/>
    <x v="2"/>
    <n v="9.52"/>
    <d v="2026-05-24T15:17:54"/>
    <d v="2026-05-24T15:17:54"/>
    <s v="::ffff:127.0.0.1"/>
    <s v="Apache-HttpClient/4.5.14 (Java/21.0.11)"/>
    <d v="2026-05-24T15:17:54"/>
  </r>
  <r>
    <s v="cmpjx90ug00jfw2rw5dmer3r3"/>
    <x v="5"/>
    <s v="GET"/>
    <s v="/api/v1/pecas/21"/>
    <s v="/api/v1/pecas/:id"/>
    <x v="2"/>
    <n v="7.71"/>
    <d v="2026-05-24T15:17:54"/>
    <d v="2026-05-24T15:17:54"/>
    <s v="::ffff:127.0.0.1"/>
    <s v="Apache-HttpClient/4.5.14 (Java/21.0.11)"/>
    <d v="2026-05-24T15:17:54"/>
  </r>
  <r>
    <s v="cmpjx90uq00jhw2rw8gmwplsp"/>
    <x v="5"/>
    <s v="GET"/>
    <s v="/api/v1/pecas/ID_NAO_ENCONTRADO"/>
    <s v="/api/v1/pecas/:id"/>
    <x v="1"/>
    <n v="7.97"/>
    <d v="2026-05-24T15:17:54"/>
    <d v="2026-05-24T15:17:54"/>
    <s v="::ffff:127.0.0.1"/>
    <s v="Apache-HttpClient/4.5.14 (Java/21.0.11)"/>
    <d v="2026-05-24T15:17:54"/>
  </r>
  <r>
    <s v="cmpjx90ut00jiw2rwaco0t0g2"/>
    <x v="5"/>
    <s v="GET"/>
    <s v="/api/v1/pecas/ID_NAO_ENCONTRADO"/>
    <s v="/api/v1/pecas/:id"/>
    <x v="1"/>
    <n v="6.75"/>
    <d v="2026-05-24T15:17:54"/>
    <d v="2026-05-24T15:17:54"/>
    <s v="::ffff:127.0.0.1"/>
    <s v="Apache-HttpClient/4.5.14 (Java/21.0.11)"/>
    <d v="2026-05-24T15:17:54"/>
  </r>
  <r>
    <s v="cmpjx90v200jkw2rwk4jdvov2"/>
    <x v="5"/>
    <s v="GET"/>
    <s v="/api/v1/pecas/22"/>
    <s v="/api/v1/pecas/:id"/>
    <x v="2"/>
    <n v="9.89"/>
    <d v="2026-05-24T15:17:54"/>
    <d v="2026-05-24T15:17:54"/>
    <s v="::ffff:127.0.0.1"/>
    <s v="Apache-HttpClient/4.5.14 (Java/21.0.11)"/>
    <d v="2026-05-24T15:17:54"/>
  </r>
  <r>
    <s v="cmpjx90xu00jww2rwhsgplati"/>
    <x v="5"/>
    <s v="GET"/>
    <s v="/api/v1/pecas/23"/>
    <s v="/api/v1/pecas/:id"/>
    <x v="2"/>
    <n v="15.83"/>
    <d v="2026-05-24T15:17:54"/>
    <d v="2026-05-24T15:17:54"/>
    <s v="::ffff:127.0.0.1"/>
    <s v="Apache-HttpClient/4.5.14 (Java/21.0.11)"/>
    <d v="2026-05-24T15:17:54"/>
  </r>
  <r>
    <s v="cmpjx912g00krw2rw287auw86"/>
    <x v="5"/>
    <s v="GET"/>
    <s v="/api/v1/pecas/ID_NAO_ENCONTRADO"/>
    <s v="/api/v1/pecas/:id"/>
    <x v="1"/>
    <n v="4.88"/>
    <d v="2026-05-24T15:17:54"/>
    <d v="2026-05-24T15:17:54"/>
    <s v="::ffff:127.0.0.1"/>
    <s v="Apache-HttpClient/4.5.14 (Java/21.0.11)"/>
    <d v="2026-05-24T15:17:54"/>
  </r>
  <r>
    <s v="cmpjx912l00ktw2rwjsq4ogo1"/>
    <x v="5"/>
    <s v="GET"/>
    <s v="/api/v1/pecas/ID_NAO_ENCONTRADO"/>
    <s v="/api/v1/pecas/:id"/>
    <x v="1"/>
    <n v="5.58"/>
    <d v="2026-05-24T15:17:54"/>
    <d v="2026-05-24T15:17:54"/>
    <s v="::ffff:127.0.0.1"/>
    <s v="Apache-HttpClient/4.5.14 (Java/21.0.11)"/>
    <d v="2026-05-24T15:17:54"/>
  </r>
  <r>
    <s v="cmpjx912t00kww2rwtnrvcq1i"/>
    <x v="5"/>
    <s v="GET"/>
    <s v="/api/v1/pecas/21"/>
    <s v="/api/v1/pecas/:id"/>
    <x v="2"/>
    <n v="5.38"/>
    <d v="2026-05-24T15:17:54"/>
    <d v="2026-05-24T15:17:54"/>
    <s v="::ffff:127.0.0.1"/>
    <s v="Apache-HttpClient/4.5.14 (Java/21.0.11)"/>
    <d v="2026-05-24T15:17:54"/>
  </r>
  <r>
    <s v="cmpjx913g00l1w2rw4w8ml570"/>
    <x v="5"/>
    <s v="GET"/>
    <s v="/api/v1/pecas/22"/>
    <s v="/api/v1/pecas/:id"/>
    <x v="2"/>
    <n v="11.8"/>
    <d v="2026-05-24T15:17:54"/>
    <d v="2026-05-24T15:17:55"/>
    <s v="::ffff:127.0.0.1"/>
    <s v="Apache-HttpClient/4.5.14 (Java/21.0.11)"/>
    <d v="2026-05-24T15:17:55"/>
  </r>
  <r>
    <s v="cmpjx914u00lcw2rwa8ei8zm4"/>
    <x v="5"/>
    <s v="GET"/>
    <s v="/api/v1/pecas/23"/>
    <s v="/api/v1/pecas/:id"/>
    <x v="2"/>
    <n v="5.07"/>
    <d v="2026-05-24T15:17:55"/>
    <d v="2026-05-24T15:17:55"/>
    <s v="::ffff:127.0.0.1"/>
    <s v="Apache-HttpClient/4.5.14 (Java/21.0.11)"/>
    <d v="2026-05-24T15:17:55"/>
  </r>
  <r>
    <s v="cmpjx916j00lvw2rwvu9rtx9d"/>
    <x v="5"/>
    <s v="GET"/>
    <s v="/api/v1/pecas/ID_NAO_ENCONTRADO"/>
    <s v="/api/v1/pecas/:id"/>
    <x v="1"/>
    <n v="2.91"/>
    <d v="2026-05-24T15:17:55"/>
    <d v="2026-05-24T15:17:55"/>
    <s v="::ffff:127.0.0.1"/>
    <s v="Apache-HttpClient/4.5.14 (Java/21.0.11)"/>
    <d v="2026-05-24T15:17:55"/>
  </r>
  <r>
    <s v="cmpjx916z00m0w2rwtglkmow8"/>
    <x v="5"/>
    <s v="GET"/>
    <s v="/api/v1/pecas/21"/>
    <s v="/api/v1/pecas/:id"/>
    <x v="2"/>
    <n v="7.38"/>
    <d v="2026-05-24T15:17:55"/>
    <d v="2026-05-24T15:17:55"/>
    <s v="::ffff:127.0.0.1"/>
    <s v="Apache-HttpClient/4.5.14 (Java/21.0.11)"/>
    <d v="2026-05-24T15:17:55"/>
  </r>
  <r>
    <s v="cmpjx917c00m3w2rwucmg5q59"/>
    <x v="5"/>
    <s v="GET"/>
    <s v="/api/v1/pecas/22"/>
    <s v="/api/v1/pecas/:id"/>
    <x v="2"/>
    <n v="8.18"/>
    <d v="2026-05-24T15:17:55"/>
    <d v="2026-05-24T15:17:55"/>
    <s v="::ffff:127.0.0.1"/>
    <s v="Apache-HttpClient/4.5.14 (Java/21.0.11)"/>
    <d v="2026-05-24T15:17:55"/>
  </r>
  <r>
    <s v="cmpjx919o00mfw2rws7umi4tf"/>
    <x v="5"/>
    <s v="GET"/>
    <s v="/api/v1/pecas/23"/>
    <s v="/api/v1/pecas/:id"/>
    <x v="2"/>
    <n v="3.4"/>
    <d v="2026-05-24T15:17:55"/>
    <d v="2026-05-24T15:17:55"/>
    <s v="::ffff:127.0.0.1"/>
    <s v="Apache-HttpClient/4.5.14 (Java/21.0.11)"/>
    <d v="2026-05-24T15:17:55"/>
  </r>
  <r>
    <s v="cmpjx91c900n0w2rwvgtq80mb"/>
    <x v="5"/>
    <s v="GET"/>
    <s v="/api/v1/pecas/21"/>
    <s v="/api/v1/pecas/:id"/>
    <x v="2"/>
    <n v="5.04"/>
    <d v="2026-05-24T15:17:55"/>
    <d v="2026-05-24T15:17:55"/>
    <s v="::ffff:127.0.0.1"/>
    <s v="Apache-HttpClient/4.5.14 (Java/21.0.11)"/>
    <d v="2026-05-24T15:17:55"/>
  </r>
  <r>
    <s v="cmpjx91cn00n4w2rwv4fwy1q1"/>
    <x v="5"/>
    <s v="GET"/>
    <s v="/api/v1/pecas/22"/>
    <s v="/api/v1/pecas/:id"/>
    <x v="2"/>
    <n v="5.01"/>
    <d v="2026-05-24T15:17:55"/>
    <d v="2026-05-24T15:17:55"/>
    <s v="::ffff:127.0.0.1"/>
    <s v="Apache-HttpClient/4.5.14 (Java/21.0.11)"/>
    <d v="2026-05-24T15:17:55"/>
  </r>
  <r>
    <s v="cmpjx91dd00n8w2rw1lu53k3n"/>
    <x v="5"/>
    <s v="GET"/>
    <s v="/api/v1/pecas/23"/>
    <s v="/api/v1/pecas/:id"/>
    <x v="2"/>
    <n v="13.08"/>
    <d v="2026-05-24T15:17:55"/>
    <d v="2026-05-24T15:17:55"/>
    <s v="::ffff:127.0.0.1"/>
    <s v="Apache-HttpClient/4.5.14 (Java/21.0.11)"/>
    <d v="2026-05-24T15:17:55"/>
  </r>
  <r>
    <s v="cmpjx91eu00njw2rwdl6lxjvk"/>
    <x v="5"/>
    <s v="GET"/>
    <s v="/api/v1/pecas/24"/>
    <s v="/api/v1/pecas/:id"/>
    <x v="2"/>
    <n v="3.9"/>
    <d v="2026-05-24T15:17:55"/>
    <d v="2026-05-24T15:17:55"/>
    <s v="::ffff:127.0.0.1"/>
    <s v="Apache-HttpClient/4.5.14 (Java/21.0.11)"/>
    <d v="2026-05-24T15:17:55"/>
  </r>
  <r>
    <s v="cmpjx91gu00nxw2rwz8kp5qch"/>
    <x v="5"/>
    <s v="GET"/>
    <s v="/api/v1/pecas/21"/>
    <s v="/api/v1/pecas/:id"/>
    <x v="2"/>
    <n v="5.75"/>
    <d v="2026-05-24T15:17:55"/>
    <d v="2026-05-24T15:17:55"/>
    <s v="::ffff:127.0.0.1"/>
    <s v="Apache-HttpClient/4.5.14 (Java/21.0.11)"/>
    <d v="2026-05-24T15:17:55"/>
  </r>
  <r>
    <s v="cmpjx91h500o1w2rwl6bany1k"/>
    <x v="5"/>
    <s v="GET"/>
    <s v="/api/v1/pecas/22"/>
    <s v="/api/v1/pecas/:id"/>
    <x v="2"/>
    <n v="4.12"/>
    <d v="2026-05-24T15:17:55"/>
    <d v="2026-05-24T15:17:55"/>
    <s v="::ffff:127.0.0.1"/>
    <s v="Apache-HttpClient/4.5.14 (Java/21.0.11)"/>
    <d v="2026-05-24T15:17:55"/>
  </r>
  <r>
    <s v="cmpjx91it00obw2rwu2z6ph60"/>
    <x v="5"/>
    <s v="GET"/>
    <s v="/api/v1/pecas/21"/>
    <s v="/api/v1/pecas/:id"/>
    <x v="2"/>
    <n v="4.1500000000000004"/>
    <d v="2026-05-24T15:17:55"/>
    <d v="2026-05-24T15:17:55"/>
    <s v="::ffff:127.0.0.1"/>
    <s v="Apache-HttpClient/4.5.14 (Java/21.0.11)"/>
    <d v="2026-05-24T15:17:55"/>
  </r>
  <r>
    <s v="cmpjx91kn00ojw2rwkijlu57u"/>
    <x v="5"/>
    <s v="GET"/>
    <s v="/api/v1/pecas/21"/>
    <s v="/api/v1/pecas/:id"/>
    <x v="2"/>
    <n v="3.03"/>
    <d v="2026-05-24T15:17:55"/>
    <d v="2026-05-24T15:17:55"/>
    <s v="::ffff:127.0.0.1"/>
    <s v="Apache-HttpClient/4.5.14 (Java/21.0.11)"/>
    <d v="2026-05-24T15:17:55"/>
  </r>
  <r>
    <s v="cmpjx91m200ovw2rwfop2cq2r"/>
    <x v="5"/>
    <s v="GET"/>
    <s v="/api/v1/pecas/21"/>
    <s v="/api/v1/pecas/:id"/>
    <x v="2"/>
    <n v="3.05"/>
    <d v="2026-05-24T15:17:55"/>
    <d v="2026-05-24T15:17:55"/>
    <s v="::ffff:127.0.0.1"/>
    <s v="Apache-HttpClient/4.5.14 (Java/21.0.11)"/>
    <d v="2026-05-24T15:17:55"/>
  </r>
  <r>
    <s v="cmpjx91mv00p0w2rwoekigsf2"/>
    <x v="5"/>
    <s v="GET"/>
    <s v="/api/v1/pecas/21"/>
    <s v="/api/v1/pecas/:id"/>
    <x v="2"/>
    <n v="3.26"/>
    <d v="2026-05-24T15:17:55"/>
    <d v="2026-05-24T15:17:55"/>
    <s v="::ffff:127.0.0.1"/>
    <s v="Apache-HttpClient/4.5.14 (Java/21.0.11)"/>
    <d v="2026-05-24T15:17:55"/>
  </r>
  <r>
    <s v="cmpjx8zlz00baw2rw7w7300wq"/>
    <x v="6"/>
    <s v="GET"/>
    <s v="/api/v1/relatorios"/>
    <s v="/api/v1/relatorios/"/>
    <x v="2"/>
    <n v="6.34"/>
    <d v="2026-05-24T15:17:53"/>
    <d v="2026-05-24T15:17:53"/>
    <s v="::ffff:127.0.0.1"/>
    <s v="Apache-HttpClient/4.5.14 (Java/21.0.11)"/>
    <d v="2026-05-24T15:17:53"/>
  </r>
  <r>
    <s v="cmpjx8zor00bkw2rw5mfhlhm9"/>
    <x v="6"/>
    <s v="GET"/>
    <s v="/api/v1/relatorios"/>
    <s v="/api/v1/relatorios/"/>
    <x v="2"/>
    <n v="4.5999999999999996"/>
    <d v="2026-05-24T15:17:53"/>
    <d v="2026-05-24T15:17:53"/>
    <s v="::ffff:127.0.0.1"/>
    <s v="Apache-HttpClient/4.5.14 (Java/21.0.11)"/>
    <d v="2026-05-24T15:17:53"/>
  </r>
  <r>
    <s v="cmpjx8zs100bxw2rwnkifbe9v"/>
    <x v="6"/>
    <s v="GET"/>
    <s v="/api/v1/relatorios"/>
    <s v="/api/v1/relatorios/"/>
    <x v="2"/>
    <n v="5.42"/>
    <d v="2026-05-24T15:17:53"/>
    <d v="2026-05-24T15:17:53"/>
    <s v="::ffff:127.0.0.1"/>
    <s v="Apache-HttpClient/4.5.14 (Java/21.0.11)"/>
    <d v="2026-05-24T15:17:53"/>
  </r>
  <r>
    <s v="cmpjx8zsf00c0w2rw6joomdwm"/>
    <x v="6"/>
    <s v="GET"/>
    <s v="/api/v1/relatorios"/>
    <s v="/api/v1/relatorios/"/>
    <x v="2"/>
    <n v="7.67"/>
    <d v="2026-05-24T15:17:53"/>
    <d v="2026-05-24T15:17:53"/>
    <s v="::ffff:127.0.0.1"/>
    <s v="Apache-HttpClient/4.5.14 (Java/21.0.11)"/>
    <d v="2026-05-24T15:17:53"/>
  </r>
  <r>
    <s v="cmpjx8zwc00cgw2rw2vi8pzts"/>
    <x v="6"/>
    <s v="GET"/>
    <s v="/api/v1/relatorios"/>
    <s v="/api/v1/relatorios/"/>
    <x v="2"/>
    <n v="14.71"/>
    <d v="2026-05-24T15:17:53"/>
    <d v="2026-05-24T15:17:53"/>
    <s v="::ffff:127.0.0.1"/>
    <s v="Apache-HttpClient/4.5.14 (Java/21.0.11)"/>
    <d v="2026-05-24T15:17:53"/>
  </r>
  <r>
    <s v="cmpjx8zxg00cmw2rwqz521wo8"/>
    <x v="6"/>
    <s v="GET"/>
    <s v="/api/v1/relatorios"/>
    <s v="/api/v1/relatorios/"/>
    <x v="2"/>
    <n v="4.4400000000000004"/>
    <d v="2026-05-24T15:17:53"/>
    <d v="2026-05-24T15:17:53"/>
    <s v="::ffff:127.0.0.1"/>
    <s v="Apache-HttpClient/4.5.14 (Java/21.0.11)"/>
    <d v="2026-05-24T15:17:53"/>
  </r>
  <r>
    <s v="cmpjx8zxy00crw2rwv0y4z167"/>
    <x v="6"/>
    <s v="GET"/>
    <s v="/api/v1/relatorios"/>
    <s v="/api/v1/relatorios/"/>
    <x v="2"/>
    <n v="3.12"/>
    <d v="2026-05-24T15:17:53"/>
    <d v="2026-05-24T15:17:53"/>
    <s v="::ffff:127.0.0.1"/>
    <s v="Apache-HttpClient/4.5.14 (Java/21.0.11)"/>
    <d v="2026-05-24T15:17:53"/>
  </r>
  <r>
    <s v="cmpjx902200dfw2rwosnru4wo"/>
    <x v="6"/>
    <s v="GET"/>
    <s v="/api/v1/relatorios"/>
    <s v="/api/v1/relatorios/"/>
    <x v="2"/>
    <n v="13.21"/>
    <d v="2026-05-24T15:17:53"/>
    <d v="2026-05-24T15:17:53"/>
    <s v="::ffff:127.0.0.1"/>
    <s v="Apache-HttpClient/4.5.14 (Java/21.0.11)"/>
    <d v="2026-05-24T15:17:53"/>
  </r>
  <r>
    <s v="cmpjx902800dhw2rwkkxbqvc5"/>
    <x v="6"/>
    <s v="GET"/>
    <s v="/api/v1/relatorios"/>
    <s v="/api/v1/relatorios/"/>
    <x v="2"/>
    <n v="15.48"/>
    <d v="2026-05-24T15:17:53"/>
    <d v="2026-05-24T15:17:53"/>
    <s v="::ffff:127.0.0.1"/>
    <s v="Apache-HttpClient/4.5.14 (Java/21.0.11)"/>
    <d v="2026-05-24T15:17:53"/>
  </r>
  <r>
    <s v="cmpjx902v00dmw2rw3l39xv3j"/>
    <x v="6"/>
    <s v="GET"/>
    <s v="/api/v1/relatorios"/>
    <s v="/api/v1/relatorios/"/>
    <x v="2"/>
    <n v="4.55"/>
    <d v="2026-05-24T15:17:53"/>
    <d v="2026-05-24T15:17:53"/>
    <s v="::ffff:127.0.0.1"/>
    <s v="Apache-HttpClient/4.5.14 (Java/21.0.11)"/>
    <d v="2026-05-24T15:17:53"/>
  </r>
  <r>
    <s v="cmpjx903k00dsw2rwnykphtfa"/>
    <x v="6"/>
    <s v="GET"/>
    <s v="/api/v1/relatorios"/>
    <s v="/api/v1/relatorios/"/>
    <x v="2"/>
    <n v="5.49"/>
    <d v="2026-05-24T15:17:53"/>
    <d v="2026-05-24T15:17:53"/>
    <s v="::ffff:127.0.0.1"/>
    <s v="Apache-HttpClient/4.5.14 (Java/21.0.11)"/>
    <d v="2026-05-24T15:17:53"/>
  </r>
  <r>
    <s v="cmpjx907x00eiw2rw4rbbt858"/>
    <x v="6"/>
    <s v="GET"/>
    <s v="/api/v1/relatorios"/>
    <s v="/api/v1/relatorios/"/>
    <x v="2"/>
    <n v="12.93"/>
    <d v="2026-05-24T15:17:53"/>
    <d v="2026-05-24T15:17:53"/>
    <s v="::ffff:127.0.0.1"/>
    <s v="Apache-HttpClient/4.5.14 (Java/21.0.11)"/>
    <d v="2026-05-24T15:17:53"/>
  </r>
  <r>
    <s v="cmpjx909400epw2rwrlbk7cxu"/>
    <x v="6"/>
    <s v="GET"/>
    <s v="/api/v1/relatorios"/>
    <s v="/api/v1/relatorios/"/>
    <x v="2"/>
    <n v="5.9"/>
    <d v="2026-05-24T15:17:53"/>
    <d v="2026-05-24T15:17:53"/>
    <s v="::ffff:127.0.0.1"/>
    <s v="Apache-HttpClient/4.5.14 (Java/21.0.11)"/>
    <d v="2026-05-24T15:17:53"/>
  </r>
  <r>
    <s v="cmpjx909j00evw2rwjesmek6c"/>
    <x v="6"/>
    <s v="GET"/>
    <s v="/api/v1/relatorios"/>
    <s v="/api/v1/relatorios/"/>
    <x v="2"/>
    <n v="7.62"/>
    <d v="2026-05-24T15:17:53"/>
    <d v="2026-05-24T15:17:53"/>
    <s v="::ffff:127.0.0.1"/>
    <s v="Apache-HttpClient/4.5.14 (Java/21.0.11)"/>
    <d v="2026-05-24T15:17:53"/>
  </r>
  <r>
    <s v="cmpjx909q00exw2rwpi3zgll0"/>
    <x v="6"/>
    <s v="GET"/>
    <s v="/api/v1/relatorios"/>
    <s v="/api/v1/relatorios/"/>
    <x v="2"/>
    <n v="5.73"/>
    <d v="2026-05-24T15:17:53"/>
    <d v="2026-05-24T15:17:53"/>
    <s v="::ffff:127.0.0.1"/>
    <s v="Apache-HttpClient/4.5.14 (Java/21.0.11)"/>
    <d v="2026-05-24T15:17:53"/>
  </r>
  <r>
    <s v="cmpjx90a300f1w2rwk0s97lbp"/>
    <x v="6"/>
    <s v="GET"/>
    <s v="/api/v1/relatorios"/>
    <s v="/api/v1/relatorios/"/>
    <x v="2"/>
    <n v="6.3"/>
    <d v="2026-05-24T15:17:53"/>
    <d v="2026-05-24T15:17:53"/>
    <s v="::ffff:127.0.0.1"/>
    <s v="Apache-HttpClient/4.5.14 (Java/21.0.11)"/>
    <d v="2026-05-24T15:17:53"/>
  </r>
  <r>
    <s v="cmpjx90e000fxw2rw6fk717i4"/>
    <x v="6"/>
    <s v="GET"/>
    <s v="/api/v1/relatorios"/>
    <s v="/api/v1/relatorios/"/>
    <x v="2"/>
    <n v="7.1"/>
    <d v="2026-05-24T15:17:54"/>
    <d v="2026-05-24T15:17:54"/>
    <s v="::ffff:127.0.0.1"/>
    <s v="Apache-HttpClient/4.5.14 (Java/21.0.11)"/>
    <d v="2026-05-24T15:17:54"/>
  </r>
  <r>
    <s v="cmpjx90er00g4w2rw2xcd8nbq"/>
    <x v="6"/>
    <s v="GET"/>
    <s v="/api/v1/relatorios"/>
    <s v="/api/v1/relatorios/"/>
    <x v="2"/>
    <n v="9.36"/>
    <d v="2026-05-24T15:17:54"/>
    <d v="2026-05-24T15:17:54"/>
    <s v="::ffff:127.0.0.1"/>
    <s v="Apache-HttpClient/4.5.14 (Java/21.0.11)"/>
    <d v="2026-05-24T15:17:54"/>
  </r>
  <r>
    <s v="cmpjx90f000g7w2rwi4gn8o21"/>
    <x v="6"/>
    <s v="GET"/>
    <s v="/api/v1/relatorios"/>
    <s v="/api/v1/relatorios/"/>
    <x v="2"/>
    <n v="6.9"/>
    <d v="2026-05-24T15:17:54"/>
    <d v="2026-05-24T15:17:54"/>
    <s v="::ffff:127.0.0.1"/>
    <s v="Apache-HttpClient/4.5.14 (Java/21.0.11)"/>
    <d v="2026-05-24T15:17:54"/>
  </r>
  <r>
    <s v="cmpjx90f900g9w2rw6xkotdei"/>
    <x v="6"/>
    <s v="GET"/>
    <s v="/api/v1/relatorios"/>
    <s v="/api/v1/relatorios/"/>
    <x v="2"/>
    <n v="7.16"/>
    <d v="2026-05-24T15:17:54"/>
    <d v="2026-05-24T15:17:54"/>
    <s v="::ffff:127.0.0.1"/>
    <s v="Apache-HttpClient/4.5.14 (Java/21.0.11)"/>
    <d v="2026-05-24T15:17:54"/>
  </r>
  <r>
    <s v="cmpjx90g800ghw2rwdpxvbusp"/>
    <x v="6"/>
    <s v="GET"/>
    <s v="/api/v1/relatorios"/>
    <s v="/api/v1/relatorios/"/>
    <x v="2"/>
    <n v="7.93"/>
    <d v="2026-05-24T15:17:54"/>
    <d v="2026-05-24T15:17:54"/>
    <s v="::ffff:127.0.0.1"/>
    <s v="Apache-HttpClient/4.5.14 (Java/21.0.11)"/>
    <d v="2026-05-24T15:17:54"/>
  </r>
  <r>
    <s v="cmpjx90kq00hbw2rwl8hftllb"/>
    <x v="6"/>
    <s v="GET"/>
    <s v="/api/v1/relatorios"/>
    <s v="/api/v1/relatorios/"/>
    <x v="2"/>
    <n v="10.1"/>
    <d v="2026-05-24T15:17:54"/>
    <d v="2026-05-24T15:17:54"/>
    <s v="::ffff:127.0.0.1"/>
    <s v="Apache-HttpClient/4.5.14 (Java/21.0.11)"/>
    <d v="2026-05-24T15:17:54"/>
  </r>
  <r>
    <s v="cmpjx90lp00hiw2rwcnmbwdww"/>
    <x v="6"/>
    <s v="GET"/>
    <s v="/api/v1/relatorios"/>
    <s v="/api/v1/relatorios/"/>
    <x v="2"/>
    <n v="17.12"/>
    <d v="2026-05-24T15:17:54"/>
    <d v="2026-05-24T15:17:54"/>
    <s v="::ffff:127.0.0.1"/>
    <s v="Apache-HttpClient/4.5.14 (Java/21.0.11)"/>
    <d v="2026-05-24T15:17:54"/>
  </r>
  <r>
    <s v="cmpjx90m800hmw2rwylgekpih"/>
    <x v="6"/>
    <s v="GET"/>
    <s v="/api/v1/relatorios"/>
    <s v="/api/v1/relatorios/"/>
    <x v="2"/>
    <n v="10.83"/>
    <d v="2026-05-24T15:17:54"/>
    <d v="2026-05-24T15:17:54"/>
    <s v="::ffff:127.0.0.1"/>
    <s v="Apache-HttpClient/4.5.14 (Java/21.0.11)"/>
    <d v="2026-05-24T15:17:54"/>
  </r>
  <r>
    <s v="cmpjx90mb00hnw2rwbf3wh351"/>
    <x v="6"/>
    <s v="GET"/>
    <s v="/api/v1/relatorios"/>
    <s v="/api/v1/relatorios/"/>
    <x v="2"/>
    <n v="12.99"/>
    <d v="2026-05-24T15:17:54"/>
    <d v="2026-05-24T15:17:54"/>
    <s v="::ffff:127.0.0.1"/>
    <s v="Apache-HttpClient/4.5.14 (Java/21.0.11)"/>
    <d v="2026-05-24T15:17:54"/>
  </r>
  <r>
    <s v="cmpjx90n700huw2rwnbk2ei5t"/>
    <x v="6"/>
    <s v="GET"/>
    <s v="/api/v1/relatorios"/>
    <s v="/api/v1/relatorios/"/>
    <x v="2"/>
    <n v="3.96"/>
    <d v="2026-05-24T15:17:54"/>
    <d v="2026-05-24T15:17:54"/>
    <s v="::ffff:127.0.0.1"/>
    <s v="Apache-HttpClient/4.5.14 (Java/21.0.11)"/>
    <d v="2026-05-24T15:17:54"/>
  </r>
  <r>
    <s v="cmpjx90s100iqw2rw87dnz06b"/>
    <x v="6"/>
    <s v="GET"/>
    <s v="/api/v1/relatorios"/>
    <s v="/api/v1/relatorios/"/>
    <x v="2"/>
    <n v="9.23"/>
    <d v="2026-05-24T15:17:54"/>
    <d v="2026-05-24T15:17:54"/>
    <s v="::ffff:127.0.0.1"/>
    <s v="Apache-HttpClient/4.5.14 (Java/21.0.11)"/>
    <d v="2026-05-24T15:17:54"/>
  </r>
  <r>
    <s v="cmpjx90sl00iww2rwahfcqdqu"/>
    <x v="6"/>
    <s v="GET"/>
    <s v="/api/v1/relatorios"/>
    <s v="/api/v1/relatorios/"/>
    <x v="2"/>
    <n v="5.32"/>
    <d v="2026-05-24T15:17:54"/>
    <d v="2026-05-24T15:17:54"/>
    <s v="::ffff:127.0.0.1"/>
    <s v="Apache-HttpClient/4.5.14 (Java/21.0.11)"/>
    <d v="2026-05-24T15:17:54"/>
  </r>
  <r>
    <s v="cmpjx90sp00iyw2rwx52rdhk6"/>
    <x v="6"/>
    <s v="GET"/>
    <s v="/api/v1/relatorios"/>
    <s v="/api/v1/relatorios/"/>
    <x v="2"/>
    <n v="7.83"/>
    <d v="2026-05-24T15:17:54"/>
    <d v="2026-05-24T15:17:54"/>
    <s v="::ffff:127.0.0.1"/>
    <s v="Apache-HttpClient/4.5.14 (Java/21.0.11)"/>
    <d v="2026-05-24T15:17:54"/>
  </r>
  <r>
    <s v="cmpjx90t100j1w2rwl09co9j0"/>
    <x v="6"/>
    <s v="GET"/>
    <s v="/api/v1/relatorios"/>
    <s v="/api/v1/relatorios/"/>
    <x v="2"/>
    <n v="6.44"/>
    <d v="2026-05-24T15:17:54"/>
    <d v="2026-05-24T15:17:54"/>
    <s v="::ffff:127.0.0.1"/>
    <s v="Apache-HttpClient/4.5.14 (Java/21.0.11)"/>
    <d v="2026-05-24T15:17:54"/>
  </r>
  <r>
    <s v="cmpjx90tw00j9w2rwfeiwvt7p"/>
    <x v="6"/>
    <s v="GET"/>
    <s v="/api/v1/relatorios"/>
    <s v="/api/v1/relatorios/"/>
    <x v="2"/>
    <n v="7.71"/>
    <d v="2026-05-24T15:17:54"/>
    <d v="2026-05-24T15:17:54"/>
    <s v="::ffff:127.0.0.1"/>
    <s v="Apache-HttpClient/4.5.14 (Java/21.0.11)"/>
    <d v="2026-05-24T15:17:54"/>
  </r>
  <r>
    <s v="cmpjx90zc00k7w2rwov0pw52c"/>
    <x v="6"/>
    <s v="GET"/>
    <s v="/api/v1/relatorios"/>
    <s v="/api/v1/relatorios/"/>
    <x v="2"/>
    <n v="20.72"/>
    <d v="2026-05-24T15:17:54"/>
    <d v="2026-05-24T15:17:54"/>
    <s v="::ffff:127.0.0.1"/>
    <s v="Apache-HttpClient/4.5.14 (Java/21.0.11)"/>
    <d v="2026-05-24T15:17:54"/>
  </r>
  <r>
    <s v="cmpjx910600k8w2rwrj5tjg39"/>
    <x v="6"/>
    <s v="GET"/>
    <s v="/api/v1/relatorios"/>
    <s v="/api/v1/relatorios/"/>
    <x v="2"/>
    <n v="18.079999999999998"/>
    <d v="2026-05-24T15:17:54"/>
    <d v="2026-05-24T15:17:54"/>
    <s v="::ffff:127.0.0.1"/>
    <s v="Apache-HttpClient/4.5.14 (Java/21.0.11)"/>
    <d v="2026-05-24T15:17:54"/>
  </r>
  <r>
    <s v="cmpjx910g00kaw2rwdqyulyvd"/>
    <x v="6"/>
    <s v="GET"/>
    <s v="/api/v1/relatorios"/>
    <s v="/api/v1/relatorios/"/>
    <x v="2"/>
    <n v="25.96"/>
    <d v="2026-05-24T15:17:54"/>
    <d v="2026-05-24T15:17:54"/>
    <s v="::ffff:127.0.0.1"/>
    <s v="Apache-HttpClient/4.5.14 (Java/21.0.11)"/>
    <d v="2026-05-24T15:17:54"/>
  </r>
  <r>
    <s v="cmpjx911300kew2rw0lgu3ewg"/>
    <x v="6"/>
    <s v="GET"/>
    <s v="/api/v1/relatorios"/>
    <s v="/api/v1/relatorios/"/>
    <x v="2"/>
    <n v="9.52"/>
    <d v="2026-05-24T15:17:54"/>
    <d v="2026-05-24T15:17:54"/>
    <s v="::ffff:127.0.0.1"/>
    <s v="Apache-HttpClient/4.5.14 (Java/21.0.11)"/>
    <d v="2026-05-24T15:17:54"/>
  </r>
  <r>
    <s v="cmpjx912d00kpw2rwalwc1310"/>
    <x v="6"/>
    <s v="GET"/>
    <s v="/api/v1/relatorios"/>
    <s v="/api/v1/relatorios/"/>
    <x v="2"/>
    <n v="4.6399999999999997"/>
    <d v="2026-05-24T15:17:54"/>
    <d v="2026-05-24T15:17:54"/>
    <s v="::ffff:127.0.0.1"/>
    <s v="Apache-HttpClient/4.5.14 (Java/21.0.11)"/>
    <d v="2026-05-24T15:17:54"/>
  </r>
  <r>
    <s v="cmpjx915400lgw2rwiwrgvk4b"/>
    <x v="6"/>
    <s v="GET"/>
    <s v="/api/v1/relatorios"/>
    <s v="/api/v1/relatorios/"/>
    <x v="2"/>
    <n v="3.88"/>
    <d v="2026-05-24T15:17:55"/>
    <d v="2026-05-24T15:17:55"/>
    <s v="::ffff:127.0.0.1"/>
    <s v="Apache-HttpClient/4.5.14 (Java/21.0.11)"/>
    <d v="2026-05-24T15:17:55"/>
  </r>
  <r>
    <s v="cmpjx915700lhw2rwu9qdwncr"/>
    <x v="6"/>
    <s v="GET"/>
    <s v="/api/v1/relatorios"/>
    <s v="/api/v1/relatorios/"/>
    <x v="2"/>
    <n v="4.16"/>
    <d v="2026-05-24T15:17:55"/>
    <d v="2026-05-24T15:17:55"/>
    <s v="::ffff:127.0.0.1"/>
    <s v="Apache-HttpClient/4.5.14 (Java/21.0.11)"/>
    <d v="2026-05-24T15:17:55"/>
  </r>
  <r>
    <s v="cmpjx915o00lmw2rw315cdrm6"/>
    <x v="6"/>
    <s v="GET"/>
    <s v="/api/v1/relatorios"/>
    <s v="/api/v1/relatorios/"/>
    <x v="2"/>
    <n v="7.63"/>
    <d v="2026-05-24T15:17:55"/>
    <d v="2026-05-24T15:17:55"/>
    <s v="::ffff:127.0.0.1"/>
    <s v="Apache-HttpClient/4.5.14 (Java/21.0.11)"/>
    <d v="2026-05-24T15:17:55"/>
  </r>
  <r>
    <s v="cmpjx916x00lzw2rwg5xk36q4"/>
    <x v="6"/>
    <s v="GET"/>
    <s v="/api/v1/relatorios"/>
    <s v="/api/v1/relatorios/"/>
    <x v="2"/>
    <n v="6.7"/>
    <d v="2026-05-24T15:17:55"/>
    <d v="2026-05-24T15:17:55"/>
    <s v="::ffff:127.0.0.1"/>
    <s v="Apache-HttpClient/4.5.14 (Java/21.0.11)"/>
    <d v="2026-05-24T15:17:55"/>
  </r>
  <r>
    <s v="cmpjx919r00mhw2rw92qrjn29"/>
    <x v="6"/>
    <s v="GET"/>
    <s v="/api/v1/relatorios"/>
    <s v="/api/v1/relatorios/"/>
    <x v="2"/>
    <n v="5.31"/>
    <d v="2026-05-24T15:17:55"/>
    <d v="2026-05-24T15:17:55"/>
    <s v="::ffff:127.0.0.1"/>
    <s v="Apache-HttpClient/4.5.14 (Java/21.0.11)"/>
    <d v="2026-05-24T15:17:55"/>
  </r>
  <r>
    <s v="cmpjx91ak00mnw2rw49wckolk"/>
    <x v="6"/>
    <s v="GET"/>
    <s v="/api/v1/relatorios"/>
    <s v="/api/v1/relatorios/"/>
    <x v="2"/>
    <n v="8.08"/>
    <d v="2026-05-24T15:17:55"/>
    <d v="2026-05-24T15:17:55"/>
    <s v="::ffff:127.0.0.1"/>
    <s v="Apache-HttpClient/4.5.14 (Java/21.0.11)"/>
    <d v="2026-05-24T15:17:55"/>
  </r>
  <r>
    <s v="cmpjx91bf00msw2rwpl3i3gvk"/>
    <x v="6"/>
    <s v="GET"/>
    <s v="/api/v1/relatorios"/>
    <s v="/api/v1/relatorios/"/>
    <x v="2"/>
    <n v="6.36"/>
    <d v="2026-05-24T15:17:55"/>
    <d v="2026-05-24T15:17:55"/>
    <s v="::ffff:127.0.0.1"/>
    <s v="Apache-HttpClient/4.5.14 (Java/21.0.11)"/>
    <d v="2026-05-24T15:17:55"/>
  </r>
  <r>
    <s v="cmpjx91c700mzw2rw8ankwdlb"/>
    <x v="6"/>
    <s v="GET"/>
    <s v="/api/v1/relatorios"/>
    <s v="/api/v1/relatorios/"/>
    <x v="2"/>
    <n v="3.98"/>
    <d v="2026-05-24T15:17:55"/>
    <d v="2026-05-24T15:17:55"/>
    <s v="::ffff:127.0.0.1"/>
    <s v="Apache-HttpClient/4.5.14 (Java/21.0.11)"/>
    <d v="2026-05-24T15:17:55"/>
  </r>
  <r>
    <s v="cmpjx91ey00nkw2rwopsl9swn"/>
    <x v="6"/>
    <s v="GET"/>
    <s v="/api/v1/relatorios"/>
    <s v="/api/v1/relatorios/"/>
    <x v="2"/>
    <n v="6.37"/>
    <d v="2026-05-24T15:17:55"/>
    <d v="2026-05-24T15:17:55"/>
    <s v="::ffff:127.0.0.1"/>
    <s v="Apache-HttpClient/4.5.14 (Java/21.0.11)"/>
    <d v="2026-05-24T15:17:55"/>
  </r>
  <r>
    <s v="cmpjx91fe00now2rwixf8ln9i"/>
    <x v="6"/>
    <s v="GET"/>
    <s v="/api/v1/relatorios"/>
    <s v="/api/v1/relatorios/"/>
    <x v="2"/>
    <n v="6.52"/>
    <d v="2026-05-24T15:17:55"/>
    <d v="2026-05-24T15:17:55"/>
    <s v="::ffff:127.0.0.1"/>
    <s v="Apache-HttpClient/4.5.14 (Java/21.0.11)"/>
    <d v="2026-05-24T15:17:55"/>
  </r>
  <r>
    <s v="cmpjx91gz00nzw2rwd6r17nzq"/>
    <x v="6"/>
    <s v="GET"/>
    <s v="/api/v1/relatorios"/>
    <s v="/api/v1/relatorios/"/>
    <x v="2"/>
    <n v="4.46"/>
    <d v="2026-05-24T15:17:55"/>
    <d v="2026-05-24T15:17:55"/>
    <s v="::ffff:127.0.0.1"/>
    <s v="Apache-HttpClient/4.5.14 (Java/21.0.11)"/>
    <d v="2026-05-24T15:17:55"/>
  </r>
  <r>
    <s v="cmpjx91ir00oaw2rw8aoy1kdg"/>
    <x v="6"/>
    <s v="GET"/>
    <s v="/api/v1/relatorios"/>
    <s v="/api/v1/relatorios/"/>
    <x v="2"/>
    <n v="6.17"/>
    <d v="2026-05-24T15:17:55"/>
    <d v="2026-05-24T15:17:55"/>
    <s v="::ffff:127.0.0.1"/>
    <s v="Apache-HttpClient/4.5.14 (Java/21.0.11)"/>
    <d v="2026-05-24T15:17:55"/>
  </r>
  <r>
    <s v="cmpjx91l000omw2rwzbgbc4vq"/>
    <x v="6"/>
    <s v="GET"/>
    <s v="/api/v1/relatorios"/>
    <s v="/api/v1/relatorios/"/>
    <x v="2"/>
    <n v="5.61"/>
    <d v="2026-05-24T15:17:55"/>
    <d v="2026-05-24T15:17:55"/>
    <s v="::ffff:127.0.0.1"/>
    <s v="Apache-HttpClient/4.5.14 (Java/21.0.11)"/>
    <d v="2026-05-24T15:17:55"/>
  </r>
  <r>
    <s v="cmpjx91m000ouw2rwn6jrbu9e"/>
    <x v="6"/>
    <s v="GET"/>
    <s v="/api/v1/relatorios"/>
    <s v="/api/v1/relatorios/"/>
    <x v="2"/>
    <n v="3.21"/>
    <d v="2026-05-24T15:17:55"/>
    <d v="2026-05-24T15:17:55"/>
    <s v="::ffff:127.0.0.1"/>
    <s v="Apache-HttpClient/4.5.14 (Java/21.0.11)"/>
    <d v="2026-05-24T15:17:55"/>
  </r>
  <r>
    <s v="cmpjx8zm600bbw2rwz9z7cgat"/>
    <x v="7"/>
    <s v="GET"/>
    <s v="/api/v1/testes"/>
    <s v="/api/v1/testes/"/>
    <x v="2"/>
    <n v="5.34"/>
    <d v="2026-05-24T15:17:53"/>
    <d v="2026-05-24T15:17:53"/>
    <s v="::ffff:127.0.0.1"/>
    <s v="Apache-HttpClient/4.5.14 (Java/21.0.11)"/>
    <d v="2026-05-24T15:17:53"/>
  </r>
  <r>
    <s v="cmpjx8zow00blw2rw0px9v5jt"/>
    <x v="7"/>
    <s v="GET"/>
    <s v="/api/v1/testes"/>
    <s v="/api/v1/testes/"/>
    <x v="2"/>
    <n v="4.2300000000000004"/>
    <d v="2026-05-24T15:17:53"/>
    <d v="2026-05-24T15:17:53"/>
    <s v="::ffff:127.0.0.1"/>
    <s v="Apache-HttpClient/4.5.14 (Java/21.0.11)"/>
    <d v="2026-05-24T15:17:53"/>
  </r>
  <r>
    <s v="cmpjx8zsb00bzw2rwhc4vx28i"/>
    <x v="7"/>
    <s v="GET"/>
    <s v="/api/v1/testes"/>
    <s v="/api/v1/testes/"/>
    <x v="2"/>
    <n v="5.37"/>
    <d v="2026-05-24T15:17:53"/>
    <d v="2026-05-24T15:17:53"/>
    <s v="::ffff:127.0.0.1"/>
    <s v="Apache-HttpClient/4.5.14 (Java/21.0.11)"/>
    <d v="2026-05-24T15:17:53"/>
  </r>
  <r>
    <s v="cmpjx8zso00c1w2rwaeh8kzh7"/>
    <x v="7"/>
    <s v="GET"/>
    <s v="/api/v1/testes"/>
    <s v="/api/v1/testes/"/>
    <x v="2"/>
    <n v="4.63"/>
    <d v="2026-05-24T15:17:53"/>
    <d v="2026-05-24T15:17:53"/>
    <s v="::ffff:127.0.0.1"/>
    <s v="Apache-HttpClient/4.5.14 (Java/21.0.11)"/>
    <d v="2026-05-24T15:17:53"/>
  </r>
  <r>
    <s v="cmpjx8zx100cjw2rwarr125bt"/>
    <x v="7"/>
    <s v="GET"/>
    <s v="/api/v1/testes"/>
    <s v="/api/v1/testes/"/>
    <x v="2"/>
    <n v="6.54"/>
    <d v="2026-05-24T15:17:53"/>
    <d v="2026-05-24T15:17:53"/>
    <s v="::ffff:127.0.0.1"/>
    <s v="Apache-HttpClient/4.5.14 (Java/21.0.11)"/>
    <d v="2026-05-24T15:17:53"/>
  </r>
  <r>
    <s v="cmpjx8zxo00cow2rw0rxso9mf"/>
    <x v="7"/>
    <s v="GET"/>
    <s v="/api/v1/testes"/>
    <s v="/api/v1/testes/"/>
    <x v="2"/>
    <n v="3.89"/>
    <d v="2026-05-24T15:17:53"/>
    <d v="2026-05-24T15:17:53"/>
    <s v="::ffff:127.0.0.1"/>
    <s v="Apache-HttpClient/4.5.14 (Java/21.0.11)"/>
    <d v="2026-05-24T15:17:53"/>
  </r>
  <r>
    <s v="cmpjx8zy400csw2rwpfb07n4h"/>
    <x v="7"/>
    <s v="GET"/>
    <s v="/api/v1/testes"/>
    <s v="/api/v1/testes/"/>
    <x v="2"/>
    <n v="3.67"/>
    <d v="2026-05-24T15:17:53"/>
    <d v="2026-05-24T15:17:53"/>
    <s v="::ffff:127.0.0.1"/>
    <s v="Apache-HttpClient/4.5.14 (Java/21.0.11)"/>
    <d v="2026-05-24T15:17:53"/>
  </r>
  <r>
    <s v="cmpjx902g00diw2rw40y04x8y"/>
    <x v="7"/>
    <s v="GET"/>
    <s v="/api/v1/testes"/>
    <s v="/api/v1/testes/"/>
    <x v="2"/>
    <n v="3.72"/>
    <d v="2026-05-24T15:17:53"/>
    <d v="2026-05-24T15:17:53"/>
    <s v="::ffff:127.0.0.1"/>
    <s v="Apache-HttpClient/4.5.14 (Java/21.0.11)"/>
    <d v="2026-05-24T15:17:53"/>
  </r>
  <r>
    <s v="cmpjx902o00dlw2rw0vrev3q4"/>
    <x v="7"/>
    <s v="GET"/>
    <s v="/api/v1/testes"/>
    <s v="/api/v1/testes/"/>
    <x v="2"/>
    <n v="9.7100000000000009"/>
    <d v="2026-05-24T15:17:53"/>
    <d v="2026-05-24T15:17:53"/>
    <s v="::ffff:127.0.0.1"/>
    <s v="Apache-HttpClient/4.5.14 (Java/21.0.11)"/>
    <d v="2026-05-24T15:17:53"/>
  </r>
  <r>
    <s v="cmpjx903400dow2rwbjtj2i9b"/>
    <x v="7"/>
    <s v="GET"/>
    <s v="/api/v1/testes"/>
    <s v="/api/v1/testes/"/>
    <x v="2"/>
    <n v="3.5"/>
    <d v="2026-05-24T15:17:53"/>
    <d v="2026-05-24T15:17:53"/>
    <s v="::ffff:127.0.0.1"/>
    <s v="Apache-HttpClient/4.5.14 (Java/21.0.11)"/>
    <d v="2026-05-24T15:17:53"/>
  </r>
  <r>
    <s v="cmpjx903t00duw2rwhz8p9iix"/>
    <x v="7"/>
    <s v="GET"/>
    <s v="/api/v1/testes"/>
    <s v="/api/v1/testes/"/>
    <x v="2"/>
    <n v="4.08"/>
    <d v="2026-05-24T15:17:53"/>
    <d v="2026-05-24T15:17:53"/>
    <s v="::ffff:127.0.0.1"/>
    <s v="Apache-HttpClient/4.5.14 (Java/21.0.11)"/>
    <d v="2026-05-24T15:17:53"/>
  </r>
  <r>
    <s v="cmpjx908v00enw2rwtzjq972r"/>
    <x v="7"/>
    <s v="GET"/>
    <s v="/api/v1/testes"/>
    <s v="/api/v1/testes/"/>
    <x v="2"/>
    <n v="24.8"/>
    <d v="2026-05-24T15:17:53"/>
    <d v="2026-05-24T15:17:53"/>
    <s v="::ffff:127.0.0.1"/>
    <s v="Apache-HttpClient/4.5.14 (Java/21.0.11)"/>
    <d v="2026-05-24T15:17:53"/>
  </r>
  <r>
    <s v="cmpjx909f00etw2rwn1o1u6yb"/>
    <x v="7"/>
    <s v="GET"/>
    <s v="/api/v1/testes"/>
    <s v="/api/v1/testes/"/>
    <x v="2"/>
    <n v="5.37"/>
    <d v="2026-05-24T15:17:53"/>
    <d v="2026-05-24T15:17:53"/>
    <s v="::ffff:127.0.0.1"/>
    <s v="Apache-HttpClient/4.5.14 (Java/21.0.11)"/>
    <d v="2026-05-24T15:17:53"/>
  </r>
  <r>
    <s v="cmpjx909v00ezw2rw3c1gxl3f"/>
    <x v="7"/>
    <s v="GET"/>
    <s v="/api/v1/testes"/>
    <s v="/api/v1/testes/"/>
    <x v="2"/>
    <n v="7.05"/>
    <d v="2026-05-24T15:17:53"/>
    <d v="2026-05-24T15:17:53"/>
    <s v="::ffff:127.0.0.1"/>
    <s v="Apache-HttpClient/4.5.14 (Java/21.0.11)"/>
    <d v="2026-05-24T15:17:53"/>
  </r>
  <r>
    <s v="cmpjx90a200f0w2rwr3jvsefx"/>
    <x v="7"/>
    <s v="GET"/>
    <s v="/api/v1/testes"/>
    <s v="/api/v1/testes/"/>
    <x v="2"/>
    <n v="5.53"/>
    <d v="2026-05-24T15:17:53"/>
    <d v="2026-05-24T15:17:53"/>
    <s v="::ffff:127.0.0.1"/>
    <s v="Apache-HttpClient/4.5.14 (Java/21.0.11)"/>
    <d v="2026-05-24T15:17:53"/>
  </r>
  <r>
    <s v="cmpjx90ae00f4w2rw2elyrgll"/>
    <x v="7"/>
    <s v="GET"/>
    <s v="/api/v1/testes"/>
    <s v="/api/v1/testes/"/>
    <x v="2"/>
    <n v="4.0999999999999996"/>
    <d v="2026-05-24T15:17:53"/>
    <d v="2026-05-24T15:17:53"/>
    <s v="::ffff:127.0.0.1"/>
    <s v="Apache-HttpClient/4.5.14 (Java/21.0.11)"/>
    <d v="2026-05-24T15:17:53"/>
  </r>
  <r>
    <s v="cmpjx90el00g2w2rwx3131usm"/>
    <x v="7"/>
    <s v="GET"/>
    <s v="/api/v1/testes"/>
    <s v="/api/v1/testes/"/>
    <x v="2"/>
    <n v="12.15"/>
    <d v="2026-05-24T15:17:54"/>
    <d v="2026-05-24T15:17:54"/>
    <s v="::ffff:127.0.0.1"/>
    <s v="Apache-HttpClient/4.5.14 (Java/21.0.11)"/>
    <d v="2026-05-24T15:17:54"/>
  </r>
  <r>
    <s v="cmpjx90f400g8w2rwpief88h8"/>
    <x v="7"/>
    <s v="GET"/>
    <s v="/api/v1/testes"/>
    <s v="/api/v1/testes/"/>
    <x v="2"/>
    <n v="7.5"/>
    <d v="2026-05-24T15:17:54"/>
    <d v="2026-05-24T15:17:54"/>
    <s v="::ffff:127.0.0.1"/>
    <s v="Apache-HttpClient/4.5.14 (Java/21.0.11)"/>
    <d v="2026-05-24T15:17:54"/>
  </r>
  <r>
    <s v="cmpjx90ff00gbw2rwjlhoxol3"/>
    <x v="7"/>
    <s v="GET"/>
    <s v="/api/v1/testes"/>
    <s v="/api/v1/testes/"/>
    <x v="2"/>
    <n v="8.34"/>
    <d v="2026-05-24T15:17:54"/>
    <d v="2026-05-24T15:17:54"/>
    <s v="::ffff:127.0.0.1"/>
    <s v="Apache-HttpClient/4.5.14 (Java/21.0.11)"/>
    <d v="2026-05-24T15:17:54"/>
  </r>
  <r>
    <s v="cmpjx90fm00gdw2rwg6hpi681"/>
    <x v="7"/>
    <s v="GET"/>
    <s v="/api/v1/testes"/>
    <s v="/api/v1/testes/"/>
    <x v="2"/>
    <n v="6.11"/>
    <d v="2026-05-24T15:17:54"/>
    <d v="2026-05-24T15:17:54"/>
    <s v="::ffff:127.0.0.1"/>
    <s v="Apache-HttpClient/4.5.14 (Java/21.0.11)"/>
    <d v="2026-05-24T15:17:54"/>
  </r>
  <r>
    <s v="cmpjx90gp00gmw2rw5ikj7pvd"/>
    <x v="7"/>
    <s v="GET"/>
    <s v="/api/v1/testes"/>
    <s v="/api/v1/testes/"/>
    <x v="2"/>
    <n v="9.3800000000000008"/>
    <d v="2026-05-24T15:17:54"/>
    <d v="2026-05-24T15:17:54"/>
    <s v="::ffff:127.0.0.1"/>
    <s v="Apache-HttpClient/4.5.14 (Java/21.0.11)"/>
    <d v="2026-05-24T15:17:54"/>
  </r>
  <r>
    <s v="cmpjx90lj00hgw2rw7weg86uc"/>
    <x v="7"/>
    <s v="GET"/>
    <s v="/api/v1/testes"/>
    <s v="/api/v1/testes/"/>
    <x v="2"/>
    <n v="13.4"/>
    <d v="2026-05-24T15:17:54"/>
    <d v="2026-05-24T15:17:54"/>
    <s v="::ffff:127.0.0.1"/>
    <s v="Apache-HttpClient/4.5.14 (Java/21.0.11)"/>
    <d v="2026-05-24T15:17:54"/>
  </r>
  <r>
    <s v="cmpjx90m500hlw2rwabjw9sew"/>
    <x v="7"/>
    <s v="GET"/>
    <s v="/api/v1/testes"/>
    <s v="/api/v1/testes/"/>
    <x v="2"/>
    <n v="6.77"/>
    <d v="2026-05-24T15:17:54"/>
    <d v="2026-05-24T15:17:54"/>
    <s v="::ffff:127.0.0.1"/>
    <s v="Apache-HttpClient/4.5.14 (Java/21.0.11)"/>
    <d v="2026-05-24T15:17:54"/>
  </r>
  <r>
    <s v="cmpjx90mm00hqw2rwnbx577x5"/>
    <x v="7"/>
    <s v="GET"/>
    <s v="/api/v1/testes"/>
    <s v="/api/v1/testes/"/>
    <x v="2"/>
    <n v="7.45"/>
    <d v="2026-05-24T15:17:54"/>
    <d v="2026-05-24T15:17:54"/>
    <s v="::ffff:127.0.0.1"/>
    <s v="Apache-HttpClient/4.5.14 (Java/21.0.11)"/>
    <d v="2026-05-24T15:17:54"/>
  </r>
  <r>
    <s v="cmpjx90mp00hrw2rw1o4k5u9s"/>
    <x v="7"/>
    <s v="GET"/>
    <s v="/api/v1/testes"/>
    <s v="/api/v1/testes/"/>
    <x v="2"/>
    <n v="9.42"/>
    <d v="2026-05-24T15:17:54"/>
    <d v="2026-05-24T15:17:54"/>
    <s v="::ffff:127.0.0.1"/>
    <s v="Apache-HttpClient/4.5.14 (Java/21.0.11)"/>
    <d v="2026-05-24T15:17:54"/>
  </r>
  <r>
    <s v="cmpjx90nl00hyw2rw4s0li459"/>
    <x v="7"/>
    <s v="GET"/>
    <s v="/api/v1/testes"/>
    <s v="/api/v1/testes/"/>
    <x v="2"/>
    <n v="9.2100000000000009"/>
    <d v="2026-05-24T15:17:54"/>
    <d v="2026-05-24T15:17:54"/>
    <s v="::ffff:127.0.0.1"/>
    <s v="Apache-HttpClient/4.5.14 (Java/21.0.11)"/>
    <d v="2026-05-24T15:17:54"/>
  </r>
  <r>
    <s v="cmpjx90si00ivw2rwt965oakf"/>
    <x v="7"/>
    <s v="GET"/>
    <s v="/api/v1/testes"/>
    <s v="/api/v1/testes/"/>
    <x v="2"/>
    <n v="3.48"/>
    <d v="2026-05-24T15:17:54"/>
    <d v="2026-05-24T15:17:54"/>
    <s v="::ffff:127.0.0.1"/>
    <s v="Apache-HttpClient/4.5.14 (Java/21.0.11)"/>
    <d v="2026-05-24T15:17:54"/>
  </r>
  <r>
    <s v="cmpjx90sy00j0w2rwfo82v6zt"/>
    <x v="7"/>
    <s v="GET"/>
    <s v="/api/v1/testes"/>
    <s v="/api/v1/testes/"/>
    <x v="2"/>
    <n v="4.42"/>
    <d v="2026-05-24T15:17:54"/>
    <d v="2026-05-24T15:17:54"/>
    <s v="::ffff:127.0.0.1"/>
    <s v="Apache-HttpClient/4.5.14 (Java/21.0.11)"/>
    <d v="2026-05-24T15:17:54"/>
  </r>
  <r>
    <s v="cmpjx90t400j2w2rw37vlo6x3"/>
    <x v="7"/>
    <s v="GET"/>
    <s v="/api/v1/testes"/>
    <s v="/api/v1/testes/"/>
    <x v="2"/>
    <n v="9.1199999999999992"/>
    <d v="2026-05-24T15:17:54"/>
    <d v="2026-05-24T15:17:54"/>
    <s v="::ffff:127.0.0.1"/>
    <s v="Apache-HttpClient/4.5.14 (Java/21.0.11)"/>
    <d v="2026-05-24T15:17:54"/>
  </r>
  <r>
    <s v="cmpjx90tg00j5w2rwvytpos8r"/>
    <x v="7"/>
    <s v="GET"/>
    <s v="/api/v1/testes"/>
    <s v="/api/v1/testes/"/>
    <x v="2"/>
    <n v="6.25"/>
    <d v="2026-05-24T15:17:54"/>
    <d v="2026-05-24T15:17:54"/>
    <s v="::ffff:127.0.0.1"/>
    <s v="Apache-HttpClient/4.5.14 (Java/21.0.11)"/>
    <d v="2026-05-24T15:17:54"/>
  </r>
  <r>
    <s v="cmpjx90ud00jdw2rw7ix2wabj"/>
    <x v="7"/>
    <s v="GET"/>
    <s v="/api/v1/testes"/>
    <s v="/api/v1/testes/"/>
    <x v="2"/>
    <n v="6.52"/>
    <d v="2026-05-24T15:17:54"/>
    <d v="2026-05-24T15:17:54"/>
    <s v="::ffff:127.0.0.1"/>
    <s v="Apache-HttpClient/4.5.14 (Java/21.0.11)"/>
    <d v="2026-05-24T15:17:54"/>
  </r>
  <r>
    <s v="cmpjx910q00kcw2rwh7xk2hct"/>
    <x v="7"/>
    <s v="GET"/>
    <s v="/api/v1/testes"/>
    <s v="/api/v1/testes/"/>
    <x v="2"/>
    <n v="35.07"/>
    <d v="2026-05-24T15:17:54"/>
    <d v="2026-05-24T15:17:54"/>
    <s v="::ffff:127.0.0.1"/>
    <s v="Apache-HttpClient/4.5.14 (Java/21.0.11)"/>
    <d v="2026-05-24T15:17:54"/>
  </r>
  <r>
    <s v="cmpjx911000kdw2rw6nposcki"/>
    <x v="7"/>
    <s v="GET"/>
    <s v="/api/v1/testes"/>
    <s v="/api/v1/testes/"/>
    <x v="2"/>
    <n v="7.96"/>
    <d v="2026-05-24T15:17:54"/>
    <d v="2026-05-24T15:17:54"/>
    <s v="::ffff:127.0.0.1"/>
    <s v="Apache-HttpClient/4.5.14 (Java/21.0.11)"/>
    <d v="2026-05-24T15:17:54"/>
  </r>
  <r>
    <s v="cmpjx911700kfw2rw1k631cp7"/>
    <x v="7"/>
    <s v="GET"/>
    <s v="/api/v1/testes"/>
    <s v="/api/v1/testes/"/>
    <x v="2"/>
    <n v="11.06"/>
    <d v="2026-05-24T15:17:54"/>
    <d v="2026-05-24T15:17:54"/>
    <s v="::ffff:127.0.0.1"/>
    <s v="Apache-HttpClient/4.5.14 (Java/21.0.11)"/>
    <d v="2026-05-24T15:17:54"/>
  </r>
  <r>
    <s v="cmpjx911j00khw2rwzq9knlw4"/>
    <x v="7"/>
    <s v="GET"/>
    <s v="/api/v1/testes"/>
    <s v="/api/v1/testes/"/>
    <x v="2"/>
    <n v="4.45"/>
    <d v="2026-05-24T15:17:54"/>
    <d v="2026-05-24T15:17:54"/>
    <s v="::ffff:127.0.0.1"/>
    <s v="Apache-HttpClient/4.5.14 (Java/21.0.11)"/>
    <d v="2026-05-24T15:17:54"/>
  </r>
  <r>
    <s v="cmpjx912n00kuw2rwc4f1iryj"/>
    <x v="7"/>
    <s v="GET"/>
    <s v="/api/v1/testes"/>
    <s v="/api/v1/testes/"/>
    <x v="2"/>
    <n v="5.97"/>
    <d v="2026-05-24T15:17:54"/>
    <d v="2026-05-24T15:17:54"/>
    <s v="::ffff:127.0.0.1"/>
    <s v="Apache-HttpClient/4.5.14 (Java/21.0.11)"/>
    <d v="2026-05-24T15:17:54"/>
  </r>
  <r>
    <s v="cmpjx915f00lkw2rw8ke9rh7r"/>
    <x v="7"/>
    <s v="GET"/>
    <s v="/api/v1/testes"/>
    <s v="/api/v1/testes/"/>
    <x v="2"/>
    <n v="6.4"/>
    <d v="2026-05-24T15:17:55"/>
    <d v="2026-05-24T15:17:55"/>
    <s v="::ffff:127.0.0.1"/>
    <s v="Apache-HttpClient/4.5.14 (Java/21.0.11)"/>
    <d v="2026-05-24T15:17:55"/>
  </r>
  <r>
    <s v="cmpjx915i00llw2rw7u2d03ib"/>
    <x v="7"/>
    <s v="GET"/>
    <s v="/api/v1/testes"/>
    <s v="/api/v1/testes/"/>
    <x v="2"/>
    <n v="5.73"/>
    <d v="2026-05-24T15:17:55"/>
    <d v="2026-05-24T15:17:55"/>
    <s v="::ffff:127.0.0.1"/>
    <s v="Apache-HttpClient/4.5.14 (Java/21.0.11)"/>
    <d v="2026-05-24T15:17:55"/>
  </r>
  <r>
    <s v="cmpjx915z00low2rw1lclm6dy"/>
    <x v="7"/>
    <s v="GET"/>
    <s v="/api/v1/testes"/>
    <s v="/api/v1/testes/"/>
    <x v="2"/>
    <n v="4.0999999999999996"/>
    <d v="2026-05-24T15:17:55"/>
    <d v="2026-05-24T15:17:55"/>
    <s v="::ffff:127.0.0.1"/>
    <s v="Apache-HttpClient/4.5.14 (Java/21.0.11)"/>
    <d v="2026-05-24T15:17:55"/>
  </r>
  <r>
    <s v="cmpjx917a00m2w2rwbwfoobsb"/>
    <x v="7"/>
    <s v="GET"/>
    <s v="/api/v1/testes"/>
    <s v="/api/v1/testes/"/>
    <x v="2"/>
    <n v="7.68"/>
    <d v="2026-05-24T15:17:55"/>
    <d v="2026-05-24T15:17:55"/>
    <s v="::ffff:127.0.0.1"/>
    <s v="Apache-HttpClient/4.5.14 (Java/21.0.11)"/>
    <d v="2026-05-24T15:17:55"/>
  </r>
  <r>
    <s v="cmpjx91a200mkw2rwm9g0ydiz"/>
    <x v="7"/>
    <s v="GET"/>
    <s v="/api/v1/testes"/>
    <s v="/api/v1/testes/"/>
    <x v="2"/>
    <n v="4.3499999999999996"/>
    <d v="2026-05-24T15:17:55"/>
    <d v="2026-05-24T15:17:55"/>
    <s v="::ffff:127.0.0.1"/>
    <s v="Apache-HttpClient/4.5.14 (Java/21.0.11)"/>
    <d v="2026-05-24T15:17:55"/>
  </r>
  <r>
    <s v="cmpjx91ba00mqw2rwm0qkeqq0"/>
    <x v="7"/>
    <s v="GET"/>
    <s v="/api/v1/testes"/>
    <s v="/api/v1/testes/"/>
    <x v="2"/>
    <n v="9.92"/>
    <d v="2026-05-24T15:17:55"/>
    <d v="2026-05-24T15:17:55"/>
    <s v="::ffff:127.0.0.1"/>
    <s v="Apache-HttpClient/4.5.14 (Java/21.0.11)"/>
    <d v="2026-05-24T15:17:55"/>
  </r>
  <r>
    <s v="cmpjx91bp00muw2rw5rrqmmmo"/>
    <x v="7"/>
    <s v="GET"/>
    <s v="/api/v1/testes"/>
    <s v="/api/v1/testes/"/>
    <x v="2"/>
    <n v="3.86"/>
    <d v="2026-05-24T15:17:55"/>
    <d v="2026-05-24T15:17:55"/>
    <s v="::ffff:127.0.0.1"/>
    <s v="Apache-HttpClient/4.5.14 (Java/21.0.11)"/>
    <d v="2026-05-24T15:17:55"/>
  </r>
  <r>
    <s v="cmpjx91cl00n3w2rwa2zwd7mf"/>
    <x v="7"/>
    <s v="GET"/>
    <s v="/api/v1/testes"/>
    <s v="/api/v1/testes/"/>
    <x v="2"/>
    <n v="8.31"/>
    <d v="2026-05-24T15:17:55"/>
    <d v="2026-05-24T15:17:55"/>
    <s v="::ffff:127.0.0.1"/>
    <s v="Apache-HttpClient/4.5.14 (Java/21.0.11)"/>
    <d v="2026-05-24T15:17:55"/>
  </r>
  <r>
    <s v="cmpjx91f600nmw2rw2sdsqt2w"/>
    <x v="7"/>
    <s v="GET"/>
    <s v="/api/v1/testes"/>
    <s v="/api/v1/testes/"/>
    <x v="2"/>
    <n v="5.18"/>
    <d v="2026-05-24T15:17:55"/>
    <d v="2026-05-24T15:17:55"/>
    <s v="::ffff:127.0.0.1"/>
    <s v="Apache-HttpClient/4.5.14 (Java/21.0.11)"/>
    <d v="2026-05-24T15:17:55"/>
  </r>
  <r>
    <s v="cmpjx91fv00npw2rwsdj1k8iv"/>
    <x v="7"/>
    <s v="GET"/>
    <s v="/api/v1/testes"/>
    <s v="/api/v1/testes/"/>
    <x v="2"/>
    <n v="9.94"/>
    <d v="2026-05-24T15:17:55"/>
    <d v="2026-05-24T15:17:55"/>
    <s v="::ffff:127.0.0.1"/>
    <s v="Apache-HttpClient/4.5.14 (Java/21.0.11)"/>
    <d v="2026-05-24T15:17:55"/>
  </r>
  <r>
    <s v="cmpjx91h800o2w2rwzx3aws17"/>
    <x v="7"/>
    <s v="GET"/>
    <s v="/api/v1/testes"/>
    <s v="/api/v1/testes/"/>
    <x v="2"/>
    <n v="5.65"/>
    <d v="2026-05-24T15:17:55"/>
    <d v="2026-05-24T15:17:55"/>
    <s v="::ffff:127.0.0.1"/>
    <s v="Apache-HttpClient/4.5.14 (Java/21.0.11)"/>
    <d v="2026-05-24T15:17:55"/>
  </r>
  <r>
    <s v="cmpjx91iz00ocw2rwelqkl4e0"/>
    <x v="7"/>
    <s v="GET"/>
    <s v="/api/v1/testes"/>
    <s v="/api/v1/testes/"/>
    <x v="2"/>
    <n v="3.96"/>
    <d v="2026-05-24T15:17:55"/>
    <d v="2026-05-24T15:17:55"/>
    <s v="::ffff:127.0.0.1"/>
    <s v="Apache-HttpClient/4.5.14 (Java/21.0.11)"/>
    <d v="2026-05-24T15:17:55"/>
  </r>
  <r>
    <s v="cmpjx91l900onw2rwj0mqznfi"/>
    <x v="7"/>
    <s v="GET"/>
    <s v="/api/v1/testes"/>
    <s v="/api/v1/testes/"/>
    <x v="2"/>
    <n v="5.16"/>
    <d v="2026-05-24T15:17:55"/>
    <d v="2026-05-24T15:17:55"/>
    <s v="::ffff:127.0.0.1"/>
    <s v="Apache-HttpClient/4.5.14 (Java/21.0.11)"/>
    <d v="2026-05-24T15:17:55"/>
  </r>
  <r>
    <s v="cmpjx91m700oww2rw9357t62f"/>
    <x v="7"/>
    <s v="GET"/>
    <s v="/api/v1/testes"/>
    <s v="/api/v1/testes/"/>
    <x v="2"/>
    <n v="3.83"/>
    <d v="2026-05-24T15:17:55"/>
    <d v="2026-05-24T15:17:55"/>
    <s v="::ffff:127.0.0.1"/>
    <s v="Apache-HttpClient/4.5.14 (Java/21.0.11)"/>
    <d v="2026-05-24T15:17:55"/>
  </r>
  <r>
    <s v="cmpjx8zmz00bdw2rwuuxdgq97"/>
    <x v="8"/>
    <s v="PATCH"/>
    <s v="/api/v1/pecas/21"/>
    <s v="/api/v1/pecas/:id"/>
    <x v="2"/>
    <n v="11.13"/>
    <d v="2026-05-24T15:17:53"/>
    <d v="2026-05-24T15:17:53"/>
    <s v="::ffff:127.0.0.1"/>
    <s v="Apache-HttpClient/4.5.14 (Java/21.0.11)"/>
    <d v="2026-05-24T15:17:53"/>
  </r>
  <r>
    <s v="cmpjx8zpm00bnw2rwwqkqixo6"/>
    <x v="8"/>
    <s v="PATCH"/>
    <s v="/api/v1/pecas/21"/>
    <s v="/api/v1/pecas/:id"/>
    <x v="2"/>
    <n v="9.0299999999999994"/>
    <d v="2026-05-24T15:17:53"/>
    <d v="2026-05-24T15:17:53"/>
    <s v="::ffff:127.0.0.1"/>
    <s v="Apache-HttpClient/4.5.14 (Java/21.0.11)"/>
    <d v="2026-05-24T15:17:53"/>
  </r>
  <r>
    <s v="cmpjx8ztb00c4w2rwogbm9jrd"/>
    <x v="8"/>
    <s v="PATCH"/>
    <s v="/api/v1/pecas/ID_NAO_ENCONTRADO"/>
    <s v="/api/v1/pecas/:id"/>
    <x v="1"/>
    <n v="3.15"/>
    <d v="2026-05-24T15:17:53"/>
    <d v="2026-05-24T15:17:53"/>
    <s v="::ffff:127.0.0.1"/>
    <s v="Apache-HttpClient/4.5.14 (Java/21.0.11)"/>
    <d v="2026-05-24T15:17:53"/>
  </r>
  <r>
    <s v="cmpjx8ztl00c6w2rwa0znvoz7"/>
    <x v="8"/>
    <s v="PATCH"/>
    <s v="/api/v1/pecas/21"/>
    <s v="/api/v1/pecas/:id"/>
    <x v="2"/>
    <n v="14.11"/>
    <d v="2026-05-24T15:17:53"/>
    <d v="2026-05-24T15:17:53"/>
    <s v="::ffff:127.0.0.1"/>
    <s v="Apache-HttpClient/4.5.14 (Java/21.0.11)"/>
    <d v="2026-05-24T15:17:53"/>
  </r>
  <r>
    <s v="cmpjx8zy900cuw2rw22h2sfit"/>
    <x v="8"/>
    <s v="PATCH"/>
    <s v="/api/v1/pecas/21"/>
    <s v="/api/v1/pecas/:id"/>
    <x v="2"/>
    <n v="12.55"/>
    <d v="2026-05-24T15:17:53"/>
    <d v="2026-05-24T15:17:53"/>
    <s v="::ffff:127.0.0.1"/>
    <s v="Apache-HttpClient/4.5.14 (Java/21.0.11)"/>
    <d v="2026-05-24T15:17:53"/>
  </r>
  <r>
    <s v="cmpjx8zyl00cxw2rwvx50a9dl"/>
    <x v="8"/>
    <s v="PATCH"/>
    <s v="/api/v1/pecas/22"/>
    <s v="/api/v1/pecas/:id"/>
    <x v="2"/>
    <n v="10.71"/>
    <d v="2026-05-24T15:17:53"/>
    <d v="2026-05-24T15:17:53"/>
    <s v="::ffff:127.0.0.1"/>
    <s v="Apache-HttpClient/4.5.14 (Java/21.0.11)"/>
    <d v="2026-05-24T15:17:53"/>
  </r>
  <r>
    <s v="cmpjx8zz000d0w2rwin295g10"/>
    <x v="8"/>
    <s v="PATCH"/>
    <s v="/api/v1/pecas/23"/>
    <s v="/api/v1/pecas/:id"/>
    <x v="2"/>
    <n v="12.66"/>
    <d v="2026-05-24T15:17:53"/>
    <d v="2026-05-24T15:17:53"/>
    <s v="::ffff:127.0.0.1"/>
    <s v="Apache-HttpClient/4.5.14 (Java/21.0.11)"/>
    <d v="2026-05-24T15:17:53"/>
  </r>
  <r>
    <s v="cmpjx903n00dtw2rwnajy55sq"/>
    <x v="8"/>
    <s v="PATCH"/>
    <s v="/api/v1/pecas/ID_NAO_ENCONTRADO"/>
    <s v="/api/v1/pecas/:id"/>
    <x v="1"/>
    <n v="5.32"/>
    <d v="2026-05-24T15:17:53"/>
    <d v="2026-05-24T15:17:53"/>
    <s v="::ffff:127.0.0.1"/>
    <s v="Apache-HttpClient/4.5.14 (Java/21.0.11)"/>
    <d v="2026-05-24T15:17:53"/>
  </r>
  <r>
    <s v="cmpjx903x00dww2rwi6owdqbu"/>
    <x v="8"/>
    <s v="PATCH"/>
    <s v="/api/v1/pecas/21"/>
    <s v="/api/v1/pecas/:id"/>
    <x v="2"/>
    <n v="17.45"/>
    <d v="2026-05-24T15:17:53"/>
    <d v="2026-05-24T15:17:53"/>
    <s v="::ffff:127.0.0.1"/>
    <s v="Apache-HttpClient/4.5.14 (Java/21.0.11)"/>
    <d v="2026-05-24T15:17:53"/>
  </r>
  <r>
    <s v="cmpjx904j00e0w2rwrjajnqwu"/>
    <x v="8"/>
    <s v="PATCH"/>
    <s v="/api/v1/pecas/22"/>
    <s v="/api/v1/pecas/:id"/>
    <x v="2"/>
    <n v="15.36"/>
    <d v="2026-05-24T15:17:53"/>
    <d v="2026-05-24T15:17:53"/>
    <s v="::ffff:127.0.0.1"/>
    <s v="Apache-HttpClient/4.5.14 (Java/21.0.11)"/>
    <d v="2026-05-24T15:17:53"/>
  </r>
  <r>
    <s v="cmpjx905v00e6w2rwwnp2ghja"/>
    <x v="8"/>
    <s v="PATCH"/>
    <s v="/api/v1/pecas/23"/>
    <s v="/api/v1/pecas/:id"/>
    <x v="2"/>
    <n v="33.549999999999997"/>
    <d v="2026-05-24T15:17:53"/>
    <d v="2026-05-24T15:17:53"/>
    <s v="::ffff:127.0.0.1"/>
    <s v="Apache-HttpClient/4.5.14 (Java/21.0.11)"/>
    <d v="2026-05-24T15:17:53"/>
  </r>
  <r>
    <s v="cmpjx90a900f3w2rwm5fpxl3i"/>
    <x v="8"/>
    <s v="PATCH"/>
    <s v="/api/v1/pecas/21"/>
    <s v="/api/v1/pecas/:id"/>
    <x v="2"/>
    <n v="15.06"/>
    <d v="2026-05-24T15:17:53"/>
    <d v="2026-05-24T15:17:53"/>
    <s v="::ffff:127.0.0.1"/>
    <s v="Apache-HttpClient/4.5.14 (Java/21.0.11)"/>
    <d v="2026-05-24T15:17:53"/>
  </r>
  <r>
    <s v="cmpjx90as00f8w2rw49dt01ny"/>
    <x v="8"/>
    <s v="PATCH"/>
    <s v="/api/v1/pecas/22"/>
    <s v="/api/v1/pecas/:id"/>
    <x v="2"/>
    <n v="17.53"/>
    <d v="2026-05-24T15:17:53"/>
    <d v="2026-05-24T15:17:53"/>
    <s v="::ffff:127.0.0.1"/>
    <s v="Apache-HttpClient/4.5.14 (Java/21.0.11)"/>
    <d v="2026-05-24T15:17:53"/>
  </r>
  <r>
    <s v="cmpjx90b000faw2rwtcoknnlr"/>
    <x v="8"/>
    <s v="PATCH"/>
    <s v="/api/v1/pecas/ID_NAO_ENCONTRADO"/>
    <s v="/api/v1/pecas/:id"/>
    <x v="1"/>
    <n v="4.46"/>
    <d v="2026-05-24T15:17:53"/>
    <d v="2026-05-24T15:17:53"/>
    <s v="::ffff:127.0.0.1"/>
    <s v="Apache-HttpClient/4.5.14 (Java/21.0.11)"/>
    <d v="2026-05-24T15:17:53"/>
  </r>
  <r>
    <s v="cmpjx90b900fdw2rwcr6n9120"/>
    <x v="8"/>
    <s v="PATCH"/>
    <s v="/api/v1/pecas/23"/>
    <s v="/api/v1/pecas/:id"/>
    <x v="2"/>
    <n v="14.03"/>
    <d v="2026-05-24T15:17:53"/>
    <d v="2026-05-24T15:17:53"/>
    <s v="::ffff:127.0.0.1"/>
    <s v="Apache-HttpClient/4.5.14 (Java/21.0.11)"/>
    <d v="2026-05-24T15:17:53"/>
  </r>
  <r>
    <s v="cmpjx90c800fkw2rwjwc6town"/>
    <x v="8"/>
    <s v="PATCH"/>
    <s v="/api/v1/pecas/24"/>
    <s v="/api/v1/pecas/:id"/>
    <x v="2"/>
    <n v="28.45"/>
    <d v="2026-05-24T15:17:53"/>
    <d v="2026-05-24T15:17:54"/>
    <s v="::ffff:127.0.0.1"/>
    <s v="Apache-HttpClient/4.5.14 (Java/21.0.11)"/>
    <d v="2026-05-24T15:17:54"/>
  </r>
  <r>
    <s v="cmpjx90g400ggw2rw019fgqki"/>
    <x v="8"/>
    <s v="PATCH"/>
    <s v="/api/v1/pecas/21"/>
    <s v="/api/v1/pecas/:id"/>
    <x v="2"/>
    <n v="15.84"/>
    <d v="2026-05-24T15:17:54"/>
    <d v="2026-05-24T15:17:54"/>
    <s v="::ffff:127.0.0.1"/>
    <s v="Apache-HttpClient/4.5.14 (Java/21.0.11)"/>
    <d v="2026-05-24T15:17:54"/>
  </r>
  <r>
    <s v="cmpjx90gk00gkw2rw62s5iets"/>
    <x v="8"/>
    <s v="PATCH"/>
    <s v="/api/v1/pecas/22"/>
    <s v="/api/v1/pecas/:id"/>
    <x v="2"/>
    <n v="18.940000000000001"/>
    <d v="2026-05-24T15:17:54"/>
    <d v="2026-05-24T15:17:54"/>
    <s v="::ffff:127.0.0.1"/>
    <s v="Apache-HttpClient/4.5.14 (Java/21.0.11)"/>
    <d v="2026-05-24T15:17:54"/>
  </r>
  <r>
    <s v="cmpjx90gs00gnw2rwj527yjgl"/>
    <x v="8"/>
    <s v="PATCH"/>
    <s v="/api/v1/pecas/ID_NAO_ENCONTRADO"/>
    <s v="/api/v1/pecas/:id"/>
    <x v="1"/>
    <n v="8.8800000000000008"/>
    <d v="2026-05-24T15:17:54"/>
    <d v="2026-05-24T15:17:54"/>
    <s v="::ffff:127.0.0.1"/>
    <s v="Apache-HttpClient/4.5.14 (Java/21.0.11)"/>
    <d v="2026-05-24T15:17:54"/>
  </r>
  <r>
    <s v="cmpjx90gy00gpw2rwi3p5zhk6"/>
    <x v="8"/>
    <s v="PATCH"/>
    <s v="/api/v1/pecas/23"/>
    <s v="/api/v1/pecas/:id"/>
    <x v="2"/>
    <n v="16.78"/>
    <d v="2026-05-24T15:17:54"/>
    <d v="2026-05-24T15:17:54"/>
    <s v="::ffff:127.0.0.1"/>
    <s v="Apache-HttpClient/4.5.14 (Java/21.0.11)"/>
    <d v="2026-05-24T15:17:54"/>
  </r>
  <r>
    <s v="cmpjx90j100h0w2rwo73zyhgh"/>
    <x v="8"/>
    <s v="PATCH"/>
    <s v="/api/v1/pecas/24"/>
    <s v="/api/v1/pecas/:id"/>
    <x v="2"/>
    <n v="40.04"/>
    <d v="2026-05-24T15:17:54"/>
    <d v="2026-05-24T15:17:54"/>
    <s v="::ffff:127.0.0.1"/>
    <s v="Apache-HttpClient/4.5.14 (Java/21.0.11)"/>
    <d v="2026-05-24T15:17:54"/>
  </r>
  <r>
    <s v="cmpjx90n900hvw2rwqihlicaj"/>
    <x v="8"/>
    <s v="PATCH"/>
    <s v="/api/v1/pecas/21"/>
    <s v="/api/v1/pecas/:id"/>
    <x v="2"/>
    <n v="16.100000000000001"/>
    <d v="2026-05-24T15:17:54"/>
    <d v="2026-05-24T15:17:54"/>
    <s v="::ffff:127.0.0.1"/>
    <s v="Apache-HttpClient/4.5.14 (Java/21.0.11)"/>
    <d v="2026-05-24T15:17:54"/>
  </r>
  <r>
    <s v="cmpjx90no00hzw2rwcsody61s"/>
    <x v="8"/>
    <s v="PATCH"/>
    <s v="/api/v1/pecas/22"/>
    <s v="/api/v1/pecas/:id"/>
    <x v="2"/>
    <n v="19.010000000000002"/>
    <d v="2026-05-24T15:17:54"/>
    <d v="2026-05-24T15:17:54"/>
    <s v="::ffff:127.0.0.1"/>
    <s v="Apache-HttpClient/4.5.14 (Java/21.0.11)"/>
    <d v="2026-05-24T15:17:54"/>
  </r>
  <r>
    <s v="cmpjx90ny00i1w2rw42evjn10"/>
    <x v="8"/>
    <s v="PATCH"/>
    <s v="/api/v1/pecas/ID_NAO_ENCONTRADO"/>
    <s v="/api/v1/pecas/:id"/>
    <x v="1"/>
    <n v="7.56"/>
    <d v="2026-05-24T15:17:54"/>
    <d v="2026-05-24T15:17:54"/>
    <s v="::ffff:127.0.0.1"/>
    <s v="Apache-HttpClient/4.5.14 (Java/21.0.11)"/>
    <d v="2026-05-24T15:17:54"/>
  </r>
  <r>
    <s v="cmpjx90oa00i3w2rw6f9vkn59"/>
    <x v="8"/>
    <s v="PATCH"/>
    <s v="/api/v1/pecas/23"/>
    <s v="/api/v1/pecas/:id"/>
    <x v="2"/>
    <n v="23.84"/>
    <d v="2026-05-24T15:17:54"/>
    <d v="2026-05-24T15:17:54"/>
    <s v="::ffff:127.0.0.1"/>
    <s v="Apache-HttpClient/4.5.14 (Java/21.0.11)"/>
    <d v="2026-05-24T15:17:54"/>
  </r>
  <r>
    <s v="cmpjx90qc00icw2rwn22hlbn4"/>
    <x v="8"/>
    <s v="PATCH"/>
    <s v="/api/v1/pecas/24"/>
    <s v="/api/v1/pecas/:id"/>
    <x v="2"/>
    <n v="40.619999999999997"/>
    <d v="2026-05-24T15:17:54"/>
    <d v="2026-05-24T15:17:54"/>
    <s v="::ffff:127.0.0.1"/>
    <s v="Apache-HttpClient/4.5.14 (Java/21.0.11)"/>
    <d v="2026-05-24T15:17:54"/>
  </r>
  <r>
    <s v="cmpjx90u300jbw2rw78yo1u22"/>
    <x v="8"/>
    <s v="PATCH"/>
    <s v="/api/v1/pecas/21"/>
    <s v="/api/v1/pecas/:id"/>
    <x v="2"/>
    <n v="20.65"/>
    <d v="2026-05-24T15:17:54"/>
    <d v="2026-05-24T15:17:54"/>
    <s v="::ffff:127.0.0.1"/>
    <s v="Apache-HttpClient/4.5.14 (Java/21.0.11)"/>
    <d v="2026-05-24T15:17:54"/>
  </r>
  <r>
    <s v="cmpjx90ua00jcw2rwrjpkpzq8"/>
    <x v="8"/>
    <s v="PATCH"/>
    <s v="/api/v1/pecas/ID_NAO_ENCONTRADO"/>
    <s v="/api/v1/pecas/:id"/>
    <x v="1"/>
    <n v="5.27"/>
    <d v="2026-05-24T15:17:54"/>
    <d v="2026-05-24T15:17:54"/>
    <s v="::ffff:127.0.0.1"/>
    <s v="Apache-HttpClient/4.5.14 (Java/21.0.11)"/>
    <d v="2026-05-24T15:17:54"/>
  </r>
  <r>
    <s v="cmpjx90ue00jew2rwve79n8bd"/>
    <x v="8"/>
    <s v="PATCH"/>
    <s v="/api/v1/pecas/ID_NAO_ENCONTRADO"/>
    <s v="/api/v1/pecas/:id"/>
    <x v="1"/>
    <n v="7.27"/>
    <d v="2026-05-24T15:17:54"/>
    <d v="2026-05-24T15:17:54"/>
    <s v="::ffff:127.0.0.1"/>
    <s v="Apache-HttpClient/4.5.14 (Java/21.0.11)"/>
    <d v="2026-05-24T15:17:54"/>
  </r>
  <r>
    <s v="cmpjx90ul00jgw2rwfzbttan0"/>
    <x v="8"/>
    <s v="PATCH"/>
    <s v="/api/v1/pecas/22"/>
    <s v="/api/v1/pecas/:id"/>
    <x v="2"/>
    <n v="20.05"/>
    <d v="2026-05-24T15:17:54"/>
    <d v="2026-05-24T15:17:54"/>
    <s v="::ffff:127.0.0.1"/>
    <s v="Apache-HttpClient/4.5.14 (Java/21.0.11)"/>
    <d v="2026-05-24T15:17:54"/>
  </r>
  <r>
    <s v="cmpjx90ww00jsw2rwtoczdwb4"/>
    <x v="8"/>
    <s v="PATCH"/>
    <s v="/api/v1/pecas/23"/>
    <s v="/api/v1/pecas/:id"/>
    <x v="2"/>
    <n v="49.08"/>
    <d v="2026-05-24T15:17:54"/>
    <d v="2026-05-24T15:17:54"/>
    <s v="::ffff:127.0.0.1"/>
    <s v="Apache-HttpClient/4.5.14 (Java/21.0.11)"/>
    <d v="2026-05-24T15:17:54"/>
  </r>
  <r>
    <s v="cmpjx912900knw2rwewknxrjt"/>
    <x v="8"/>
    <s v="PATCH"/>
    <s v="/api/v1/pecas/ID_NAO_ENCONTRADO"/>
    <s v="/api/v1/pecas/:id"/>
    <x v="1"/>
    <n v="5.05"/>
    <d v="2026-05-24T15:17:54"/>
    <d v="2026-05-24T15:17:54"/>
    <s v="::ffff:127.0.0.1"/>
    <s v="Apache-HttpClient/4.5.14 (Java/21.0.11)"/>
    <d v="2026-05-24T15:17:54"/>
  </r>
  <r>
    <s v="cmpjx912a00kow2rw18nmprpr"/>
    <x v="8"/>
    <s v="PATCH"/>
    <s v="/api/v1/pecas/ID_NAO_ENCONTRADO"/>
    <s v="/api/v1/pecas/:id"/>
    <x v="1"/>
    <n v="3.98"/>
    <d v="2026-05-24T15:17:54"/>
    <d v="2026-05-24T15:17:54"/>
    <s v="::ffff:127.0.0.1"/>
    <s v="Apache-HttpClient/4.5.14 (Java/21.0.11)"/>
    <d v="2026-05-24T15:17:54"/>
  </r>
  <r>
    <s v="cmpjx912i00ksw2rwy17lzsun"/>
    <x v="8"/>
    <s v="PATCH"/>
    <s v="/api/v1/pecas/21"/>
    <s v="/api/v1/pecas/:id"/>
    <x v="2"/>
    <n v="17.940000000000001"/>
    <d v="2026-05-24T15:17:54"/>
    <d v="2026-05-24T15:17:54"/>
    <s v="::ffff:127.0.0.1"/>
    <s v="Apache-HttpClient/4.5.14 (Java/21.0.11)"/>
    <d v="2026-05-24T15:17:54"/>
  </r>
  <r>
    <s v="cmpjx912z00kyw2rw1f030oio"/>
    <x v="8"/>
    <s v="PATCH"/>
    <s v="/api/v1/pecas/22"/>
    <s v="/api/v1/pecas/:id"/>
    <x v="2"/>
    <n v="15.2"/>
    <d v="2026-05-24T15:17:54"/>
    <d v="2026-05-24T15:17:54"/>
    <s v="::ffff:127.0.0.1"/>
    <s v="Apache-HttpClient/4.5.14 (Java/21.0.11)"/>
    <d v="2026-05-24T15:17:54"/>
  </r>
  <r>
    <s v="cmpjx914j00l8w2rwjxflcyzy"/>
    <x v="8"/>
    <s v="PATCH"/>
    <s v="/api/v1/pecas/23"/>
    <s v="/api/v1/pecas/:id"/>
    <x v="2"/>
    <n v="26.28"/>
    <d v="2026-05-24T15:17:55"/>
    <d v="2026-05-24T15:17:55"/>
    <s v="::ffff:127.0.0.1"/>
    <s v="Apache-HttpClient/4.5.14 (Java/21.0.11)"/>
    <d v="2026-05-24T15:17:55"/>
  </r>
  <r>
    <s v="cmpjx916e00ltw2rw1j7pn2aj"/>
    <x v="8"/>
    <s v="PATCH"/>
    <s v="/api/v1/pecas/ID_NAO_ENCONTRADO"/>
    <s v="/api/v1/pecas/:id"/>
    <x v="1"/>
    <n v="3.52"/>
    <d v="2026-05-24T15:17:55"/>
    <d v="2026-05-24T15:17:55"/>
    <s v="::ffff:127.0.0.1"/>
    <s v="Apache-HttpClient/4.5.14 (Java/21.0.11)"/>
    <d v="2026-05-24T15:17:55"/>
  </r>
  <r>
    <s v="cmpjx916o00lxw2rwz1m2ce49"/>
    <x v="8"/>
    <s v="PATCH"/>
    <s v="/api/v1/pecas/21"/>
    <s v="/api/v1/pecas/:id"/>
    <x v="2"/>
    <n v="15.37"/>
    <d v="2026-05-24T15:17:55"/>
    <d v="2026-05-24T15:17:55"/>
    <s v="::ffff:127.0.0.1"/>
    <s v="Apache-HttpClient/4.5.14 (Java/21.0.11)"/>
    <d v="2026-05-24T15:17:55"/>
  </r>
  <r>
    <s v="cmpjx917000m1w2rw855pn458"/>
    <x v="8"/>
    <s v="PATCH"/>
    <s v="/api/v1/pecas/22"/>
    <s v="/api/v1/pecas/:id"/>
    <x v="2"/>
    <n v="13.47"/>
    <d v="2026-05-24T15:17:55"/>
    <d v="2026-05-24T15:17:55"/>
    <s v="::ffff:127.0.0.1"/>
    <s v="Apache-HttpClient/4.5.14 (Java/21.0.11)"/>
    <d v="2026-05-24T15:17:55"/>
  </r>
  <r>
    <s v="cmpjx919e00mew2rwypnqapym"/>
    <x v="8"/>
    <s v="PATCH"/>
    <s v="/api/v1/pecas/23"/>
    <s v="/api/v1/pecas/:id"/>
    <x v="2"/>
    <n v="16.77"/>
    <d v="2026-05-24T15:17:55"/>
    <d v="2026-05-24T15:17:55"/>
    <s v="::ffff:127.0.0.1"/>
    <s v="Apache-HttpClient/4.5.14 (Java/21.0.11)"/>
    <d v="2026-05-24T15:17:55"/>
  </r>
  <r>
    <s v="cmpjx91c100myw2rwp8ibuy52"/>
    <x v="8"/>
    <s v="PATCH"/>
    <s v="/api/v1/pecas/21"/>
    <s v="/api/v1/pecas/:id"/>
    <x v="2"/>
    <n v="16.059999999999999"/>
    <d v="2026-05-24T15:17:55"/>
    <d v="2026-05-24T15:17:55"/>
    <s v="::ffff:127.0.0.1"/>
    <s v="Apache-HttpClient/4.5.14 (Java/21.0.11)"/>
    <d v="2026-05-24T15:17:55"/>
  </r>
  <r>
    <s v="cmpjx91ce00n2w2rwjprb14fk"/>
    <x v="8"/>
    <s v="PATCH"/>
    <s v="/api/v1/pecas/22"/>
    <s v="/api/v1/pecas/:id"/>
    <x v="2"/>
    <n v="14.93"/>
    <d v="2026-05-24T15:17:55"/>
    <d v="2026-05-24T15:17:55"/>
    <s v="::ffff:127.0.0.1"/>
    <s v="Apache-HttpClient/4.5.14 (Java/21.0.11)"/>
    <d v="2026-05-24T15:17:55"/>
  </r>
  <r>
    <s v="cmpjx91cw00n6w2rwet9ats3b"/>
    <x v="8"/>
    <s v="PATCH"/>
    <s v="/api/v1/pecas/23"/>
    <s v="/api/v1/pecas/:id"/>
    <x v="2"/>
    <s v="15"/>
    <d v="2026-05-24T15:17:55"/>
    <d v="2026-05-24T15:17:55"/>
    <s v="::ffff:127.0.0.1"/>
    <s v="Apache-HttpClient/4.5.14 (Java/21.0.11)"/>
    <d v="2026-05-24T15:17:55"/>
  </r>
  <r>
    <s v="cmpjx91el00ngw2rwwmh1he7g"/>
    <x v="8"/>
    <s v="PATCH"/>
    <s v="/api/v1/pecas/24"/>
    <s v="/api/v1/pecas/:id"/>
    <x v="2"/>
    <n v="22.12"/>
    <d v="2026-05-24T15:17:55"/>
    <d v="2026-05-24T15:17:55"/>
    <s v="::ffff:127.0.0.1"/>
    <s v="Apache-HttpClient/4.5.14 (Java/21.0.11)"/>
    <d v="2026-05-24T15:17:55"/>
  </r>
  <r>
    <s v="cmpjx91gk00nvw2rw1ewxhjc9"/>
    <x v="8"/>
    <s v="PATCH"/>
    <s v="/api/v1/pecas/21"/>
    <s v="/api/v1/pecas/:id"/>
    <x v="2"/>
    <n v="12.89"/>
    <d v="2026-05-24T15:17:55"/>
    <d v="2026-05-24T15:17:55"/>
    <s v="::ffff:127.0.0.1"/>
    <s v="Apache-HttpClient/4.5.14 (Java/21.0.11)"/>
    <d v="2026-05-24T15:17:55"/>
  </r>
  <r>
    <s v="cmpjx91gx00nyw2rwpith6g7c"/>
    <x v="8"/>
    <s v="PATCH"/>
    <s v="/api/v1/pecas/22"/>
    <s v="/api/v1/pecas/:id"/>
    <x v="2"/>
    <n v="11.18"/>
    <d v="2026-05-24T15:17:55"/>
    <d v="2026-05-24T15:17:55"/>
    <s v="::ffff:127.0.0.1"/>
    <s v="Apache-HttpClient/4.5.14 (Java/21.0.11)"/>
    <d v="2026-05-24T15:17:55"/>
  </r>
  <r>
    <s v="cmpjx91in00o9w2rw0wcmp63u"/>
    <x v="8"/>
    <s v="PATCH"/>
    <s v="/api/v1/pecas/21"/>
    <s v="/api/v1/pecas/:id"/>
    <x v="2"/>
    <n v="12.88"/>
    <d v="2026-05-24T15:17:55"/>
    <d v="2026-05-24T15:17:55"/>
    <s v="::ffff:127.0.0.1"/>
    <s v="Apache-HttpClient/4.5.14 (Java/21.0.11)"/>
    <d v="2026-05-24T15:17:55"/>
  </r>
  <r>
    <s v="cmpjx91kg00ohw2rwcgf88ufc"/>
    <x v="8"/>
    <s v="PATCH"/>
    <s v="/api/v1/pecas/21"/>
    <s v="/api/v1/pecas/:id"/>
    <x v="2"/>
    <n v="9.74"/>
    <d v="2026-05-24T15:17:55"/>
    <d v="2026-05-24T15:17:55"/>
    <s v="::ffff:127.0.0.1"/>
    <s v="Apache-HttpClient/4.5.14 (Java/21.0.11)"/>
    <d v="2026-05-24T15:17:55"/>
  </r>
  <r>
    <s v="cmpjx91ly00otw2rwjdxonyso"/>
    <x v="8"/>
    <s v="PATCH"/>
    <s v="/api/v1/pecas/21"/>
    <s v="/api/v1/pecas/:id"/>
    <x v="2"/>
    <n v="7.56"/>
    <d v="2026-05-24T15:17:55"/>
    <d v="2026-05-24T15:17:55"/>
    <s v="::ffff:127.0.0.1"/>
    <s v="Apache-HttpClient/4.5.14 (Java/21.0.11)"/>
    <d v="2026-05-24T15:17:55"/>
  </r>
  <r>
    <s v="cmpjx91mr00ozw2rwrlrbfcy4"/>
    <x v="8"/>
    <s v="PATCH"/>
    <s v="/api/v1/pecas/21"/>
    <s v="/api/v1/pecas/:id"/>
    <x v="2"/>
    <n v="7.86"/>
    <d v="2026-05-24T15:17:55"/>
    <d v="2026-05-24T15:17:55"/>
    <s v="::ffff:127.0.0.1"/>
    <s v="Apache-HttpClient/4.5.14 (Java/21.0.11)"/>
    <d v="2026-05-24T15:17:55"/>
  </r>
  <r>
    <s v="cmpjx8zmm00bcw2rwkx9qjgmr"/>
    <x v="9"/>
    <s v="POST"/>
    <s v="/api/v1/pecas"/>
    <s v="/api/v1/pecas/"/>
    <x v="3"/>
    <s v="14"/>
    <d v="2026-05-24T15:17:53"/>
    <d v="2026-05-24T15:17:53"/>
    <s v="::ffff:127.0.0.1"/>
    <s v="Apache-HttpClient/4.5.14 (Java/21.0.11)"/>
    <d v="2026-05-24T15:17:53"/>
  </r>
  <r>
    <s v="cmpjx8zpb00bmw2rwmomjt9mi"/>
    <x v="9"/>
    <s v="POST"/>
    <s v="/api/v1/pecas"/>
    <s v="/api/v1/pecas/"/>
    <x v="3"/>
    <n v="10.55"/>
    <d v="2026-05-24T15:17:53"/>
    <d v="2026-05-24T15:17:53"/>
    <s v="::ffff:127.0.0.1"/>
    <s v="Apache-HttpClient/4.5.14 (Java/21.0.11)"/>
    <d v="2026-05-24T15:17:53"/>
  </r>
  <r>
    <s v="cmpjx8zt000c2w2rwayx84fwa"/>
    <x v="9"/>
    <s v="POST"/>
    <s v="/api/v1/pecas"/>
    <s v="/api/v1/pecas/"/>
    <x v="3"/>
    <n v="18.28"/>
    <d v="2026-05-24T15:17:53"/>
    <d v="2026-05-24T15:17:53"/>
    <s v="::ffff:127.0.0.1"/>
    <s v="Apache-HttpClient/4.5.14 (Java/21.0.11)"/>
    <d v="2026-05-24T15:17:53"/>
  </r>
  <r>
    <s v="cmpjx8zt400c3w2rwd8boovte"/>
    <x v="9"/>
    <s v="POST"/>
    <s v="/api/v1/pecas"/>
    <s v="/api/v1/pecas/"/>
    <x v="4"/>
    <n v="13.12"/>
    <d v="2026-05-24T15:17:53"/>
    <d v="2026-05-24T15:17:53"/>
    <s v="::ffff:127.0.0.1"/>
    <s v="Apache-HttpClient/4.5.14 (Java/21.0.11)"/>
    <d v="2026-05-24T15:17:53"/>
  </r>
  <r>
    <s v="cmpjx8zxt00cqw2rwwm3fow4x"/>
    <x v="9"/>
    <s v="POST"/>
    <s v="/api/v1/pecas"/>
    <s v="/api/v1/pecas/"/>
    <x v="3"/>
    <n v="20.79"/>
    <d v="2026-05-24T15:17:53"/>
    <d v="2026-05-24T15:17:53"/>
    <s v="::ffff:127.0.0.1"/>
    <s v="Apache-HttpClient/4.5.14 (Java/21.0.11)"/>
    <d v="2026-05-24T15:17:53"/>
  </r>
  <r>
    <s v="cmpjx8zy600ctw2rwr0j7tvc2"/>
    <x v="9"/>
    <s v="POST"/>
    <s v="/api/v1/pecas"/>
    <s v="/api/v1/pecas/"/>
    <x v="3"/>
    <n v="11.29"/>
    <d v="2026-05-24T15:17:53"/>
    <d v="2026-05-24T15:17:53"/>
    <s v="::ffff:127.0.0.1"/>
    <s v="Apache-HttpClient/4.5.14 (Java/21.0.11)"/>
    <d v="2026-05-24T15:17:53"/>
  </r>
  <r>
    <s v="cmpjx8zyk00cww2rwct5k56x1"/>
    <x v="9"/>
    <s v="POST"/>
    <s v="/api/v1/pecas"/>
    <s v="/api/v1/pecas/"/>
    <x v="3"/>
    <n v="12.37"/>
    <d v="2026-05-24T15:17:53"/>
    <d v="2026-05-24T15:17:53"/>
    <s v="::ffff:127.0.0.1"/>
    <s v="Apache-HttpClient/4.5.14 (Java/21.0.11)"/>
    <d v="2026-05-24T15:17:53"/>
  </r>
  <r>
    <s v="cmpjx903700dqw2rw1u1xui35"/>
    <x v="9"/>
    <s v="POST"/>
    <s v="/api/v1/pecas"/>
    <s v="/api/v1/pecas/"/>
    <x v="3"/>
    <n v="17.760000000000002"/>
    <d v="2026-05-24T15:17:53"/>
    <d v="2026-05-24T15:17:53"/>
    <s v="::ffff:127.0.0.1"/>
    <s v="Apache-HttpClient/4.5.14 (Java/21.0.11)"/>
    <d v="2026-05-24T15:17:53"/>
  </r>
  <r>
    <s v="cmpjx903d00drw2rw68m6wii1"/>
    <x v="9"/>
    <s v="POST"/>
    <s v="/api/v1/pecas"/>
    <s v="/api/v1/pecas/"/>
    <x v="4"/>
    <n v="19.920000000000002"/>
    <d v="2026-05-24T15:17:53"/>
    <d v="2026-05-24T15:17:53"/>
    <s v="::ffff:127.0.0.1"/>
    <s v="Apache-HttpClient/4.5.14 (Java/21.0.11)"/>
    <d v="2026-05-24T15:17:53"/>
  </r>
  <r>
    <s v="cmpjx903v00dvw2rwnji1vzmh"/>
    <x v="9"/>
    <s v="POST"/>
    <s v="/api/v1/pecas"/>
    <s v="/api/v1/pecas/"/>
    <x v="3"/>
    <n v="21.72"/>
    <d v="2026-05-24T15:17:53"/>
    <d v="2026-05-24T15:17:53"/>
    <s v="::ffff:127.0.0.1"/>
    <s v="Apache-HttpClient/4.5.14 (Java/21.0.11)"/>
    <d v="2026-05-24T15:17:53"/>
  </r>
  <r>
    <s v="cmpjx904m00e1w2rwow3vnnzr"/>
    <x v="9"/>
    <s v="POST"/>
    <s v="/api/v1/pecas"/>
    <s v="/api/v1/pecas/"/>
    <x v="3"/>
    <n v="19.440000000000001"/>
    <d v="2026-05-24T15:17:53"/>
    <d v="2026-05-24T15:17:53"/>
    <s v="::ffff:127.0.0.1"/>
    <s v="Apache-HttpClient/4.5.14 (Java/21.0.11)"/>
    <d v="2026-05-24T15:17:53"/>
  </r>
  <r>
    <s v="cmpjx909n00eww2rwvv8twxhb"/>
    <x v="9"/>
    <s v="POST"/>
    <s v="/api/v1/pecas"/>
    <s v="/api/v1/pecas/"/>
    <x v="3"/>
    <n v="22.58"/>
    <d v="2026-05-24T15:17:53"/>
    <d v="2026-05-24T15:17:53"/>
    <s v="::ffff:127.0.0.1"/>
    <s v="Apache-HttpClient/4.5.14 (Java/21.0.11)"/>
    <d v="2026-05-24T15:17:53"/>
  </r>
  <r>
    <s v="cmpjx90a500f2w2rwg51mqlb9"/>
    <x v="9"/>
    <s v="POST"/>
    <s v="/api/v1/pecas"/>
    <s v="/api/v1/pecas/"/>
    <x v="3"/>
    <n v="20.38"/>
    <d v="2026-05-24T15:17:53"/>
    <d v="2026-05-24T15:17:53"/>
    <s v="::ffff:127.0.0.1"/>
    <s v="Apache-HttpClient/4.5.14 (Java/21.0.11)"/>
    <d v="2026-05-24T15:17:53"/>
  </r>
  <r>
    <s v="cmpjx90al00f6w2rwcengsxc0"/>
    <x v="9"/>
    <s v="POST"/>
    <s v="/api/v1/pecas"/>
    <s v="/api/v1/pecas/"/>
    <x v="3"/>
    <n v="21.42"/>
    <d v="2026-05-24T15:17:53"/>
    <d v="2026-05-24T15:17:53"/>
    <s v="::ffff:127.0.0.1"/>
    <s v="Apache-HttpClient/4.5.14 (Java/21.0.11)"/>
    <d v="2026-05-24T15:17:53"/>
  </r>
  <r>
    <s v="cmpjx90aq00f7w2rw2lacz9qm"/>
    <x v="9"/>
    <s v="POST"/>
    <s v="/api/v1/pecas"/>
    <s v="/api/v1/pecas/"/>
    <x v="4"/>
    <n v="18.690000000000001"/>
    <d v="2026-05-24T15:17:53"/>
    <d v="2026-05-24T15:17:53"/>
    <s v="::ffff:127.0.0.1"/>
    <s v="Apache-HttpClient/4.5.14 (Java/21.0.11)"/>
    <d v="2026-05-24T15:17:53"/>
  </r>
  <r>
    <s v="cmpjx90b500fcw2rw8yx1cwts"/>
    <x v="9"/>
    <s v="POST"/>
    <s v="/api/v1/pecas"/>
    <s v="/api/v1/pecas/"/>
    <x v="3"/>
    <n v="22.61"/>
    <d v="2026-05-24T15:17:53"/>
    <d v="2026-05-24T15:17:53"/>
    <s v="::ffff:127.0.0.1"/>
    <s v="Apache-HttpClient/4.5.14 (Java/21.0.11)"/>
    <d v="2026-05-24T15:17:53"/>
  </r>
  <r>
    <s v="cmpjx90fi00gcw2rwwuw25ziz"/>
    <x v="9"/>
    <s v="POST"/>
    <s v="/api/v1/pecas"/>
    <s v="/api/v1/pecas/"/>
    <x v="3"/>
    <n v="25.29"/>
    <d v="2026-05-24T15:17:54"/>
    <d v="2026-05-24T15:17:54"/>
    <s v="::ffff:127.0.0.1"/>
    <s v="Apache-HttpClient/4.5.14 (Java/21.0.11)"/>
    <d v="2026-05-24T15:17:54"/>
  </r>
  <r>
    <s v="cmpjx90fx00gfw2rwc7ujkm5j"/>
    <x v="9"/>
    <s v="POST"/>
    <s v="/api/v1/pecas"/>
    <s v="/api/v1/pecas/"/>
    <x v="3"/>
    <n v="22.53"/>
    <d v="2026-05-24T15:17:54"/>
    <d v="2026-05-24T15:17:54"/>
    <s v="::ffff:127.0.0.1"/>
    <s v="Apache-HttpClient/4.5.14 (Java/21.0.11)"/>
    <d v="2026-05-24T15:17:54"/>
  </r>
  <r>
    <s v="cmpjx90ga00giw2rwxncjby43"/>
    <x v="9"/>
    <s v="POST"/>
    <s v="/api/v1/pecas"/>
    <s v="/api/v1/pecas/"/>
    <x v="3"/>
    <n v="25.61"/>
    <d v="2026-05-24T15:17:54"/>
    <d v="2026-05-24T15:17:54"/>
    <s v="::ffff:127.0.0.1"/>
    <s v="Apache-HttpClient/4.5.14 (Java/21.0.11)"/>
    <d v="2026-05-24T15:17:54"/>
  </r>
  <r>
    <s v="cmpjx90ge00gjw2rwzlimc35o"/>
    <x v="9"/>
    <s v="POST"/>
    <s v="/api/v1/pecas"/>
    <s v="/api/v1/pecas/"/>
    <x v="4"/>
    <n v="18.52"/>
    <d v="2026-05-24T15:17:54"/>
    <d v="2026-05-24T15:17:54"/>
    <s v="::ffff:127.0.0.1"/>
    <s v="Apache-HttpClient/4.5.14 (Java/21.0.11)"/>
    <d v="2026-05-24T15:17:54"/>
  </r>
  <r>
    <s v="cmpjx90hs00gvw2rwy94v5u5n"/>
    <x v="9"/>
    <s v="POST"/>
    <s v="/api/v1/pecas"/>
    <s v="/api/v1/pecas/"/>
    <x v="3"/>
    <n v="25.45"/>
    <d v="2026-05-24T15:17:54"/>
    <d v="2026-05-24T15:17:54"/>
    <s v="::ffff:127.0.0.1"/>
    <s v="Apache-HttpClient/4.5.14 (Java/21.0.11)"/>
    <d v="2026-05-24T15:17:54"/>
  </r>
  <r>
    <s v="cmpjx90mj00hpw2rw09ukfgks"/>
    <x v="9"/>
    <s v="POST"/>
    <s v="/api/v1/pecas"/>
    <s v="/api/v1/pecas/"/>
    <x v="3"/>
    <n v="23.69"/>
    <d v="2026-05-24T15:17:54"/>
    <d v="2026-05-24T15:17:54"/>
    <s v="::ffff:127.0.0.1"/>
    <s v="Apache-HttpClient/4.5.14 (Java/21.0.11)"/>
    <d v="2026-05-24T15:17:54"/>
  </r>
  <r>
    <s v="cmpjx90n100htw2rwyl74o3q2"/>
    <x v="9"/>
    <s v="POST"/>
    <s v="/api/v1/pecas"/>
    <s v="/api/v1/pecas/"/>
    <x v="3"/>
    <n v="23.34"/>
    <d v="2026-05-24T15:17:54"/>
    <d v="2026-05-24T15:17:54"/>
    <s v="::ffff:127.0.0.1"/>
    <s v="Apache-HttpClient/4.5.14 (Java/21.0.11)"/>
    <d v="2026-05-24T15:17:54"/>
  </r>
  <r>
    <s v="cmpjx90nd00hww2rw3jk8uss2"/>
    <x v="9"/>
    <s v="POST"/>
    <s v="/api/v1/pecas"/>
    <s v="/api/v1/pecas/"/>
    <x v="3"/>
    <n v="18.670000000000002"/>
    <d v="2026-05-24T15:17:54"/>
    <d v="2026-05-24T15:17:54"/>
    <s v="::ffff:127.0.0.1"/>
    <s v="Apache-HttpClient/4.5.14 (Java/21.0.11)"/>
    <d v="2026-05-24T15:17:54"/>
  </r>
  <r>
    <s v="cmpjx90ng00hxw2rw7j8vjlr9"/>
    <x v="9"/>
    <s v="POST"/>
    <s v="/api/v1/pecas"/>
    <s v="/api/v1/pecas/"/>
    <x v="4"/>
    <n v="20.309999999999999"/>
    <d v="2026-05-24T15:17:54"/>
    <d v="2026-05-24T15:17:54"/>
    <s v="::ffff:127.0.0.1"/>
    <s v="Apache-HttpClient/4.5.14 (Java/21.0.11)"/>
    <d v="2026-05-24T15:17:54"/>
  </r>
  <r>
    <s v="cmpjx90os00i6w2rwtm0m6m6u"/>
    <x v="9"/>
    <s v="POST"/>
    <s v="/api/v1/pecas"/>
    <s v="/api/v1/pecas/"/>
    <x v="3"/>
    <n v="34.380000000000003"/>
    <d v="2026-05-24T15:17:54"/>
    <d v="2026-05-24T15:17:54"/>
    <s v="::ffff:127.0.0.1"/>
    <s v="Apache-HttpClient/4.5.14 (Java/21.0.11)"/>
    <d v="2026-05-24T15:17:54"/>
  </r>
  <r>
    <s v="cmpjx90td00j4w2rwu08jlbwi"/>
    <x v="9"/>
    <s v="POST"/>
    <s v="/api/v1/pecas"/>
    <s v="/api/v1/pecas/"/>
    <x v="3"/>
    <n v="22.31"/>
    <d v="2026-05-24T15:17:54"/>
    <d v="2026-05-24T15:17:54"/>
    <s v="::ffff:127.0.0.1"/>
    <s v="Apache-HttpClient/4.5.14 (Java/21.0.11)"/>
    <d v="2026-05-24T15:17:54"/>
  </r>
  <r>
    <s v="cmpjx90tr00j7w2rwai1dtx5l"/>
    <x v="9"/>
    <s v="POST"/>
    <s v="/api/v1/pecas"/>
    <s v="/api/v1/pecas/"/>
    <x v="3"/>
    <n v="18.739999999999998"/>
    <d v="2026-05-24T15:17:54"/>
    <d v="2026-05-24T15:17:54"/>
    <s v="::ffff:127.0.0.1"/>
    <s v="Apache-HttpClient/4.5.14 (Java/21.0.11)"/>
    <d v="2026-05-24T15:17:54"/>
  </r>
  <r>
    <s v="cmpjx90tu00j8w2rw7kilt59t"/>
    <x v="9"/>
    <s v="POST"/>
    <s v="/api/v1/pecas"/>
    <s v="/api/v1/pecas/"/>
    <x v="4"/>
    <n v="19.46"/>
    <d v="2026-05-24T15:17:54"/>
    <d v="2026-05-24T15:17:54"/>
    <s v="::ffff:127.0.0.1"/>
    <s v="Apache-HttpClient/4.5.14 (Java/21.0.11)"/>
    <d v="2026-05-24T15:17:54"/>
  </r>
  <r>
    <s v="cmpjx90tz00jaw2rw7x9lcljz"/>
    <x v="9"/>
    <s v="POST"/>
    <s v="/api/v1/pecas"/>
    <s v="/api/v1/pecas/"/>
    <x v="4"/>
    <n v="13.17"/>
    <d v="2026-05-24T15:17:54"/>
    <d v="2026-05-24T15:17:54"/>
    <s v="::ffff:127.0.0.1"/>
    <s v="Apache-HttpClient/4.5.14 (Java/21.0.11)"/>
    <d v="2026-05-24T15:17:54"/>
  </r>
  <r>
    <s v="cmpjx90v800jmw2rwmiq7v5q5"/>
    <x v="9"/>
    <s v="POST"/>
    <s v="/api/v1/pecas"/>
    <s v="/api/v1/pecas/"/>
    <x v="3"/>
    <n v="24.61"/>
    <d v="2026-05-24T15:17:54"/>
    <d v="2026-05-24T15:17:54"/>
    <s v="::ffff:127.0.0.1"/>
    <s v="Apache-HttpClient/4.5.14 (Java/21.0.11)"/>
    <d v="2026-05-24T15:17:54"/>
  </r>
  <r>
    <s v="cmpjx911p00kjw2rwat0y87an"/>
    <x v="9"/>
    <s v="POST"/>
    <s v="/api/v1/pecas"/>
    <s v="/api/v1/pecas/"/>
    <x v="3"/>
    <n v="27.18"/>
    <d v="2026-05-24T15:17:54"/>
    <d v="2026-05-24T15:17:54"/>
    <s v="::ffff:127.0.0.1"/>
    <s v="Apache-HttpClient/4.5.14 (Java/21.0.11)"/>
    <d v="2026-05-24T15:17:54"/>
  </r>
  <r>
    <s v="cmpjx911s00kkw2rwcx1ejhza"/>
    <x v="9"/>
    <s v="POST"/>
    <s v="/api/v1/pecas"/>
    <s v="/api/v1/pecas/"/>
    <x v="4"/>
    <n v="14.97"/>
    <d v="2026-05-24T15:17:54"/>
    <d v="2026-05-24T15:17:54"/>
    <s v="::ffff:127.0.0.1"/>
    <s v="Apache-HttpClient/4.5.14 (Java/21.0.11)"/>
    <d v="2026-05-24T15:17:54"/>
  </r>
  <r>
    <s v="cmpjx911y00klw2rw7mho91oq"/>
    <x v="9"/>
    <s v="POST"/>
    <s v="/api/v1/pecas"/>
    <s v="/api/v1/pecas/"/>
    <x v="4"/>
    <n v="17.78"/>
    <d v="2026-05-24T15:17:54"/>
    <d v="2026-05-24T15:17:54"/>
    <s v="::ffff:127.0.0.1"/>
    <s v="Apache-HttpClient/4.5.14 (Java/21.0.11)"/>
    <d v="2026-05-24T15:17:54"/>
  </r>
  <r>
    <s v="cmpjx912e00kqw2rwnrlwcf1z"/>
    <x v="9"/>
    <s v="POST"/>
    <s v="/api/v1/pecas"/>
    <s v="/api/v1/pecas/"/>
    <x v="3"/>
    <n v="27.58"/>
    <d v="2026-05-24T15:17:54"/>
    <d v="2026-05-24T15:17:54"/>
    <s v="::ffff:127.0.0.1"/>
    <s v="Apache-HttpClient/4.5.14 (Java/21.0.11)"/>
    <d v="2026-05-24T15:17:54"/>
  </r>
  <r>
    <s v="cmpjx913m00l2w2rwos2f9zym"/>
    <x v="9"/>
    <s v="POST"/>
    <s v="/api/v1/pecas"/>
    <s v="/api/v1/pecas/"/>
    <x v="3"/>
    <n v="29.86"/>
    <d v="2026-05-24T15:17:54"/>
    <d v="2026-05-24T15:17:55"/>
    <s v="::ffff:127.0.0.1"/>
    <s v="Apache-HttpClient/4.5.14 (Java/21.0.11)"/>
    <d v="2026-05-24T15:17:55"/>
  </r>
  <r>
    <s v="cmpjx916400lqw2rwc1qqhurc"/>
    <x v="9"/>
    <s v="POST"/>
    <s v="/api/v1/pecas"/>
    <s v="/api/v1/pecas/"/>
    <x v="3"/>
    <n v="18.22"/>
    <d v="2026-05-24T15:17:55"/>
    <d v="2026-05-24T15:17:55"/>
    <s v="::ffff:127.0.0.1"/>
    <s v="Apache-HttpClient/4.5.14 (Java/21.0.11)"/>
    <d v="2026-05-24T15:17:55"/>
  </r>
  <r>
    <s v="cmpjx916700lrw2rwtdmsg2w2"/>
    <x v="9"/>
    <s v="POST"/>
    <s v="/api/v1/pecas"/>
    <s v="/api/v1/pecas/"/>
    <x v="4"/>
    <n v="17.93"/>
    <d v="2026-05-24T15:17:55"/>
    <d v="2026-05-24T15:17:55"/>
    <s v="::ffff:127.0.0.1"/>
    <s v="Apache-HttpClient/4.5.14 (Java/21.0.11)"/>
    <d v="2026-05-24T15:17:55"/>
  </r>
  <r>
    <s v="cmpjx916i00luw2rwsy72mjn6"/>
    <x v="9"/>
    <s v="POST"/>
    <s v="/api/v1/pecas"/>
    <s v="/api/v1/pecas/"/>
    <x v="3"/>
    <n v="16.86"/>
    <d v="2026-05-24T15:17:55"/>
    <d v="2026-05-24T15:17:55"/>
    <s v="::ffff:127.0.0.1"/>
    <s v="Apache-HttpClient/4.5.14 (Java/21.0.11)"/>
    <d v="2026-05-24T15:17:55"/>
  </r>
  <r>
    <s v="cmpjx918o00m9w2rw9b6bj9c9"/>
    <x v="9"/>
    <s v="POST"/>
    <s v="/api/v1/pecas"/>
    <s v="/api/v1/pecas/"/>
    <x v="3"/>
    <n v="37.49"/>
    <d v="2026-05-24T15:17:55"/>
    <d v="2026-05-24T15:17:55"/>
    <s v="::ffff:127.0.0.1"/>
    <s v="Apache-HttpClient/4.5.14 (Java/21.0.11)"/>
    <d v="2026-05-24T15:17:55"/>
  </r>
  <r>
    <s v="cmpjx91bc00mrw2rw5it0d1y4"/>
    <x v="9"/>
    <s v="POST"/>
    <s v="/api/v1/pecas"/>
    <s v="/api/v1/pecas/"/>
    <x v="3"/>
    <n v="37.090000000000003"/>
    <d v="2026-05-24T15:17:55"/>
    <d v="2026-05-24T15:17:55"/>
    <s v="::ffff:127.0.0.1"/>
    <s v="Apache-HttpClient/4.5.14 (Java/21.0.11)"/>
    <d v="2026-05-24T15:17:55"/>
  </r>
  <r>
    <s v="cmpjx91bu00mww2rw1e4ihdrz"/>
    <x v="9"/>
    <s v="POST"/>
    <s v="/api/v1/pecas"/>
    <s v="/api/v1/pecas/"/>
    <x v="3"/>
    <n v="13.68"/>
    <d v="2026-05-24T15:17:55"/>
    <d v="2026-05-24T15:17:55"/>
    <s v="::ffff:127.0.0.1"/>
    <s v="Apache-HttpClient/4.5.14 (Java/21.0.11)"/>
    <d v="2026-05-24T15:17:55"/>
  </r>
  <r>
    <s v="cmpjx91cb00n1w2rwbmbttqgm"/>
    <x v="9"/>
    <s v="POST"/>
    <s v="/api/v1/pecas"/>
    <s v="/api/v1/pecas/"/>
    <x v="3"/>
    <n v="18.47"/>
    <d v="2026-05-24T15:17:55"/>
    <d v="2026-05-24T15:17:55"/>
    <s v="::ffff:127.0.0.1"/>
    <s v="Apache-HttpClient/4.5.14 (Java/21.0.11)"/>
    <d v="2026-05-24T15:17:55"/>
  </r>
  <r>
    <s v="cmpjx91do00naw2rw2duymjgb"/>
    <x v="9"/>
    <s v="POST"/>
    <s v="/api/v1/pecas"/>
    <s v="/api/v1/pecas/"/>
    <x v="3"/>
    <n v="31.34"/>
    <d v="2026-05-24T15:17:55"/>
    <d v="2026-05-24T15:17:55"/>
    <s v="::ffff:127.0.0.1"/>
    <s v="Apache-HttpClient/4.5.14 (Java/21.0.11)"/>
    <d v="2026-05-24T15:17:55"/>
  </r>
  <r>
    <s v="cmpjx91g200nrw2rw32uptiid"/>
    <x v="9"/>
    <s v="POST"/>
    <s v="/api/v1/pecas"/>
    <s v="/api/v1/pecas/"/>
    <x v="3"/>
    <n v="26.95"/>
    <d v="2026-05-24T15:17:55"/>
    <d v="2026-05-24T15:17:55"/>
    <s v="::ffff:127.0.0.1"/>
    <s v="Apache-HttpClient/4.5.14 (Java/21.0.11)"/>
    <d v="2026-05-24T15:17:55"/>
  </r>
  <r>
    <s v="cmpjx91gh00ntw2rw5we9gvzh"/>
    <x v="9"/>
    <s v="POST"/>
    <s v="/api/v1/pecas"/>
    <s v="/api/v1/pecas/"/>
    <x v="3"/>
    <n v="12.51"/>
    <d v="2026-05-24T15:17:55"/>
    <d v="2026-05-24T15:17:55"/>
    <s v="::ffff:127.0.0.1"/>
    <s v="Apache-HttpClient/4.5.14 (Java/21.0.11)"/>
    <d v="2026-05-24T15:17:55"/>
  </r>
  <r>
    <s v="cmpjx91i500o6w2rwd84y6a1y"/>
    <x v="9"/>
    <s v="POST"/>
    <s v="/api/v1/pecas"/>
    <s v="/api/v1/pecas/"/>
    <x v="3"/>
    <n v="23.74"/>
    <d v="2026-05-24T15:17:55"/>
    <d v="2026-05-24T15:17:55"/>
    <s v="::ffff:127.0.0.1"/>
    <s v="Apache-HttpClient/4.5.14 (Java/21.0.11)"/>
    <d v="2026-05-24T15:17:55"/>
  </r>
  <r>
    <s v="cmpjx91k000ofw2rwgfhd1fqx"/>
    <x v="9"/>
    <s v="POST"/>
    <s v="/api/v1/pecas"/>
    <s v="/api/v1/pecas/"/>
    <x v="3"/>
    <n v="34.85"/>
    <d v="2026-05-24T15:17:55"/>
    <d v="2026-05-24T15:17:55"/>
    <s v="::ffff:127.0.0.1"/>
    <s v="Apache-HttpClient/4.5.14 (Java/21.0.11)"/>
    <d v="2026-05-24T15:17:55"/>
  </r>
  <r>
    <s v="cmpjx91lo00oqw2rwywu5f3hs"/>
    <x v="9"/>
    <s v="POST"/>
    <s v="/api/v1/pecas"/>
    <s v="/api/v1/pecas/"/>
    <x v="3"/>
    <n v="9.64"/>
    <d v="2026-05-24T15:17:55"/>
    <d v="2026-05-24T15:17:55"/>
    <s v="::ffff:127.0.0.1"/>
    <s v="Apache-HttpClient/4.5.14 (Java/21.0.11)"/>
    <d v="2026-05-24T15:17:55"/>
  </r>
  <r>
    <s v="cmpjx91mh00oyw2rw419jy8cb"/>
    <x v="9"/>
    <s v="POST"/>
    <s v="/api/v1/pecas"/>
    <s v="/api/v1/pecas/"/>
    <x v="3"/>
    <n v="8.49"/>
    <d v="2026-05-24T15:17:55"/>
    <d v="2026-05-24T15:17:55"/>
    <s v="::ffff:127.0.0.1"/>
    <s v="Apache-HttpClient/4.5.14 (Java/21.0.11)"/>
    <d v="2026-05-24T15:17: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mpjxfr3c00pbw2rwja53ycv5"/>
    <x v="0"/>
    <s v="DELETE"/>
    <s v="/api/v1/pecas/21"/>
    <s v="/api/v1/pecas/:id"/>
    <x v="0"/>
    <x v="0"/>
    <d v="2026-05-24T15:23:08"/>
    <d v="2026-05-24T15:23:08"/>
    <s v="::ffff:127.0.0.1"/>
    <s v="Apache-HttpClient/4.5.14 (Java/21.0.11)"/>
    <d v="2026-05-24T15:23:08"/>
  </r>
  <r>
    <s v="cmpjxfr5x00puw2rwmvqcreq0"/>
    <x v="0"/>
    <s v="DELETE"/>
    <s v="/api/v1/pecas/21"/>
    <s v="/api/v1/pecas/:id"/>
    <x v="0"/>
    <x v="1"/>
    <d v="2026-05-24T15:23:08"/>
    <d v="2026-05-24T15:23:08"/>
    <s v="::ffff:127.0.0.1"/>
    <s v="Apache-HttpClient/4.5.14 (Java/21.0.11)"/>
    <d v="2026-05-24T15:23:08"/>
  </r>
  <r>
    <s v="cmpjxfr6500pvw2rwhvfq6uow"/>
    <x v="0"/>
    <s v="DELETE"/>
    <s v="/api/v1/pecas/22"/>
    <s v="/api/v1/pecas/:id"/>
    <x v="0"/>
    <x v="2"/>
    <d v="2026-05-24T15:23:08"/>
    <d v="2026-05-24T15:23:08"/>
    <s v="::ffff:127.0.0.1"/>
    <s v="Apache-HttpClient/4.5.14 (Java/21.0.11)"/>
    <d v="2026-05-24T15:23:08"/>
  </r>
  <r>
    <s v="cmpjxfr8g00qjw2rwmcyvwf1s"/>
    <x v="0"/>
    <s v="DELETE"/>
    <s v="/api/v1/pecas/ID_NAO_ENCONTRADO"/>
    <s v="/api/v1/pecas/:id"/>
    <x v="1"/>
    <x v="3"/>
    <d v="2026-05-24T15:23:08"/>
    <d v="2026-05-24T15:23:08"/>
    <s v="::ffff:127.0.0.1"/>
    <s v="Apache-HttpClient/4.5.14 (Java/21.0.11)"/>
    <d v="2026-05-24T15:23:08"/>
  </r>
  <r>
    <s v="cmpjxfr8s00qmw2rwskn6tssg"/>
    <x v="0"/>
    <s v="DELETE"/>
    <s v="/api/v1/pecas/21"/>
    <s v="/api/v1/pecas/:id"/>
    <x v="0"/>
    <x v="4"/>
    <d v="2026-05-24T15:23:08"/>
    <d v="2026-05-24T15:23:08"/>
    <s v="::ffff:127.0.0.1"/>
    <s v="Apache-HttpClient/4.5.14 (Java/21.0.11)"/>
    <d v="2026-05-24T15:23:08"/>
  </r>
  <r>
    <s v="cmpjxfr9v00qxw2rwv4559lja"/>
    <x v="0"/>
    <s v="DELETE"/>
    <s v="/api/v1/pecas/22"/>
    <s v="/api/v1/pecas/:id"/>
    <x v="0"/>
    <x v="5"/>
    <d v="2026-05-24T15:23:08"/>
    <d v="2026-05-24T15:23:08"/>
    <s v="::ffff:127.0.0.1"/>
    <s v="Apache-HttpClient/4.5.14 (Java/21.0.11)"/>
    <d v="2026-05-24T15:23:08"/>
  </r>
  <r>
    <s v="cmpjxfrbm00rjw2rwhrjwut5f"/>
    <x v="0"/>
    <s v="DELETE"/>
    <s v="/api/v1/pecas/21"/>
    <s v="/api/v1/pecas/:id"/>
    <x v="0"/>
    <x v="6"/>
    <d v="2026-05-24T15:23:08"/>
    <d v="2026-05-24T15:23:08"/>
    <s v="::ffff:127.0.0.1"/>
    <s v="Apache-HttpClient/4.5.14 (Java/21.0.11)"/>
    <d v="2026-05-24T15:23:08"/>
  </r>
  <r>
    <s v="cmpjxfrc200rnw2rwu9tc6b53"/>
    <x v="0"/>
    <s v="DELETE"/>
    <s v="/api/v1/pecas/22"/>
    <s v="/api/v1/pecas/:id"/>
    <x v="0"/>
    <x v="7"/>
    <d v="2026-05-24T15:23:08"/>
    <d v="2026-05-24T15:23:08"/>
    <s v="::ffff:127.0.0.1"/>
    <s v="Apache-HttpClient/4.5.14 (Java/21.0.11)"/>
    <d v="2026-05-24T15:23:08"/>
  </r>
  <r>
    <s v="cmpjxfrdc00rzw2rw78acmg0m"/>
    <x v="0"/>
    <s v="DELETE"/>
    <s v="/api/v1/pecas/ID_NAO_ENCONTRADO"/>
    <s v="/api/v1/pecas/:id"/>
    <x v="1"/>
    <x v="8"/>
    <d v="2026-05-24T15:23:08"/>
    <d v="2026-05-24T15:23:08"/>
    <s v="::ffff:127.0.0.1"/>
    <s v="Apache-HttpClient/4.5.14 (Java/21.0.11)"/>
    <d v="2026-05-24T15:23:08"/>
  </r>
  <r>
    <s v="cmpjxfrdf00s1w2rwy2402dwa"/>
    <x v="0"/>
    <s v="DELETE"/>
    <s v="/api/v1/pecas/23"/>
    <s v="/api/v1/pecas/:id"/>
    <x v="0"/>
    <x v="9"/>
    <d v="2026-05-24T15:23:08"/>
    <d v="2026-05-24T15:23:08"/>
    <s v="::ffff:127.0.0.1"/>
    <s v="Apache-HttpClient/4.5.14 (Java/21.0.11)"/>
    <d v="2026-05-24T15:23:08"/>
  </r>
  <r>
    <s v="cmpjxfrg200svw2rwc72luyfc"/>
    <x v="0"/>
    <s v="DELETE"/>
    <s v="/api/v1/pecas/21"/>
    <s v="/api/v1/pecas/:id"/>
    <x v="0"/>
    <x v="10"/>
    <d v="2026-05-24T15:23:09"/>
    <d v="2026-05-24T15:23:09"/>
    <s v="::ffff:127.0.0.1"/>
    <s v="Apache-HttpClient/4.5.14 (Java/21.0.11)"/>
    <d v="2026-05-24T15:23:09"/>
  </r>
  <r>
    <s v="cmpjxfrgi00t1w2rwu3vok0u5"/>
    <x v="0"/>
    <s v="DELETE"/>
    <s v="/api/v1/pecas/22"/>
    <s v="/api/v1/pecas/:id"/>
    <x v="0"/>
    <x v="11"/>
    <d v="2026-05-24T15:23:09"/>
    <d v="2026-05-24T15:23:09"/>
    <s v="::ffff:127.0.0.1"/>
    <s v="Apache-HttpClient/4.5.14 (Java/21.0.11)"/>
    <d v="2026-05-24T15:23:09"/>
  </r>
  <r>
    <s v="cmpjxfrhi00tbw2rwr3tc5qxv"/>
    <x v="0"/>
    <s v="DELETE"/>
    <s v="/api/v1/pecas/23"/>
    <s v="/api/v1/pecas/:id"/>
    <x v="0"/>
    <x v="12"/>
    <d v="2026-05-24T15:23:09"/>
    <d v="2026-05-24T15:23:09"/>
    <s v="::ffff:127.0.0.1"/>
    <s v="Apache-HttpClient/4.5.14 (Java/21.0.11)"/>
    <d v="2026-05-24T15:23:09"/>
  </r>
  <r>
    <s v="cmpjxfrhq00tew2rwiwrghpd8"/>
    <x v="0"/>
    <s v="DELETE"/>
    <s v="/api/v1/pecas/ID_NAO_ENCONTRADO"/>
    <s v="/api/v1/pecas/:id"/>
    <x v="1"/>
    <x v="13"/>
    <d v="2026-05-24T15:23:09"/>
    <d v="2026-05-24T15:23:09"/>
    <s v="::ffff:127.0.0.1"/>
    <s v="Apache-HttpClient/4.5.14 (Java/21.0.11)"/>
    <d v="2026-05-24T15:23:09"/>
  </r>
  <r>
    <s v="cmpjxfrhz00thw2rw5g0vzkw5"/>
    <x v="0"/>
    <s v="DELETE"/>
    <s v="/api/v1/pecas/24"/>
    <s v="/api/v1/pecas/:id"/>
    <x v="0"/>
    <x v="14"/>
    <d v="2026-05-24T15:23:09"/>
    <d v="2026-05-24T15:23:09"/>
    <s v="::ffff:127.0.0.1"/>
    <s v="Apache-HttpClient/4.5.14 (Java/21.0.11)"/>
    <d v="2026-05-24T15:23:09"/>
  </r>
  <r>
    <s v="cmpjxfrlc00ujw2rwadwk83zs"/>
    <x v="0"/>
    <s v="DELETE"/>
    <s v="/api/v1/pecas/21"/>
    <s v="/api/v1/pecas/:id"/>
    <x v="0"/>
    <x v="15"/>
    <d v="2026-05-24T15:23:09"/>
    <d v="2026-05-24T15:23:09"/>
    <s v="::ffff:127.0.0.1"/>
    <s v="Apache-HttpClient/4.5.14 (Java/21.0.11)"/>
    <d v="2026-05-24T15:23:09"/>
  </r>
  <r>
    <s v="cmpjxfrm800usw2rwpvikxy6i"/>
    <x v="0"/>
    <s v="DELETE"/>
    <s v="/api/v1/pecas/22"/>
    <s v="/api/v1/pecas/:id"/>
    <x v="0"/>
    <x v="16"/>
    <d v="2026-05-24T15:23:09"/>
    <d v="2026-05-24T15:23:09"/>
    <s v="::ffff:127.0.0.1"/>
    <s v="Apache-HttpClient/4.5.14 (Java/21.0.11)"/>
    <d v="2026-05-24T15:23:09"/>
  </r>
  <r>
    <s v="cmpjxfrms00v0w2rwd36hqp4m"/>
    <x v="0"/>
    <s v="DELETE"/>
    <s v="/api/v1/pecas/23"/>
    <s v="/api/v1/pecas/:id"/>
    <x v="0"/>
    <x v="10"/>
    <d v="2026-05-24T15:23:09"/>
    <d v="2026-05-24T15:23:09"/>
    <s v="::ffff:127.0.0.1"/>
    <s v="Apache-HttpClient/4.5.14 (Java/21.0.11)"/>
    <d v="2026-05-24T15:23:09"/>
  </r>
  <r>
    <s v="cmpjxfrni00v9w2rw7ef4vps2"/>
    <x v="0"/>
    <s v="DELETE"/>
    <s v="/api/v1/pecas/ID_NAO_ENCONTRADO"/>
    <s v="/api/v1/pecas/:id"/>
    <x v="1"/>
    <x v="17"/>
    <d v="2026-05-24T15:23:09"/>
    <d v="2026-05-24T15:23:09"/>
    <s v="::ffff:127.0.0.1"/>
    <s v="Apache-HttpClient/4.5.14 (Java/21.0.11)"/>
    <d v="2026-05-24T15:23:09"/>
  </r>
  <r>
    <s v="cmpjxfrnx00vdw2rw7mkdrh7k"/>
    <x v="0"/>
    <s v="DELETE"/>
    <s v="/api/v1/pecas/24"/>
    <s v="/api/v1/pecas/:id"/>
    <x v="0"/>
    <x v="18"/>
    <d v="2026-05-24T15:23:09"/>
    <d v="2026-05-24T15:23:09"/>
    <s v="::ffff:127.0.0.1"/>
    <s v="Apache-HttpClient/4.5.14 (Java/21.0.11)"/>
    <d v="2026-05-24T15:23:09"/>
  </r>
  <r>
    <s v="cmpjxfro500vgw2rw90u7gz0k"/>
    <x v="0"/>
    <s v="DELETE"/>
    <s v="/api/v1/pecas/ID_NAO_ENCONTRADO"/>
    <s v="/api/v1/pecas/:id"/>
    <x v="1"/>
    <x v="19"/>
    <d v="2026-05-24T15:23:09"/>
    <d v="2026-05-24T15:23:09"/>
    <s v="::ffff:127.0.0.1"/>
    <s v="Apache-HttpClient/4.5.14 (Java/21.0.11)"/>
    <d v="2026-05-24T15:23:09"/>
  </r>
  <r>
    <s v="cmpjxfrow00vmw2rwx0s5dpdh"/>
    <x v="0"/>
    <s v="DELETE"/>
    <s v="/api/v1/pecas/25"/>
    <s v="/api/v1/pecas/:id"/>
    <x v="0"/>
    <x v="20"/>
    <d v="2026-05-24T15:23:09"/>
    <d v="2026-05-24T15:23:09"/>
    <s v="::ffff:127.0.0.1"/>
    <s v="Apache-HttpClient/4.5.14 (Java/21.0.11)"/>
    <d v="2026-05-24T15:23:09"/>
  </r>
  <r>
    <s v="cmpjxfrse00wrw2rw330ocl2i"/>
    <x v="0"/>
    <s v="DELETE"/>
    <s v="/api/v1/pecas/21"/>
    <s v="/api/v1/pecas/:id"/>
    <x v="0"/>
    <x v="21"/>
    <d v="2026-05-24T15:23:09"/>
    <d v="2026-05-24T15:23:09"/>
    <s v="::ffff:127.0.0.1"/>
    <s v="Apache-HttpClient/4.5.14 (Java/21.0.11)"/>
    <d v="2026-05-24T15:23:09"/>
  </r>
  <r>
    <s v="cmpjxfrt900x1w2rwa2o49pcs"/>
    <x v="0"/>
    <s v="DELETE"/>
    <s v="/api/v1/pecas/22"/>
    <s v="/api/v1/pecas/:id"/>
    <x v="0"/>
    <x v="22"/>
    <d v="2026-05-24T15:23:09"/>
    <d v="2026-05-24T15:23:09"/>
    <s v="::ffff:127.0.0.1"/>
    <s v="Apache-HttpClient/4.5.14 (Java/21.0.11)"/>
    <d v="2026-05-24T15:23:09"/>
  </r>
  <r>
    <s v="cmpjxfruc00xew2rw9yhq5fvk"/>
    <x v="0"/>
    <s v="DELETE"/>
    <s v="/api/v1/pecas/23"/>
    <s v="/api/v1/pecas/:id"/>
    <x v="0"/>
    <x v="23"/>
    <d v="2026-05-24T15:23:09"/>
    <d v="2026-05-24T15:23:09"/>
    <s v="::ffff:127.0.0.1"/>
    <s v="Apache-HttpClient/4.5.14 (Java/21.0.11)"/>
    <d v="2026-05-24T15:23:09"/>
  </r>
  <r>
    <s v="cmpjxfruy00xow2rwc3lesz2l"/>
    <x v="0"/>
    <s v="DELETE"/>
    <s v="/api/v1/pecas/24"/>
    <s v="/api/v1/pecas/:id"/>
    <x v="0"/>
    <x v="24"/>
    <d v="2026-05-24T15:23:09"/>
    <d v="2026-05-24T15:23:09"/>
    <s v="::ffff:127.0.0.1"/>
    <s v="Apache-HttpClient/4.5.14 (Java/21.0.11)"/>
    <d v="2026-05-24T15:23:09"/>
  </r>
  <r>
    <s v="cmpjxfrvk00xvw2rw24zdap9d"/>
    <x v="0"/>
    <s v="DELETE"/>
    <s v="/api/v1/pecas/ID_NAO_ENCONTRADO"/>
    <s v="/api/v1/pecas/:id"/>
    <x v="1"/>
    <x v="25"/>
    <d v="2026-05-24T15:23:09"/>
    <d v="2026-05-24T15:23:09"/>
    <s v="::ffff:127.0.0.1"/>
    <s v="Apache-HttpClient/4.5.14 (Java/21.0.11)"/>
    <d v="2026-05-24T15:23:09"/>
  </r>
  <r>
    <s v="cmpjxfrvq00xww2rwqwoj7hw4"/>
    <x v="0"/>
    <s v="DELETE"/>
    <s v="/api/v1/pecas/ID_NAO_ENCONTRADO"/>
    <s v="/api/v1/pecas/:id"/>
    <x v="1"/>
    <x v="26"/>
    <d v="2026-05-24T15:23:09"/>
    <d v="2026-05-24T15:23:09"/>
    <s v="::ffff:127.0.0.1"/>
    <s v="Apache-HttpClient/4.5.14 (Java/21.0.11)"/>
    <d v="2026-05-24T15:23:09"/>
  </r>
  <r>
    <s v="cmpjxfrvs00xxw2rwn7ljfehr"/>
    <x v="0"/>
    <s v="DELETE"/>
    <s v="/api/v1/pecas/ID_NAO_ENCONTRADO"/>
    <s v="/api/v1/pecas/:id"/>
    <x v="1"/>
    <x v="27"/>
    <d v="2026-05-24T15:23:09"/>
    <d v="2026-05-24T15:23:09"/>
    <s v="::ffff:127.0.0.1"/>
    <s v="Apache-HttpClient/4.5.14 (Java/21.0.11)"/>
    <d v="2026-05-24T15:23:09"/>
  </r>
  <r>
    <s v="cmpjxfrvu00xyw2rwyc3at5hu"/>
    <x v="0"/>
    <s v="DELETE"/>
    <s v="/api/v1/pecas/25"/>
    <s v="/api/v1/pecas/:id"/>
    <x v="0"/>
    <x v="28"/>
    <d v="2026-05-24T15:23:09"/>
    <d v="2026-05-24T15:23:09"/>
    <s v="::ffff:127.0.0.1"/>
    <s v="Apache-HttpClient/4.5.14 (Java/21.0.11)"/>
    <d v="2026-05-24T15:23:09"/>
  </r>
  <r>
    <s v="cmpjxfry100yiw2rw28wpbhhc"/>
    <x v="0"/>
    <s v="DELETE"/>
    <s v="/api/v1/pecas/26"/>
    <s v="/api/v1/pecas/:id"/>
    <x v="0"/>
    <x v="29"/>
    <d v="2026-05-24T15:23:09"/>
    <d v="2026-05-24T15:23:09"/>
    <s v="::ffff:127.0.0.1"/>
    <s v="Apache-HttpClient/4.5.14 (Java/21.0.11)"/>
    <d v="2026-05-24T15:23:09"/>
  </r>
  <r>
    <s v="cmpjxfryt00yvw2rwewtyn2rm"/>
    <x v="0"/>
    <s v="DELETE"/>
    <s v="/api/v1/pecas/27"/>
    <s v="/api/v1/pecas/:id"/>
    <x v="0"/>
    <x v="30"/>
    <d v="2026-05-24T15:23:09"/>
    <d v="2026-05-24T15:23:09"/>
    <s v="::ffff:127.0.0.1"/>
    <s v="Apache-HttpClient/4.5.14 (Java/21.0.11)"/>
    <d v="2026-05-24T15:23:09"/>
  </r>
  <r>
    <s v="cmpjxfs0p00zlw2rw06wj60wg"/>
    <x v="0"/>
    <s v="DELETE"/>
    <s v="/api/v1/pecas/28"/>
    <s v="/api/v1/pecas/:id"/>
    <x v="0"/>
    <x v="31"/>
    <d v="2026-05-24T15:23:09"/>
    <d v="2026-05-24T15:23:09"/>
    <s v="::ffff:127.0.0.1"/>
    <s v="Apache-HttpClient/4.5.14 (Java/21.0.11)"/>
    <d v="2026-05-24T15:23:09"/>
  </r>
  <r>
    <s v="cmpjxfs1h00zuw2rwjs5uqyv1"/>
    <x v="0"/>
    <s v="DELETE"/>
    <s v="/api/v1/pecas/29"/>
    <s v="/api/v1/pecas/:id"/>
    <x v="0"/>
    <x v="32"/>
    <d v="2026-05-24T15:23:09"/>
    <d v="2026-05-24T15:23:09"/>
    <s v="::ffff:127.0.0.1"/>
    <s v="Apache-HttpClient/4.5.14 (Java/21.0.11)"/>
    <d v="2026-05-24T15:23:09"/>
  </r>
  <r>
    <s v="cmpjxfs2q010bw2rw0e76awk4"/>
    <x v="0"/>
    <s v="DELETE"/>
    <s v="/api/v1/pecas/30"/>
    <s v="/api/v1/pecas/:id"/>
    <x v="0"/>
    <x v="33"/>
    <d v="2026-05-24T15:23:09"/>
    <d v="2026-05-24T15:23:09"/>
    <s v="::ffff:127.0.0.1"/>
    <s v="Apache-HttpClient/4.5.14 (Java/21.0.11)"/>
    <d v="2026-05-24T15:23:09"/>
  </r>
  <r>
    <s v="cmpjxfs33010hw2rwt84mu80b"/>
    <x v="0"/>
    <s v="DELETE"/>
    <s v="/api/v1/pecas/31"/>
    <s v="/api/v1/pecas/:id"/>
    <x v="0"/>
    <x v="34"/>
    <d v="2026-05-24T15:23:09"/>
    <d v="2026-05-24T15:23:09"/>
    <s v="::ffff:127.0.0.1"/>
    <s v="Apache-HttpClient/4.5.14 (Java/21.0.11)"/>
    <d v="2026-05-24T15:23:09"/>
  </r>
  <r>
    <s v="cmpjxfs3b010lw2rwt0oxezpz"/>
    <x v="0"/>
    <s v="DELETE"/>
    <s v="/api/v1/pecas/ID_NAO_ENCONTRADO"/>
    <s v="/api/v1/pecas/:id"/>
    <x v="1"/>
    <x v="35"/>
    <d v="2026-05-24T15:23:09"/>
    <d v="2026-05-24T15:23:09"/>
    <s v="::ffff:127.0.0.1"/>
    <s v="Apache-HttpClient/4.5.14 (Java/21.0.11)"/>
    <d v="2026-05-24T15:23:09"/>
  </r>
  <r>
    <s v="cmpjxfs3e010mw2rwpx2ebomn"/>
    <x v="0"/>
    <s v="DELETE"/>
    <s v="/api/v1/pecas/ID_NAO_ENCONTRADO"/>
    <s v="/api/v1/pecas/:id"/>
    <x v="1"/>
    <x v="36"/>
    <d v="2026-05-24T15:23:09"/>
    <d v="2026-05-24T15:23:09"/>
    <s v="::ffff:127.0.0.1"/>
    <s v="Apache-HttpClient/4.5.14 (Java/21.0.11)"/>
    <d v="2026-05-24T15:23:09"/>
  </r>
  <r>
    <s v="cmpjxfs3h010nw2rw9xnf62jq"/>
    <x v="0"/>
    <s v="DELETE"/>
    <s v="/api/v1/pecas/ID_NAO_ENCONTRADO"/>
    <s v="/api/v1/pecas/:id"/>
    <x v="1"/>
    <x v="37"/>
    <d v="2026-05-24T15:23:09"/>
    <d v="2026-05-24T15:23:09"/>
    <s v="::ffff:127.0.0.1"/>
    <s v="Apache-HttpClient/4.5.14 (Java/21.0.11)"/>
    <d v="2026-05-24T15:23:09"/>
  </r>
  <r>
    <s v="cmpjxfs3u010qw2rwv960btmk"/>
    <x v="0"/>
    <s v="DELETE"/>
    <s v="/api/v1/pecas/32"/>
    <s v="/api/v1/pecas/:id"/>
    <x v="0"/>
    <x v="38"/>
    <d v="2026-05-24T15:23:09"/>
    <d v="2026-05-24T15:23:09"/>
    <s v="::ffff:127.0.0.1"/>
    <s v="Apache-HttpClient/4.5.14 (Java/21.0.11)"/>
    <d v="2026-05-24T15:23:09"/>
  </r>
  <r>
    <s v="cmpjxfs69011iw2rwn29ls271"/>
    <x v="0"/>
    <s v="DELETE"/>
    <s v="/api/v1/pecas/33"/>
    <s v="/api/v1/pecas/:id"/>
    <x v="0"/>
    <x v="39"/>
    <d v="2026-05-24T15:23:10"/>
    <d v="2026-05-24T15:23:10"/>
    <s v="::ffff:127.0.0.1"/>
    <s v="Apache-HttpClient/4.5.14 (Java/21.0.11)"/>
    <d v="2026-05-24T15:23:10"/>
  </r>
  <r>
    <s v="cmpjxfs6n011ow2rw4lfqur6x"/>
    <x v="0"/>
    <s v="DELETE"/>
    <s v="/api/v1/pecas/34"/>
    <s v="/api/v1/pecas/:id"/>
    <x v="0"/>
    <x v="40"/>
    <d v="2026-05-24T15:23:10"/>
    <d v="2026-05-24T15:23:10"/>
    <s v="::ffff:127.0.0.1"/>
    <s v="Apache-HttpClient/4.5.14 (Java/21.0.11)"/>
    <d v="2026-05-24T15:23:10"/>
  </r>
  <r>
    <s v="cmpjxfs99012dw2rw5wn0ekij"/>
    <x v="0"/>
    <s v="DELETE"/>
    <s v="/api/v1/pecas/35"/>
    <s v="/api/v1/pecas/:id"/>
    <x v="0"/>
    <x v="41"/>
    <d v="2026-05-24T15:23:10"/>
    <d v="2026-05-24T15:23:10"/>
    <s v="::ffff:127.0.0.1"/>
    <s v="Apache-HttpClient/4.5.14 (Java/21.0.11)"/>
    <d v="2026-05-24T15:23:10"/>
  </r>
  <r>
    <s v="cmpjxfsa7012qw2rwxu26z7lp"/>
    <x v="0"/>
    <s v="DELETE"/>
    <s v="/api/v1/pecas/36"/>
    <s v="/api/v1/pecas/:id"/>
    <x v="0"/>
    <x v="42"/>
    <d v="2026-05-24T15:23:10"/>
    <d v="2026-05-24T15:23:10"/>
    <s v="::ffff:127.0.0.1"/>
    <s v="Apache-HttpClient/4.5.14 (Java/21.0.11)"/>
    <d v="2026-05-24T15:23:10"/>
  </r>
  <r>
    <s v="cmpjxfsbd0137w2rwcgr0cwwu"/>
    <x v="0"/>
    <s v="DELETE"/>
    <s v="/api/v1/pecas/37"/>
    <s v="/api/v1/pecas/:id"/>
    <x v="0"/>
    <x v="43"/>
    <d v="2026-05-24T15:23:10"/>
    <d v="2026-05-24T15:23:10"/>
    <s v="::ffff:127.0.0.1"/>
    <s v="Apache-HttpClient/4.5.14 (Java/21.0.11)"/>
    <d v="2026-05-24T15:23:10"/>
  </r>
  <r>
    <s v="cmpjxfsbg0138w2rw8ebi2r9z"/>
    <x v="0"/>
    <s v="DELETE"/>
    <s v="/api/v1/pecas/ID_NAO_ENCONTRADO"/>
    <s v="/api/v1/pecas/:id"/>
    <x v="1"/>
    <x v="44"/>
    <d v="2026-05-24T15:23:10"/>
    <d v="2026-05-24T15:23:10"/>
    <s v="::ffff:127.0.0.1"/>
    <s v="Apache-HttpClient/4.5.14 (Java/21.0.11)"/>
    <d v="2026-05-24T15:23:10"/>
  </r>
  <r>
    <s v="cmpjxfsbi0139w2rwnvsshqn6"/>
    <x v="0"/>
    <s v="DELETE"/>
    <s v="/api/v1/pecas/ID_NAO_ENCONTRADO"/>
    <s v="/api/v1/pecas/:id"/>
    <x v="1"/>
    <x v="45"/>
    <d v="2026-05-24T15:23:10"/>
    <d v="2026-05-24T15:23:10"/>
    <s v="::ffff:127.0.0.1"/>
    <s v="Apache-HttpClient/4.5.14 (Java/21.0.11)"/>
    <d v="2026-05-24T15:23:10"/>
  </r>
  <r>
    <s v="cmpjxfsbl013aw2rwijkzh1gb"/>
    <x v="0"/>
    <s v="DELETE"/>
    <s v="/api/v1/pecas/ID_NAO_ENCONTRADO"/>
    <s v="/api/v1/pecas/:id"/>
    <x v="1"/>
    <x v="46"/>
    <d v="2026-05-24T15:23:10"/>
    <d v="2026-05-24T15:23:10"/>
    <s v="::ffff:127.0.0.1"/>
    <s v="Apache-HttpClient/4.5.14 (Java/21.0.11)"/>
    <d v="2026-05-24T15:23:10"/>
  </r>
  <r>
    <s v="cmpjxfsbq013dw2rw1gcvk23w"/>
    <x v="0"/>
    <s v="DELETE"/>
    <s v="/api/v1/pecas/38"/>
    <s v="/api/v1/pecas/:id"/>
    <x v="0"/>
    <x v="47"/>
    <d v="2026-05-24T15:23:10"/>
    <d v="2026-05-24T15:23:10"/>
    <s v="::ffff:127.0.0.1"/>
    <s v="Apache-HttpClient/4.5.14 (Java/21.0.11)"/>
    <d v="2026-05-24T15:23:10"/>
  </r>
  <r>
    <s v="cmpjxfscf013jw2rwmwis61pc"/>
    <x v="0"/>
    <s v="DELETE"/>
    <s v="/api/v1/pecas/39"/>
    <s v="/api/v1/pecas/:id"/>
    <x v="0"/>
    <x v="48"/>
    <d v="2026-05-24T15:23:10"/>
    <d v="2026-05-24T15:23:10"/>
    <s v="::ffff:127.0.0.1"/>
    <s v="Apache-HttpClient/4.5.14 (Java/21.0.11)"/>
    <d v="2026-05-24T15:23:10"/>
  </r>
  <r>
    <s v="cmpjxfse70146w2rwkyjlo6jl"/>
    <x v="0"/>
    <s v="DELETE"/>
    <s v="/api/v1/pecas/40"/>
    <s v="/api/v1/pecas/:id"/>
    <x v="0"/>
    <x v="49"/>
    <d v="2026-05-24T15:23:10"/>
    <d v="2026-05-24T15:23:10"/>
    <s v="::ffff:127.0.0.1"/>
    <s v="Apache-HttpClient/4.5.14 (Java/21.0.11)"/>
    <d v="2026-05-24T15:23:10"/>
  </r>
  <r>
    <s v="cmpjxfseu014gw2rww0eeiugp"/>
    <x v="0"/>
    <s v="DELETE"/>
    <s v="/api/v1/pecas/41"/>
    <s v="/api/v1/pecas/:id"/>
    <x v="0"/>
    <x v="50"/>
    <d v="2026-05-24T15:23:10"/>
    <d v="2026-05-24T15:23:10"/>
    <s v="::ffff:127.0.0.1"/>
    <s v="Apache-HttpClient/4.5.14 (Java/21.0.11)"/>
    <d v="2026-05-24T15:23:10"/>
  </r>
  <r>
    <s v="cmpjxfsgi0154w2rwqrfry4uj"/>
    <x v="0"/>
    <s v="DELETE"/>
    <s v="/api/v1/pecas/42"/>
    <s v="/api/v1/pecas/:id"/>
    <x v="0"/>
    <x v="51"/>
    <d v="2026-05-24T15:23:10"/>
    <d v="2026-05-24T15:23:10"/>
    <s v="::ffff:127.0.0.1"/>
    <s v="Apache-HttpClient/4.5.14 (Java/21.0.11)"/>
    <d v="2026-05-24T15:23:10"/>
  </r>
  <r>
    <s v="cmpjxfshk015kw2rw1g3r7h82"/>
    <x v="0"/>
    <s v="DELETE"/>
    <s v="/api/v1/pecas/43"/>
    <s v="/api/v1/pecas/:id"/>
    <x v="0"/>
    <x v="52"/>
    <d v="2026-05-24T15:23:10"/>
    <d v="2026-05-24T15:23:10"/>
    <s v="::ffff:127.0.0.1"/>
    <s v="Apache-HttpClient/4.5.14 (Java/21.0.11)"/>
    <d v="2026-05-24T15:23:10"/>
  </r>
  <r>
    <s v="cmpjxfsij015ww2rwmads6a3q"/>
    <x v="0"/>
    <s v="DELETE"/>
    <s v="/api/v1/pecas/ID_NAO_ENCONTRADO"/>
    <s v="/api/v1/pecas/:id"/>
    <x v="1"/>
    <x v="53"/>
    <d v="2026-05-24T15:23:10"/>
    <d v="2026-05-24T15:23:10"/>
    <s v="::ffff:127.0.0.1"/>
    <s v="Apache-HttpClient/4.5.14 (Java/21.0.11)"/>
    <d v="2026-05-24T15:23:10"/>
  </r>
  <r>
    <s v="cmpjxfsiq0160w2rwiexv063u"/>
    <x v="0"/>
    <s v="DELETE"/>
    <s v="/api/v1/pecas/ID_NAO_ENCONTRADO"/>
    <s v="/api/v1/pecas/:id"/>
    <x v="1"/>
    <x v="54"/>
    <d v="2026-05-24T15:23:10"/>
    <d v="2026-05-24T15:23:10"/>
    <s v="::ffff:127.0.0.1"/>
    <s v="Apache-HttpClient/4.5.14 (Java/21.0.11)"/>
    <d v="2026-05-24T15:23:10"/>
  </r>
  <r>
    <s v="cmpjxfsiv0161w2rw4eg9nngi"/>
    <x v="0"/>
    <s v="DELETE"/>
    <s v="/api/v1/pecas/ID_NAO_ENCONTRADO"/>
    <s v="/api/v1/pecas/:id"/>
    <x v="1"/>
    <x v="55"/>
    <d v="2026-05-24T15:23:10"/>
    <d v="2026-05-24T15:23:10"/>
    <s v="::ffff:127.0.0.1"/>
    <s v="Apache-HttpClient/4.5.14 (Java/21.0.11)"/>
    <d v="2026-05-24T15:23:10"/>
  </r>
  <r>
    <s v="cmpjxfsiw0162w2rwd9mlmpjv"/>
    <x v="0"/>
    <s v="DELETE"/>
    <s v="/api/v1/pecas/ID_NAO_ENCONTRADO"/>
    <s v="/api/v1/pecas/:id"/>
    <x v="1"/>
    <x v="56"/>
    <d v="2026-05-24T15:23:10"/>
    <d v="2026-05-24T15:23:10"/>
    <s v="::ffff:127.0.0.1"/>
    <s v="Apache-HttpClient/4.5.14 (Java/21.0.11)"/>
    <d v="2026-05-24T15:23:10"/>
  </r>
  <r>
    <s v="cmpjxfsj00163w2rwo63uc0rh"/>
    <x v="0"/>
    <s v="DELETE"/>
    <s v="/api/v1/pecas/44"/>
    <s v="/api/v1/pecas/:id"/>
    <x v="0"/>
    <x v="57"/>
    <d v="2026-05-24T15:23:10"/>
    <d v="2026-05-24T15:23:10"/>
    <s v="::ffff:127.0.0.1"/>
    <s v="Apache-HttpClient/4.5.14 (Java/21.0.11)"/>
    <d v="2026-05-24T15:23:10"/>
  </r>
  <r>
    <s v="cmpjxfskb016fw2rwv2cjfkez"/>
    <x v="0"/>
    <s v="DELETE"/>
    <s v="/api/v1/pecas/45"/>
    <s v="/api/v1/pecas/:id"/>
    <x v="0"/>
    <x v="58"/>
    <d v="2026-05-24T15:23:10"/>
    <d v="2026-05-24T15:23:10"/>
    <s v="::ffff:127.0.0.1"/>
    <s v="Apache-HttpClient/4.5.14 (Java/21.0.11)"/>
    <d v="2026-05-24T15:23:10"/>
  </r>
  <r>
    <s v="cmpjxfslm016yw2rwe52zz0cl"/>
    <x v="0"/>
    <s v="DELETE"/>
    <s v="/api/v1/pecas/46"/>
    <s v="/api/v1/pecas/:id"/>
    <x v="0"/>
    <x v="59"/>
    <d v="2026-05-24T15:23:10"/>
    <d v="2026-05-24T15:23:10"/>
    <s v="::ffff:127.0.0.1"/>
    <s v="Apache-HttpClient/4.5.14 (Java/21.0.11)"/>
    <d v="2026-05-24T15:23:10"/>
  </r>
  <r>
    <s v="cmpjxfsm80177w2rwpyari8au"/>
    <x v="0"/>
    <s v="DELETE"/>
    <s v="/api/v1/pecas/47"/>
    <s v="/api/v1/pecas/:id"/>
    <x v="0"/>
    <x v="60"/>
    <d v="2026-05-24T15:23:10"/>
    <d v="2026-05-24T15:23:10"/>
    <s v="::ffff:127.0.0.1"/>
    <s v="Apache-HttpClient/4.5.14 (Java/21.0.11)"/>
    <d v="2026-05-24T15:23:10"/>
  </r>
  <r>
    <s v="cmpjxfsnw017tw2rw668luim3"/>
    <x v="0"/>
    <s v="DELETE"/>
    <s v="/api/v1/pecas/48"/>
    <s v="/api/v1/pecas/:id"/>
    <x v="0"/>
    <x v="61"/>
    <d v="2026-05-24T15:23:10"/>
    <d v="2026-05-24T15:23:10"/>
    <s v="::ffff:127.0.0.1"/>
    <s v="Apache-HttpClient/4.5.14 (Java/21.0.11)"/>
    <d v="2026-05-24T15:23:10"/>
  </r>
  <r>
    <s v="cmpjxfsox0188w2rw9o6nzn4s"/>
    <x v="0"/>
    <s v="DELETE"/>
    <s v="/api/v1/pecas/49"/>
    <s v="/api/v1/pecas/:id"/>
    <x v="0"/>
    <x v="62"/>
    <d v="2026-05-24T15:23:10"/>
    <d v="2026-05-24T15:23:10"/>
    <s v="::ffff:127.0.0.1"/>
    <s v="Apache-HttpClient/4.5.14 (Java/21.0.11)"/>
    <d v="2026-05-24T15:23:10"/>
  </r>
  <r>
    <s v="cmpjxfspb018ew2rwst8oz6ag"/>
    <x v="0"/>
    <s v="DELETE"/>
    <s v="/api/v1/pecas/ID_NAO_ENCONTRADO"/>
    <s v="/api/v1/pecas/:id"/>
    <x v="1"/>
    <x v="63"/>
    <d v="2026-05-24T15:23:10"/>
    <d v="2026-05-24T15:23:10"/>
    <s v="::ffff:127.0.0.1"/>
    <s v="Apache-HttpClient/4.5.14 (Java/21.0.11)"/>
    <d v="2026-05-24T15:23:10"/>
  </r>
  <r>
    <s v="cmpjxfspf018fw2rwxuu1yoa6"/>
    <x v="0"/>
    <s v="DELETE"/>
    <s v="/api/v1/pecas/ID_NAO_ENCONTRADO"/>
    <s v="/api/v1/pecas/:id"/>
    <x v="1"/>
    <x v="64"/>
    <d v="2026-05-24T15:23:10"/>
    <d v="2026-05-24T15:23:10"/>
    <s v="::ffff:127.0.0.1"/>
    <s v="Apache-HttpClient/4.5.14 (Java/21.0.11)"/>
    <d v="2026-05-24T15:23:10"/>
  </r>
  <r>
    <s v="cmpjxfspk018gw2rwkhviuorx"/>
    <x v="0"/>
    <s v="DELETE"/>
    <s v="/api/v1/pecas/ID_NAO_ENCONTRADO"/>
    <s v="/api/v1/pecas/:id"/>
    <x v="1"/>
    <x v="65"/>
    <d v="2026-05-24T15:23:10"/>
    <d v="2026-05-24T15:23:10"/>
    <s v="::ffff:127.0.0.1"/>
    <s v="Apache-HttpClient/4.5.14 (Java/21.0.11)"/>
    <d v="2026-05-24T15:23:10"/>
  </r>
  <r>
    <s v="cmpjxfspt018jw2rwlb3xguk3"/>
    <x v="0"/>
    <s v="DELETE"/>
    <s v="/api/v1/pecas/50"/>
    <s v="/api/v1/pecas/:id"/>
    <x v="0"/>
    <x v="66"/>
    <d v="2026-05-24T15:23:10"/>
    <d v="2026-05-24T15:23:10"/>
    <s v="::ffff:127.0.0.1"/>
    <s v="Apache-HttpClient/4.5.14 (Java/21.0.11)"/>
    <d v="2026-05-24T15:23:10"/>
  </r>
  <r>
    <s v="cmpjxfsr4018xw2rw246v16jx"/>
    <x v="0"/>
    <s v="DELETE"/>
    <s v="/api/v1/pecas/51"/>
    <s v="/api/v1/pecas/:id"/>
    <x v="0"/>
    <x v="67"/>
    <d v="2026-05-24T15:23:10"/>
    <d v="2026-05-24T15:23:10"/>
    <s v="::ffff:127.0.0.1"/>
    <s v="Apache-HttpClient/4.5.14 (Java/21.0.11)"/>
    <d v="2026-05-24T15:23:10"/>
  </r>
  <r>
    <s v="cmpjxfss3019bw2rwhg3ia6pr"/>
    <x v="0"/>
    <s v="DELETE"/>
    <s v="/api/v1/pecas/52"/>
    <s v="/api/v1/pecas/:id"/>
    <x v="0"/>
    <x v="68"/>
    <d v="2026-05-24T15:23:10"/>
    <d v="2026-05-24T15:23:10"/>
    <s v="::ffff:127.0.0.1"/>
    <s v="Apache-HttpClient/4.5.14 (Java/21.0.11)"/>
    <d v="2026-05-24T15:23:10"/>
  </r>
  <r>
    <s v="cmpjxfssz019ow2rwqhq3l0ix"/>
    <x v="0"/>
    <s v="DELETE"/>
    <s v="/api/v1/pecas/53"/>
    <s v="/api/v1/pecas/:id"/>
    <x v="0"/>
    <x v="69"/>
    <d v="2026-05-24T15:23:10"/>
    <d v="2026-05-24T15:23:10"/>
    <s v="::ffff:127.0.0.1"/>
    <s v="Apache-HttpClient/4.5.14 (Java/21.0.11)"/>
    <d v="2026-05-24T15:23:10"/>
  </r>
  <r>
    <s v="cmpjxfsua01a7w2rwfymki3gv"/>
    <x v="0"/>
    <s v="DELETE"/>
    <s v="/api/v1/pecas/54"/>
    <s v="/api/v1/pecas/:id"/>
    <x v="0"/>
    <x v="70"/>
    <d v="2026-05-24T15:23:10"/>
    <d v="2026-05-24T15:23:10"/>
    <s v="::ffff:127.0.0.1"/>
    <s v="Apache-HttpClient/4.5.14 (Java/21.0.11)"/>
    <d v="2026-05-24T15:23:10"/>
  </r>
  <r>
    <s v="cmpjxfsus01adw2rw178smbh4"/>
    <x v="0"/>
    <s v="DELETE"/>
    <s v="/api/v1/pecas/ID_NAO_ENCONTRADO"/>
    <s v="/api/v1/pecas/:id"/>
    <x v="1"/>
    <x v="71"/>
    <d v="2026-05-24T15:23:10"/>
    <d v="2026-05-24T15:23:10"/>
    <s v="::ffff:127.0.0.1"/>
    <s v="Apache-HttpClient/4.5.14 (Java/21.0.11)"/>
    <d v="2026-05-24T15:23:10"/>
  </r>
  <r>
    <s v="cmpjxfsv701akw2rwo6b6ctnl"/>
    <x v="0"/>
    <s v="DELETE"/>
    <s v="/api/v1/pecas/55"/>
    <s v="/api/v1/pecas/:id"/>
    <x v="0"/>
    <x v="72"/>
    <d v="2026-05-24T15:23:10"/>
    <d v="2026-05-24T15:23:10"/>
    <s v="::ffff:127.0.0.1"/>
    <s v="Apache-HttpClient/4.5.14 (Java/21.0.11)"/>
    <d v="2026-05-24T15:23:10"/>
  </r>
  <r>
    <s v="cmpjxfsvl01aow2rw24qv7i98"/>
    <x v="0"/>
    <s v="DELETE"/>
    <s v="/api/v1/pecas/ID_NAO_ENCONTRADO"/>
    <s v="/api/v1/pecas/:id"/>
    <x v="1"/>
    <x v="73"/>
    <d v="2026-05-24T15:23:10"/>
    <d v="2026-05-24T15:23:10"/>
    <s v="::ffff:127.0.0.1"/>
    <s v="Apache-HttpClient/4.5.14 (Java/21.0.11)"/>
    <d v="2026-05-24T15:23:10"/>
  </r>
  <r>
    <s v="cmpjxfsvz01arw2rw7slgr0fw"/>
    <x v="0"/>
    <s v="DELETE"/>
    <s v="/api/v1/pecas/56"/>
    <s v="/api/v1/pecas/:id"/>
    <x v="0"/>
    <x v="74"/>
    <d v="2026-05-24T15:23:10"/>
    <d v="2026-05-24T15:23:10"/>
    <s v="::ffff:127.0.0.1"/>
    <s v="Apache-HttpClient/4.5.14 (Java/21.0.11)"/>
    <d v="2026-05-24T15:23:10"/>
  </r>
  <r>
    <s v="cmpjxfsx601b4w2rwpsryao0k"/>
    <x v="0"/>
    <s v="DELETE"/>
    <s v="/api/v1/pecas/57"/>
    <s v="/api/v1/pecas/:id"/>
    <x v="0"/>
    <x v="22"/>
    <d v="2026-05-24T15:23:10"/>
    <d v="2026-05-24T15:23:11"/>
    <s v="::ffff:127.0.0.1"/>
    <s v="Apache-HttpClient/4.5.14 (Java/21.0.11)"/>
    <d v="2026-05-24T15:23:11"/>
  </r>
  <r>
    <s v="cmpjxfsy901bjw2rwkl1ray9h"/>
    <x v="0"/>
    <s v="DELETE"/>
    <s v="/api/v1/pecas/58"/>
    <s v="/api/v1/pecas/:id"/>
    <x v="0"/>
    <x v="75"/>
    <d v="2026-05-24T15:23:11"/>
    <d v="2026-05-24T15:23:11"/>
    <s v="::ffff:127.0.0.1"/>
    <s v="Apache-HttpClient/4.5.14 (Java/21.0.11)"/>
    <d v="2026-05-24T15:23:11"/>
  </r>
  <r>
    <s v="cmpjxfsz301bww2rwc9yfckrk"/>
    <x v="0"/>
    <s v="DELETE"/>
    <s v="/api/v1/pecas/59"/>
    <s v="/api/v1/pecas/:id"/>
    <x v="0"/>
    <x v="76"/>
    <d v="2026-05-24T15:23:11"/>
    <d v="2026-05-24T15:23:11"/>
    <s v="::ffff:127.0.0.1"/>
    <s v="Apache-HttpClient/4.5.14 (Java/21.0.11)"/>
    <d v="2026-05-24T15:23:11"/>
  </r>
  <r>
    <s v="cmpjxft0b01cdw2rwbbbud27i"/>
    <x v="0"/>
    <s v="DELETE"/>
    <s v="/api/v1/pecas/60"/>
    <s v="/api/v1/pecas/:id"/>
    <x v="0"/>
    <x v="77"/>
    <d v="2026-05-24T15:23:11"/>
    <d v="2026-05-24T15:23:11"/>
    <s v="::ffff:127.0.0.1"/>
    <s v="Apache-HttpClient/4.5.14 (Java/21.0.11)"/>
    <d v="2026-05-24T15:23:11"/>
  </r>
  <r>
    <s v="cmpjxft0m01chw2rwjwpker0v"/>
    <x v="0"/>
    <s v="DELETE"/>
    <s v="/api/v1/pecas/61"/>
    <s v="/api/v1/pecas/:id"/>
    <x v="0"/>
    <x v="78"/>
    <d v="2026-05-24T15:23:11"/>
    <d v="2026-05-24T15:23:11"/>
    <s v="::ffff:127.0.0.1"/>
    <s v="Apache-HttpClient/4.5.14 (Java/21.0.11)"/>
    <d v="2026-05-24T15:23:11"/>
  </r>
  <r>
    <s v="cmpjxft0q01cjw2rw13emsxjq"/>
    <x v="0"/>
    <s v="DELETE"/>
    <s v="/api/v1/pecas/ID_NAO_ENCONTRADO"/>
    <s v="/api/v1/pecas/:id"/>
    <x v="1"/>
    <x v="79"/>
    <d v="2026-05-24T15:23:11"/>
    <d v="2026-05-24T15:23:11"/>
    <s v="::ffff:127.0.0.1"/>
    <s v="Apache-HttpClient/4.5.14 (Java/21.0.11)"/>
    <d v="2026-05-24T15:23:11"/>
  </r>
  <r>
    <s v="cmpjxft1401cnw2rw6xfpj72u"/>
    <x v="0"/>
    <s v="DELETE"/>
    <s v="/api/v1/pecas/62"/>
    <s v="/api/v1/pecas/:id"/>
    <x v="0"/>
    <x v="80"/>
    <d v="2026-05-24T15:23:11"/>
    <d v="2026-05-24T15:23:11"/>
    <s v="::ffff:127.0.0.1"/>
    <s v="Apache-HttpClient/4.5.14 (Java/21.0.11)"/>
    <d v="2026-05-24T15:23:11"/>
  </r>
  <r>
    <s v="cmpjxft1w01cuw2rwawzmd9fj"/>
    <x v="0"/>
    <s v="DELETE"/>
    <s v="/api/v1/pecas/63"/>
    <s v="/api/v1/pecas/:id"/>
    <x v="0"/>
    <x v="81"/>
    <d v="2026-05-24T15:23:11"/>
    <d v="2026-05-24T15:23:11"/>
    <s v="::ffff:127.0.0.1"/>
    <s v="Apache-HttpClient/4.5.14 (Java/21.0.11)"/>
    <d v="2026-05-24T15:23:11"/>
  </r>
  <r>
    <s v="cmpjxft2m01d5w2rwdboefebt"/>
    <x v="0"/>
    <s v="DELETE"/>
    <s v="/api/v1/pecas/64"/>
    <s v="/api/v1/pecas/:id"/>
    <x v="0"/>
    <x v="82"/>
    <d v="2026-05-24T15:23:11"/>
    <d v="2026-05-24T15:23:11"/>
    <s v="::ffff:127.0.0.1"/>
    <s v="Apache-HttpClient/4.5.14 (Java/21.0.11)"/>
    <d v="2026-05-24T15:23:11"/>
  </r>
  <r>
    <s v="cmpjxft4f01dsw2rwjxca5mpm"/>
    <x v="0"/>
    <s v="DELETE"/>
    <s v="/api/v1/pecas/65"/>
    <s v="/api/v1/pecas/:id"/>
    <x v="0"/>
    <x v="83"/>
    <d v="2026-05-24T15:23:11"/>
    <d v="2026-05-24T15:23:11"/>
    <s v="::ffff:127.0.0.1"/>
    <s v="Apache-HttpClient/4.5.14 (Java/21.0.11)"/>
    <d v="2026-05-24T15:23:11"/>
  </r>
  <r>
    <s v="cmpjxft4v01dyw2rwwvxvduaa"/>
    <x v="0"/>
    <s v="DELETE"/>
    <s v="/api/v1/pecas/ID_NAO_ENCONTRADO"/>
    <s v="/api/v1/pecas/:id"/>
    <x v="1"/>
    <x v="84"/>
    <d v="2026-05-24T15:23:11"/>
    <d v="2026-05-24T15:23:11"/>
    <s v="::ffff:127.0.0.1"/>
    <s v="Apache-HttpClient/4.5.14 (Java/21.0.11)"/>
    <d v="2026-05-24T15:23:11"/>
  </r>
  <r>
    <s v="cmpjxft5g01e6w2rwxk0ysp30"/>
    <x v="0"/>
    <s v="DELETE"/>
    <s v="/api/v1/pecas/66"/>
    <s v="/api/v1/pecas/:id"/>
    <x v="0"/>
    <x v="85"/>
    <d v="2026-05-24T15:23:11"/>
    <d v="2026-05-24T15:23:11"/>
    <s v="::ffff:127.0.0.1"/>
    <s v="Apache-HttpClient/4.5.14 (Java/21.0.11)"/>
    <d v="2026-05-24T15:23:11"/>
  </r>
  <r>
    <s v="cmpjxft5o01e9w2rwr4lb2byw"/>
    <x v="0"/>
    <s v="DELETE"/>
    <s v="/api/v1/pecas/ID_NAO_ENCONTRADO"/>
    <s v="/api/v1/pecas/:id"/>
    <x v="1"/>
    <x v="86"/>
    <d v="2026-05-24T15:23:11"/>
    <d v="2026-05-24T15:23:11"/>
    <s v="::ffff:127.0.0.1"/>
    <s v="Apache-HttpClient/4.5.14 (Java/21.0.11)"/>
    <d v="2026-05-24T15:23:11"/>
  </r>
  <r>
    <s v="cmpjxft6401edw2rw3ioxuvd8"/>
    <x v="0"/>
    <s v="DELETE"/>
    <s v="/api/v1/pecas/67"/>
    <s v="/api/v1/pecas/:id"/>
    <x v="0"/>
    <x v="87"/>
    <d v="2026-05-24T15:23:11"/>
    <d v="2026-05-24T15:23:11"/>
    <s v="::ffff:127.0.0.1"/>
    <s v="Apache-HttpClient/4.5.14 (Java/21.0.11)"/>
    <d v="2026-05-24T15:23:11"/>
  </r>
  <r>
    <s v="cmpjxft7401eqw2rwfm6om57o"/>
    <x v="0"/>
    <s v="DELETE"/>
    <s v="/api/v1/pecas/68"/>
    <s v="/api/v1/pecas/:id"/>
    <x v="0"/>
    <x v="88"/>
    <d v="2026-05-24T15:23:11"/>
    <d v="2026-05-24T15:23:11"/>
    <s v="::ffff:127.0.0.1"/>
    <s v="Apache-HttpClient/4.5.14 (Java/21.0.11)"/>
    <d v="2026-05-24T15:23:11"/>
  </r>
  <r>
    <s v="cmpjxft8h01f8w2rw3rxbnk8b"/>
    <x v="0"/>
    <s v="DELETE"/>
    <s v="/api/v1/pecas/69"/>
    <s v="/api/v1/pecas/:id"/>
    <x v="0"/>
    <x v="89"/>
    <d v="2026-05-24T15:23:11"/>
    <d v="2026-05-24T15:23:11"/>
    <s v="::ffff:127.0.0.1"/>
    <s v="Apache-HttpClient/4.5.14 (Java/21.0.11)"/>
    <d v="2026-05-24T15:23:11"/>
  </r>
  <r>
    <s v="cmpjxft9801fiw2rwj7sn3ytx"/>
    <x v="0"/>
    <s v="DELETE"/>
    <s v="/api/v1/pecas/ID_NAO_ENCONTRADO"/>
    <s v="/api/v1/pecas/:id"/>
    <x v="1"/>
    <x v="90"/>
    <d v="2026-05-24T15:23:11"/>
    <d v="2026-05-24T15:23:11"/>
    <s v="::ffff:127.0.0.1"/>
    <s v="Apache-HttpClient/4.5.14 (Java/21.0.11)"/>
    <d v="2026-05-24T15:23:11"/>
  </r>
  <r>
    <s v="cmpjxft9i01fnw2rwy0dyzpp9"/>
    <x v="0"/>
    <s v="DELETE"/>
    <s v="/api/v1/pecas/70"/>
    <s v="/api/v1/pecas/:id"/>
    <x v="0"/>
    <x v="91"/>
    <d v="2026-05-24T15:23:11"/>
    <d v="2026-05-24T15:23:11"/>
    <s v="::ffff:127.0.0.1"/>
    <s v="Apache-HttpClient/4.5.14 (Java/21.0.11)"/>
    <d v="2026-05-24T15:23:11"/>
  </r>
  <r>
    <s v="cmpjxft9w01fqw2rwu1iy3f5l"/>
    <x v="0"/>
    <s v="DELETE"/>
    <s v="/api/v1/pecas/71"/>
    <s v="/api/v1/pecas/:id"/>
    <x v="0"/>
    <x v="92"/>
    <d v="2026-05-24T15:23:11"/>
    <d v="2026-05-24T15:23:11"/>
    <s v="::ffff:127.0.0.1"/>
    <s v="Apache-HttpClient/4.5.14 (Java/21.0.11)"/>
    <d v="2026-05-24T15:23:11"/>
  </r>
  <r>
    <s v="cmpjxftak01g0w2rwmdbq9e6p"/>
    <x v="0"/>
    <s v="DELETE"/>
    <s v="/api/v1/pecas/72"/>
    <s v="/api/v1/pecas/:id"/>
    <x v="0"/>
    <x v="93"/>
    <d v="2026-05-24T15:23:11"/>
    <d v="2026-05-24T15:23:11"/>
    <s v="::ffff:127.0.0.1"/>
    <s v="Apache-HttpClient/4.5.14 (Java/21.0.11)"/>
    <d v="2026-05-24T15:23:11"/>
  </r>
  <r>
    <s v="cmpjxftba01g9w2rw6rew76v3"/>
    <x v="0"/>
    <s v="DELETE"/>
    <s v="/api/v1/pecas/73"/>
    <s v="/api/v1/pecas/:id"/>
    <x v="0"/>
    <x v="94"/>
    <d v="2026-05-24T15:23:11"/>
    <d v="2026-05-24T15:23:11"/>
    <s v="::ffff:127.0.0.1"/>
    <s v="Apache-HttpClient/4.5.14 (Java/21.0.11)"/>
    <d v="2026-05-24T15:23:11"/>
  </r>
  <r>
    <s v="cmpjxftbw01ghw2rwqrfb92mg"/>
    <x v="0"/>
    <s v="DELETE"/>
    <s v="/api/v1/pecas/74"/>
    <s v="/api/v1/pecas/:id"/>
    <x v="0"/>
    <x v="95"/>
    <d v="2026-05-24T15:23:11"/>
    <d v="2026-05-24T15:23:11"/>
    <s v="::ffff:127.0.0.1"/>
    <s v="Apache-HttpClient/4.5.14 (Java/21.0.11)"/>
    <d v="2026-05-24T15:23:11"/>
  </r>
  <r>
    <s v="cmpjxftcn01gpw2rwenoeppuz"/>
    <x v="0"/>
    <s v="DELETE"/>
    <s v="/api/v1/pecas/21"/>
    <s v="/api/v1/pecas/:id"/>
    <x v="0"/>
    <x v="96"/>
    <d v="2026-05-24T15:23:11"/>
    <d v="2026-05-24T15:23:11"/>
    <s v="::ffff:127.0.0.1"/>
    <s v="Apache-HttpClient/4.5.14 (Java/21.0.11)"/>
    <d v="2026-05-24T15:23:11"/>
  </r>
  <r>
    <s v="cmpjxftd301gtw2rwfloc4urn"/>
    <x v="0"/>
    <s v="DELETE"/>
    <s v="/api/v1/pecas/22"/>
    <s v="/api/v1/pecas/:id"/>
    <x v="0"/>
    <x v="97"/>
    <d v="2026-05-24T15:23:11"/>
    <d v="2026-05-24T15:23:11"/>
    <s v="::ffff:127.0.0.1"/>
    <s v="Apache-HttpClient/4.5.14 (Java/21.0.11)"/>
    <d v="2026-05-24T15:23:11"/>
  </r>
  <r>
    <s v="cmpjxfr2200p2w2rwzhldxvhe"/>
    <x v="1"/>
    <s v="GET"/>
    <s v="/api/v1/aeronaves"/>
    <s v="/api/v1/aeronaves/"/>
    <x v="2"/>
    <x v="98"/>
    <d v="2026-05-24T15:23:08"/>
    <d v="2026-05-24T15:23:08"/>
    <s v="::ffff:127.0.0.1"/>
    <s v="Apache-HttpClient/4.5.14 (Java/21.0.11)"/>
    <d v="2026-05-24T15:23:08"/>
  </r>
  <r>
    <s v="cmpjxfr4600pcw2rws44dluqy"/>
    <x v="1"/>
    <s v="GET"/>
    <s v="/api/v1/aeronaves"/>
    <s v="/api/v1/aeronaves/"/>
    <x v="2"/>
    <x v="99"/>
    <d v="2026-05-24T15:23:08"/>
    <d v="2026-05-24T15:23:08"/>
    <s v="::ffff:127.0.0.1"/>
    <s v="Apache-HttpClient/4.5.14 (Java/21.0.11)"/>
    <d v="2026-05-24T15:23:08"/>
  </r>
  <r>
    <s v="cmpjxfr4k00pew2rwvlpq2t44"/>
    <x v="1"/>
    <s v="GET"/>
    <s v="/api/v1/aeronaves"/>
    <s v="/api/v1/aeronaves/"/>
    <x v="2"/>
    <x v="100"/>
    <d v="2026-05-24T15:23:08"/>
    <d v="2026-05-24T15:23:08"/>
    <s v="::ffff:127.0.0.1"/>
    <s v="Apache-HttpClient/4.5.14 (Java/21.0.11)"/>
    <d v="2026-05-24T15:23:08"/>
  </r>
  <r>
    <s v="cmpjxfr6a00pww2rwv27xa9ce"/>
    <x v="1"/>
    <s v="GET"/>
    <s v="/api/v1/aeronaves"/>
    <s v="/api/v1/aeronaves/"/>
    <x v="2"/>
    <x v="101"/>
    <d v="2026-05-24T15:23:08"/>
    <d v="2026-05-24T15:23:08"/>
    <s v="::ffff:127.0.0.1"/>
    <s v="Apache-HttpClient/4.5.14 (Java/21.0.11)"/>
    <d v="2026-05-24T15:23:08"/>
  </r>
  <r>
    <s v="cmpjxfr6j00pxw2rw7ki0pifx"/>
    <x v="1"/>
    <s v="GET"/>
    <s v="/api/v1/aeronaves"/>
    <s v="/api/v1/aeronaves/"/>
    <x v="2"/>
    <x v="102"/>
    <d v="2026-05-24T15:23:08"/>
    <d v="2026-05-24T15:23:08"/>
    <s v="::ffff:127.0.0.1"/>
    <s v="Apache-HttpClient/4.5.14 (Java/21.0.11)"/>
    <d v="2026-05-24T15:23:08"/>
  </r>
  <r>
    <s v="cmpjxfr7f00q7w2rwpwi2tcqu"/>
    <x v="1"/>
    <s v="GET"/>
    <s v="/api/v1/aeronaves"/>
    <s v="/api/v1/aeronaves/"/>
    <x v="2"/>
    <x v="103"/>
    <d v="2026-05-24T15:23:08"/>
    <d v="2026-05-24T15:23:08"/>
    <s v="::ffff:127.0.0.1"/>
    <s v="Apache-HttpClient/4.5.14 (Java/21.0.11)"/>
    <d v="2026-05-24T15:23:08"/>
  </r>
  <r>
    <s v="cmpjxfr8r00qlw2rwt0koyp16"/>
    <x v="1"/>
    <s v="GET"/>
    <s v="/api/v1/aeronaves"/>
    <s v="/api/v1/aeronaves/"/>
    <x v="2"/>
    <x v="104"/>
    <d v="2026-05-24T15:23:08"/>
    <d v="2026-05-24T15:23:08"/>
    <s v="::ffff:127.0.0.1"/>
    <s v="Apache-HttpClient/4.5.14 (Java/21.0.11)"/>
    <d v="2026-05-24T15:23:08"/>
  </r>
  <r>
    <s v="cmpjxfr9b00qpw2rw96ctw3ee"/>
    <x v="1"/>
    <s v="GET"/>
    <s v="/api/v1/aeronaves"/>
    <s v="/api/v1/aeronaves/"/>
    <x v="2"/>
    <x v="105"/>
    <d v="2026-05-24T15:23:08"/>
    <d v="2026-05-24T15:23:08"/>
    <s v="::ffff:127.0.0.1"/>
    <s v="Apache-HttpClient/4.5.14 (Java/21.0.11)"/>
    <d v="2026-05-24T15:23:08"/>
  </r>
  <r>
    <s v="cmpjxfra700r0w2rwtnqnpccp"/>
    <x v="1"/>
    <s v="GET"/>
    <s v="/api/v1/aeronaves"/>
    <s v="/api/v1/aeronaves/"/>
    <x v="2"/>
    <x v="106"/>
    <d v="2026-05-24T15:23:08"/>
    <d v="2026-05-24T15:23:08"/>
    <s v="::ffff:127.0.0.1"/>
    <s v="Apache-HttpClient/4.5.14 (Java/21.0.11)"/>
    <d v="2026-05-24T15:23:08"/>
  </r>
  <r>
    <s v="cmpjxfrah00r2w2rwm9iyss7q"/>
    <x v="1"/>
    <s v="GET"/>
    <s v="/api/v1/aeronaves"/>
    <s v="/api/v1/aeronaves/"/>
    <x v="2"/>
    <x v="107"/>
    <d v="2026-05-24T15:23:08"/>
    <d v="2026-05-24T15:23:08"/>
    <s v="::ffff:127.0.0.1"/>
    <s v="Apache-HttpClient/4.5.14 (Java/21.0.11)"/>
    <d v="2026-05-24T15:23:08"/>
  </r>
  <r>
    <s v="cmpjxfrc100rmw2rwaql1xn6c"/>
    <x v="1"/>
    <s v="GET"/>
    <s v="/api/v1/aeronaves"/>
    <s v="/api/v1/aeronaves/"/>
    <x v="2"/>
    <x v="108"/>
    <d v="2026-05-24T15:23:08"/>
    <d v="2026-05-24T15:23:08"/>
    <s v="::ffff:127.0.0.1"/>
    <s v="Apache-HttpClient/4.5.14 (Java/21.0.11)"/>
    <d v="2026-05-24T15:23:08"/>
  </r>
  <r>
    <s v="cmpjxfrck00rrw2rwpcsxjm6x"/>
    <x v="1"/>
    <s v="GET"/>
    <s v="/api/v1/aeronaves"/>
    <s v="/api/v1/aeronaves/"/>
    <x v="2"/>
    <x v="109"/>
    <d v="2026-05-24T15:23:08"/>
    <d v="2026-05-24T15:23:08"/>
    <s v="::ffff:127.0.0.1"/>
    <s v="Apache-HttpClient/4.5.14 (Java/21.0.11)"/>
    <d v="2026-05-24T15:23:08"/>
  </r>
  <r>
    <s v="cmpjxfrd700rxw2rwgj8qctld"/>
    <x v="1"/>
    <s v="GET"/>
    <s v="/api/v1/aeronaves"/>
    <s v="/api/v1/aeronaves/"/>
    <x v="2"/>
    <x v="110"/>
    <d v="2026-05-24T15:23:08"/>
    <d v="2026-05-24T15:23:08"/>
    <s v="::ffff:127.0.0.1"/>
    <s v="Apache-HttpClient/4.5.14 (Java/21.0.11)"/>
    <d v="2026-05-24T15:23:08"/>
  </r>
  <r>
    <s v="cmpjxfrdw00s5w2rwyy1f4evw"/>
    <x v="1"/>
    <s v="GET"/>
    <s v="/api/v1/aeronaves"/>
    <s v="/api/v1/aeronaves/"/>
    <x v="2"/>
    <x v="111"/>
    <d v="2026-05-24T15:23:09"/>
    <d v="2026-05-24T15:23:09"/>
    <s v="::ffff:127.0.0.1"/>
    <s v="Apache-HttpClient/4.5.14 (Java/21.0.11)"/>
    <d v="2026-05-24T15:23:09"/>
  </r>
  <r>
    <s v="cmpjxfre500s7w2rwzwbnnv2o"/>
    <x v="1"/>
    <s v="GET"/>
    <s v="/api/v1/aeronaves"/>
    <s v="/api/v1/aeronaves/"/>
    <x v="2"/>
    <x v="112"/>
    <d v="2026-05-24T15:23:09"/>
    <d v="2026-05-24T15:23:09"/>
    <s v="::ffff:127.0.0.1"/>
    <s v="Apache-HttpClient/4.5.14 (Java/21.0.11)"/>
    <d v="2026-05-24T15:23:09"/>
  </r>
  <r>
    <s v="cmpjxfrfz00suw2rwe736fmwq"/>
    <x v="1"/>
    <s v="GET"/>
    <s v="/api/v1/aeronaves"/>
    <s v="/api/v1/aeronaves/"/>
    <x v="2"/>
    <x v="113"/>
    <d v="2026-05-24T15:23:09"/>
    <d v="2026-05-24T15:23:09"/>
    <s v="::ffff:127.0.0.1"/>
    <s v="Apache-HttpClient/4.5.14 (Java/21.0.11)"/>
    <d v="2026-05-24T15:23:09"/>
  </r>
  <r>
    <s v="cmpjxfrgo00t2w2rwthbwm2gg"/>
    <x v="1"/>
    <s v="GET"/>
    <s v="/api/v1/aeronaves"/>
    <s v="/api/v1/aeronaves/"/>
    <x v="2"/>
    <x v="114"/>
    <d v="2026-05-24T15:23:09"/>
    <d v="2026-05-24T15:23:09"/>
    <s v="::ffff:127.0.0.1"/>
    <s v="Apache-HttpClient/4.5.14 (Java/21.0.11)"/>
    <d v="2026-05-24T15:23:09"/>
  </r>
  <r>
    <s v="cmpjxfrhd00t8w2rw9e11n0mt"/>
    <x v="1"/>
    <s v="GET"/>
    <s v="/api/v1/aeronaves"/>
    <s v="/api/v1/aeronaves/"/>
    <x v="2"/>
    <x v="115"/>
    <d v="2026-05-24T15:23:09"/>
    <d v="2026-05-24T15:23:09"/>
    <s v="::ffff:127.0.0.1"/>
    <s v="Apache-HttpClient/4.5.14 (Java/21.0.11)"/>
    <d v="2026-05-24T15:23:09"/>
  </r>
  <r>
    <s v="cmpjxfri400tiw2rwf9mbq5oo"/>
    <x v="1"/>
    <s v="GET"/>
    <s v="/api/v1/aeronaves"/>
    <s v="/api/v1/aeronaves/"/>
    <x v="2"/>
    <x v="116"/>
    <d v="2026-05-24T15:23:09"/>
    <d v="2026-05-24T15:23:09"/>
    <s v="::ffff:127.0.0.1"/>
    <s v="Apache-HttpClient/4.5.14 (Java/21.0.11)"/>
    <d v="2026-05-24T15:23:09"/>
  </r>
  <r>
    <s v="cmpjxfrik00tmw2rwpeyjxl8z"/>
    <x v="1"/>
    <s v="GET"/>
    <s v="/api/v1/aeronaves"/>
    <s v="/api/v1/aeronaves/"/>
    <x v="2"/>
    <x v="117"/>
    <d v="2026-05-24T15:23:09"/>
    <d v="2026-05-24T15:23:09"/>
    <s v="::ffff:127.0.0.1"/>
    <s v="Apache-HttpClient/4.5.14 (Java/21.0.11)"/>
    <d v="2026-05-24T15:23:09"/>
  </r>
  <r>
    <s v="cmpjxfrj200tqw2rwke4m5izs"/>
    <x v="1"/>
    <s v="GET"/>
    <s v="/api/v1/aeronaves"/>
    <s v="/api/v1/aeronaves/"/>
    <x v="2"/>
    <x v="118"/>
    <d v="2026-05-24T15:23:09"/>
    <d v="2026-05-24T15:23:09"/>
    <s v="::ffff:127.0.0.1"/>
    <s v="Apache-HttpClient/4.5.14 (Java/21.0.11)"/>
    <d v="2026-05-24T15:23:09"/>
  </r>
  <r>
    <s v="cmpjxfrjb00trw2rwj3ro9z30"/>
    <x v="1"/>
    <s v="GET"/>
    <s v="/api/v1/aeronaves"/>
    <s v="/api/v1/aeronaves/"/>
    <x v="2"/>
    <x v="119"/>
    <d v="2026-05-24T15:23:09"/>
    <d v="2026-05-24T15:23:09"/>
    <s v="::ffff:127.0.0.1"/>
    <s v="Apache-HttpClient/4.5.14 (Java/21.0.11)"/>
    <d v="2026-05-24T15:23:09"/>
  </r>
  <r>
    <s v="cmpjxfrll00ulw2rwcp5x8qof"/>
    <x v="1"/>
    <s v="GET"/>
    <s v="/api/v1/aeronaves"/>
    <s v="/api/v1/aeronaves/"/>
    <x v="2"/>
    <x v="120"/>
    <d v="2026-05-24T15:23:09"/>
    <d v="2026-05-24T15:23:09"/>
    <s v="::ffff:127.0.0.1"/>
    <s v="Apache-HttpClient/4.5.14 (Java/21.0.11)"/>
    <d v="2026-05-24T15:23:09"/>
  </r>
  <r>
    <s v="cmpjxfrm600urw2rwd1k5tdbs"/>
    <x v="1"/>
    <s v="GET"/>
    <s v="/api/v1/aeronaves"/>
    <s v="/api/v1/aeronaves/"/>
    <x v="2"/>
    <x v="121"/>
    <d v="2026-05-24T15:23:09"/>
    <d v="2026-05-24T15:23:09"/>
    <s v="::ffff:127.0.0.1"/>
    <s v="Apache-HttpClient/4.5.14 (Java/21.0.11)"/>
    <d v="2026-05-24T15:23:09"/>
  </r>
  <r>
    <s v="cmpjxfrn400v4w2rw7jz4qd1b"/>
    <x v="1"/>
    <s v="GET"/>
    <s v="/api/v1/aeronaves"/>
    <s v="/api/v1/aeronaves/"/>
    <x v="2"/>
    <x v="122"/>
    <d v="2026-05-24T15:23:09"/>
    <d v="2026-05-24T15:23:09"/>
    <s v="::ffff:127.0.0.1"/>
    <s v="Apache-HttpClient/4.5.14 (Java/21.0.11)"/>
    <d v="2026-05-24T15:23:09"/>
  </r>
  <r>
    <s v="cmpjxfrnt00vbw2rwvx1pa18l"/>
    <x v="1"/>
    <s v="GET"/>
    <s v="/api/v1/aeronaves"/>
    <s v="/api/v1/aeronaves/"/>
    <x v="2"/>
    <x v="123"/>
    <d v="2026-05-24T15:23:09"/>
    <d v="2026-05-24T15:23:09"/>
    <s v="::ffff:127.0.0.1"/>
    <s v="Apache-HttpClient/4.5.14 (Java/21.0.11)"/>
    <d v="2026-05-24T15:23:09"/>
  </r>
  <r>
    <s v="cmpjxfroq00vkw2rwq33js7uh"/>
    <x v="1"/>
    <s v="GET"/>
    <s v="/api/v1/aeronaves"/>
    <s v="/api/v1/aeronaves/"/>
    <x v="2"/>
    <x v="124"/>
    <d v="2026-05-24T15:23:09"/>
    <d v="2026-05-24T15:23:09"/>
    <s v="::ffff:127.0.0.1"/>
    <s v="Apache-HttpClient/4.5.14 (Java/21.0.11)"/>
    <d v="2026-05-24T15:23:09"/>
  </r>
  <r>
    <s v="cmpjxfrp400vnw2rw1g1yqky9"/>
    <x v="1"/>
    <s v="GET"/>
    <s v="/api/v1/aeronaves"/>
    <s v="/api/v1/aeronaves/"/>
    <x v="2"/>
    <x v="125"/>
    <d v="2026-05-24T15:23:09"/>
    <d v="2026-05-24T15:23:09"/>
    <s v="::ffff:127.0.0.1"/>
    <s v="Apache-HttpClient/4.5.14 (Java/21.0.11)"/>
    <d v="2026-05-24T15:23:09"/>
  </r>
  <r>
    <s v="cmpjxfrp800vow2rwyso552cn"/>
    <x v="1"/>
    <s v="GET"/>
    <s v="/api/v1/aeronaves"/>
    <s v="/api/v1/aeronaves/"/>
    <x v="2"/>
    <x v="126"/>
    <d v="2026-05-24T15:23:09"/>
    <d v="2026-05-24T15:23:09"/>
    <s v="::ffff:127.0.0.1"/>
    <s v="Apache-HttpClient/4.5.14 (Java/21.0.11)"/>
    <d v="2026-05-24T15:23:09"/>
  </r>
  <r>
    <s v="cmpjxfrpf00vpw2rwgjp73fib"/>
    <x v="1"/>
    <s v="GET"/>
    <s v="/api/v1/aeronaves"/>
    <s v="/api/v1/aeronaves/"/>
    <x v="2"/>
    <x v="127"/>
    <d v="2026-05-24T15:23:09"/>
    <d v="2026-05-24T15:23:09"/>
    <s v="::ffff:127.0.0.1"/>
    <s v="Apache-HttpClient/4.5.14 (Java/21.0.11)"/>
    <d v="2026-05-24T15:23:09"/>
  </r>
  <r>
    <s v="cmpjxfrqa00w0w2rwe9ho75uf"/>
    <x v="1"/>
    <s v="GET"/>
    <s v="/api/v1/aeronaves"/>
    <s v="/api/v1/aeronaves/"/>
    <x v="2"/>
    <x v="128"/>
    <d v="2026-05-24T15:23:09"/>
    <d v="2026-05-24T15:23:09"/>
    <s v="::ffff:127.0.0.1"/>
    <s v="Apache-HttpClient/4.5.14 (Java/21.0.11)"/>
    <d v="2026-05-24T15:23:09"/>
  </r>
  <r>
    <s v="cmpjxfrrk00wfw2rwrhrkbyle"/>
    <x v="1"/>
    <s v="GET"/>
    <s v="/api/v1/aeronaves"/>
    <s v="/api/v1/aeronaves/"/>
    <x v="2"/>
    <x v="129"/>
    <d v="2026-05-24T15:23:09"/>
    <d v="2026-05-24T15:23:09"/>
    <s v="::ffff:127.0.0.1"/>
    <s v="Apache-HttpClient/4.5.14 (Java/21.0.11)"/>
    <d v="2026-05-24T15:23:09"/>
  </r>
  <r>
    <s v="cmpjxfrt700x0w2rw9r66vc2a"/>
    <x v="1"/>
    <s v="GET"/>
    <s v="/api/v1/aeronaves"/>
    <s v="/api/v1/aeronaves/"/>
    <x v="2"/>
    <x v="130"/>
    <d v="2026-05-24T15:23:09"/>
    <d v="2026-05-24T15:23:09"/>
    <s v="::ffff:127.0.0.1"/>
    <s v="Apache-HttpClient/4.5.14 (Java/21.0.11)"/>
    <d v="2026-05-24T15:23:09"/>
  </r>
  <r>
    <s v="cmpjxfru900xcw2rwn3464ao0"/>
    <x v="1"/>
    <s v="GET"/>
    <s v="/api/v1/aeronaves"/>
    <s v="/api/v1/aeronaves/"/>
    <x v="2"/>
    <x v="131"/>
    <d v="2026-05-24T15:23:09"/>
    <d v="2026-05-24T15:23:09"/>
    <s v="::ffff:127.0.0.1"/>
    <s v="Apache-HttpClient/4.5.14 (Java/21.0.11)"/>
    <d v="2026-05-24T15:23:09"/>
  </r>
  <r>
    <s v="cmpjxfrvb00xtw2rw647k3xeg"/>
    <x v="1"/>
    <s v="GET"/>
    <s v="/api/v1/aeronaves"/>
    <s v="/api/v1/aeronaves/"/>
    <x v="2"/>
    <x v="132"/>
    <d v="2026-05-24T15:23:09"/>
    <d v="2026-05-24T15:23:09"/>
    <s v="::ffff:127.0.0.1"/>
    <s v="Apache-HttpClient/4.5.14 (Java/21.0.11)"/>
    <d v="2026-05-24T15:23:09"/>
  </r>
  <r>
    <s v="cmpjxfrw700y2w2rwj30ckji4"/>
    <x v="1"/>
    <s v="GET"/>
    <s v="/api/v1/aeronaves"/>
    <s v="/api/v1/aeronaves/"/>
    <x v="2"/>
    <x v="133"/>
    <d v="2026-05-24T15:23:09"/>
    <d v="2026-05-24T15:23:09"/>
    <s v="::ffff:127.0.0.1"/>
    <s v="Apache-HttpClient/4.5.14 (Java/21.0.11)"/>
    <d v="2026-05-24T15:23:09"/>
  </r>
  <r>
    <s v="cmpjxfrx200y7w2rw13ajexxv"/>
    <x v="1"/>
    <s v="GET"/>
    <s v="/api/v1/aeronaves"/>
    <s v="/api/v1/aeronaves/"/>
    <x v="2"/>
    <x v="134"/>
    <d v="2026-05-24T15:23:09"/>
    <d v="2026-05-24T15:23:09"/>
    <s v="::ffff:127.0.0.1"/>
    <s v="Apache-HttpClient/4.5.14 (Java/21.0.11)"/>
    <d v="2026-05-24T15:23:09"/>
  </r>
  <r>
    <s v="cmpjxfrxb00yaw2rw4skfpqny"/>
    <x v="1"/>
    <s v="GET"/>
    <s v="/api/v1/aeronaves"/>
    <s v="/api/v1/aeronaves/"/>
    <x v="2"/>
    <x v="135"/>
    <d v="2026-05-24T15:23:09"/>
    <d v="2026-05-24T15:23:09"/>
    <s v="::ffff:127.0.0.1"/>
    <s v="Apache-HttpClient/4.5.14 (Java/21.0.11)"/>
    <d v="2026-05-24T15:23:09"/>
  </r>
  <r>
    <s v="cmpjxfrxi00ybw2rwvmlxuur2"/>
    <x v="1"/>
    <s v="GET"/>
    <s v="/api/v1/aeronaves"/>
    <s v="/api/v1/aeronaves/"/>
    <x v="2"/>
    <x v="136"/>
    <d v="2026-05-24T15:23:09"/>
    <d v="2026-05-24T15:23:09"/>
    <s v="::ffff:127.0.0.1"/>
    <s v="Apache-HttpClient/4.5.14 (Java/21.0.11)"/>
    <d v="2026-05-24T15:23:09"/>
  </r>
  <r>
    <s v="cmpjxfrxo00ydw2rwc3w0cqyj"/>
    <x v="1"/>
    <s v="GET"/>
    <s v="/api/v1/aeronaves"/>
    <s v="/api/v1/aeronaves/"/>
    <x v="2"/>
    <x v="137"/>
    <d v="2026-05-24T15:23:09"/>
    <d v="2026-05-24T15:23:09"/>
    <s v="::ffff:127.0.0.1"/>
    <s v="Apache-HttpClient/4.5.14 (Java/21.0.11)"/>
    <d v="2026-05-24T15:23:09"/>
  </r>
  <r>
    <s v="cmpjxfrz000yww2rwqfm0agkn"/>
    <x v="1"/>
    <s v="GET"/>
    <s v="/api/v1/aeronaves"/>
    <s v="/api/v1/aeronaves/"/>
    <x v="2"/>
    <x v="138"/>
    <d v="2026-05-24T15:23:09"/>
    <d v="2026-05-24T15:23:09"/>
    <s v="::ffff:127.0.0.1"/>
    <s v="Apache-HttpClient/4.5.14 (Java/21.0.11)"/>
    <d v="2026-05-24T15:23:09"/>
  </r>
  <r>
    <s v="cmpjxfrzv00z7w2rwrudhevwd"/>
    <x v="1"/>
    <s v="GET"/>
    <s v="/api/v1/aeronaves"/>
    <s v="/api/v1/aeronaves/"/>
    <x v="2"/>
    <x v="139"/>
    <d v="2026-05-24T15:23:09"/>
    <d v="2026-05-24T15:23:09"/>
    <s v="::ffff:127.0.0.1"/>
    <s v="Apache-HttpClient/4.5.14 (Java/21.0.11)"/>
    <d v="2026-05-24T15:23:09"/>
  </r>
  <r>
    <s v="cmpjxfs1d00zrw2rwzkl1fks7"/>
    <x v="1"/>
    <s v="GET"/>
    <s v="/api/v1/aeronaves"/>
    <s v="/api/v1/aeronaves/"/>
    <x v="2"/>
    <x v="140"/>
    <d v="2026-05-24T15:23:09"/>
    <d v="2026-05-24T15:23:09"/>
    <s v="::ffff:127.0.0.1"/>
    <s v="Apache-HttpClient/4.5.14 (Java/21.0.11)"/>
    <d v="2026-05-24T15:23:09"/>
  </r>
  <r>
    <s v="cmpjxfs2j0107w2rw1bvnwj5y"/>
    <x v="1"/>
    <s v="GET"/>
    <s v="/api/v1/aeronaves"/>
    <s v="/api/v1/aeronaves/"/>
    <x v="2"/>
    <x v="141"/>
    <d v="2026-05-24T15:23:09"/>
    <d v="2026-05-24T15:23:09"/>
    <s v="::ffff:127.0.0.1"/>
    <s v="Apache-HttpClient/4.5.14 (Java/21.0.11)"/>
    <d v="2026-05-24T15:23:09"/>
  </r>
  <r>
    <s v="cmpjxfs3n010ow2rwnc9p76mj"/>
    <x v="1"/>
    <s v="GET"/>
    <s v="/api/v1/aeronaves"/>
    <s v="/api/v1/aeronaves/"/>
    <x v="2"/>
    <x v="142"/>
    <d v="2026-05-24T15:23:09"/>
    <d v="2026-05-24T15:23:09"/>
    <s v="::ffff:127.0.0.1"/>
    <s v="Apache-HttpClient/4.5.14 (Java/21.0.11)"/>
    <d v="2026-05-24T15:23:09"/>
  </r>
  <r>
    <s v="cmpjxfs4a010tw2rw1g8t4zcb"/>
    <x v="1"/>
    <s v="GET"/>
    <s v="/api/v1/aeronaves"/>
    <s v="/api/v1/aeronaves/"/>
    <x v="2"/>
    <x v="143"/>
    <d v="2026-05-24T15:23:09"/>
    <d v="2026-05-24T15:23:09"/>
    <s v="::ffff:127.0.0.1"/>
    <s v="Apache-HttpClient/4.5.14 (Java/21.0.11)"/>
    <d v="2026-05-24T15:23:09"/>
  </r>
  <r>
    <s v="cmpjxfs4i010vw2rwux8xzrvc"/>
    <x v="1"/>
    <s v="GET"/>
    <s v="/api/v1/aeronaves"/>
    <s v="/api/v1/aeronaves/"/>
    <x v="2"/>
    <x v="144"/>
    <d v="2026-05-24T15:23:09"/>
    <d v="2026-05-24T15:23:09"/>
    <s v="::ffff:127.0.0.1"/>
    <s v="Apache-HttpClient/4.5.14 (Java/21.0.11)"/>
    <d v="2026-05-24T15:23:09"/>
  </r>
  <r>
    <s v="cmpjxfs4q010yw2rw6cnik271"/>
    <x v="1"/>
    <s v="GET"/>
    <s v="/api/v1/aeronaves"/>
    <s v="/api/v1/aeronaves/"/>
    <x v="2"/>
    <x v="145"/>
    <d v="2026-05-24T15:23:09"/>
    <d v="2026-05-24T15:23:09"/>
    <s v="::ffff:127.0.0.1"/>
    <s v="Apache-HttpClient/4.5.14 (Java/21.0.11)"/>
    <d v="2026-05-24T15:23:09"/>
  </r>
  <r>
    <s v="cmpjxfs4w010zw2rwc4f8m8p2"/>
    <x v="1"/>
    <s v="GET"/>
    <s v="/api/v1/aeronaves"/>
    <s v="/api/v1/aeronaves/"/>
    <x v="2"/>
    <x v="146"/>
    <d v="2026-05-24T15:23:09"/>
    <d v="2026-05-24T15:23:09"/>
    <s v="::ffff:127.0.0.1"/>
    <s v="Apache-HttpClient/4.5.14 (Java/21.0.11)"/>
    <d v="2026-05-24T15:23:09"/>
  </r>
  <r>
    <s v="cmpjxfs5e0111w2rw0ozs6kye"/>
    <x v="1"/>
    <s v="GET"/>
    <s v="/api/v1/aeronaves"/>
    <s v="/api/v1/aeronaves/"/>
    <x v="2"/>
    <x v="147"/>
    <d v="2026-05-24T15:23:09"/>
    <d v="2026-05-24T15:23:10"/>
    <s v="::ffff:127.0.0.1"/>
    <s v="Apache-HttpClient/4.5.14 (Java/21.0.11)"/>
    <d v="2026-05-24T15:23:10"/>
  </r>
  <r>
    <s v="cmpjxfs76011rw2rwxvol5st6"/>
    <x v="1"/>
    <s v="GET"/>
    <s v="/api/v1/aeronaves"/>
    <s v="/api/v1/aeronaves/"/>
    <x v="2"/>
    <x v="148"/>
    <d v="2026-05-24T15:23:10"/>
    <d v="2026-05-24T15:23:10"/>
    <s v="::ffff:127.0.0.1"/>
    <s v="Apache-HttpClient/4.5.14 (Java/21.0.11)"/>
    <d v="2026-05-24T15:23:10"/>
  </r>
  <r>
    <s v="cmpjxfs840120w2rw8ir7pvrx"/>
    <x v="1"/>
    <s v="GET"/>
    <s v="/api/v1/aeronaves"/>
    <s v="/api/v1/aeronaves/"/>
    <x v="2"/>
    <x v="149"/>
    <d v="2026-05-24T15:23:10"/>
    <d v="2026-05-24T15:23:10"/>
    <s v="::ffff:127.0.0.1"/>
    <s v="Apache-HttpClient/4.5.14 (Java/21.0.11)"/>
    <d v="2026-05-24T15:23:10"/>
  </r>
  <r>
    <s v="cmpjxfsa5012ow2rw1qtqdx92"/>
    <x v="1"/>
    <s v="GET"/>
    <s v="/api/v1/aeronaves"/>
    <s v="/api/v1/aeronaves/"/>
    <x v="2"/>
    <x v="150"/>
    <d v="2026-05-24T15:23:10"/>
    <d v="2026-05-24T15:23:10"/>
    <s v="::ffff:127.0.0.1"/>
    <s v="Apache-HttpClient/4.5.14 (Java/21.0.11)"/>
    <d v="2026-05-24T15:23:10"/>
  </r>
  <r>
    <s v="cmpjxfsb50133w2rwk6jsckzu"/>
    <x v="1"/>
    <s v="GET"/>
    <s v="/api/v1/aeronaves"/>
    <s v="/api/v1/aeronaves/"/>
    <x v="2"/>
    <x v="151"/>
    <d v="2026-05-24T15:23:10"/>
    <d v="2026-05-24T15:23:10"/>
    <s v="::ffff:127.0.0.1"/>
    <s v="Apache-HttpClient/4.5.14 (Java/21.0.11)"/>
    <d v="2026-05-24T15:23:10"/>
  </r>
  <r>
    <s v="cmpjxfscj013kw2rwwcw8p3xt"/>
    <x v="1"/>
    <s v="GET"/>
    <s v="/api/v1/aeronaves"/>
    <s v="/api/v1/aeronaves/"/>
    <x v="2"/>
    <x v="152"/>
    <d v="2026-05-24T15:23:10"/>
    <d v="2026-05-24T15:23:10"/>
    <s v="::ffff:127.0.0.1"/>
    <s v="Apache-HttpClient/4.5.14 (Java/21.0.11)"/>
    <d v="2026-05-24T15:23:10"/>
  </r>
  <r>
    <s v="cmpjxfsco013lw2rwfgbx0qpv"/>
    <x v="1"/>
    <s v="GET"/>
    <s v="/api/v1/aeronaves"/>
    <s v="/api/v1/aeronaves/"/>
    <x v="2"/>
    <x v="153"/>
    <d v="2026-05-24T15:23:10"/>
    <d v="2026-05-24T15:23:10"/>
    <s v="::ffff:127.0.0.1"/>
    <s v="Apache-HttpClient/4.5.14 (Java/21.0.11)"/>
    <d v="2026-05-24T15:23:10"/>
  </r>
  <r>
    <s v="cmpjxfscs013mw2rw870ip7vt"/>
    <x v="1"/>
    <s v="GET"/>
    <s v="/api/v1/aeronaves"/>
    <s v="/api/v1/aeronaves/"/>
    <x v="2"/>
    <x v="154"/>
    <d v="2026-05-24T15:23:10"/>
    <d v="2026-05-24T15:23:10"/>
    <s v="::ffff:127.0.0.1"/>
    <s v="Apache-HttpClient/4.5.14 (Java/21.0.11)"/>
    <d v="2026-05-24T15:23:10"/>
  </r>
  <r>
    <s v="cmpjxfscx013nw2rw9cuit3tx"/>
    <x v="1"/>
    <s v="GET"/>
    <s v="/api/v1/aeronaves"/>
    <s v="/api/v1/aeronaves/"/>
    <x v="2"/>
    <x v="155"/>
    <d v="2026-05-24T15:23:10"/>
    <d v="2026-05-24T15:23:10"/>
    <s v="::ffff:127.0.0.1"/>
    <s v="Apache-HttpClient/4.5.14 (Java/21.0.11)"/>
    <d v="2026-05-24T15:23:10"/>
  </r>
  <r>
    <s v="cmpjxfsd2013ow2rwp3948od5"/>
    <x v="1"/>
    <s v="GET"/>
    <s v="/api/v1/aeronaves"/>
    <s v="/api/v1/aeronaves/"/>
    <x v="2"/>
    <x v="156"/>
    <d v="2026-05-24T15:23:10"/>
    <d v="2026-05-24T15:23:10"/>
    <s v="::ffff:127.0.0.1"/>
    <s v="Apache-HttpClient/4.5.14 (Java/21.0.11)"/>
    <d v="2026-05-24T15:23:10"/>
  </r>
  <r>
    <s v="cmpjxfsdr013zw2rwol555ieb"/>
    <x v="1"/>
    <s v="GET"/>
    <s v="/api/v1/aeronaves"/>
    <s v="/api/v1/aeronaves/"/>
    <x v="2"/>
    <x v="157"/>
    <d v="2026-05-24T15:23:10"/>
    <d v="2026-05-24T15:23:10"/>
    <s v="::ffff:127.0.0.1"/>
    <s v="Apache-HttpClient/4.5.14 (Java/21.0.11)"/>
    <d v="2026-05-24T15:23:10"/>
  </r>
  <r>
    <s v="cmpjxfsf2014iw2rw9xn9tqfc"/>
    <x v="1"/>
    <s v="GET"/>
    <s v="/api/v1/aeronaves"/>
    <s v="/api/v1/aeronaves/"/>
    <x v="2"/>
    <x v="158"/>
    <d v="2026-05-24T15:23:10"/>
    <d v="2026-05-24T15:23:10"/>
    <s v="::ffff:127.0.0.1"/>
    <s v="Apache-HttpClient/4.5.14 (Java/21.0.11)"/>
    <d v="2026-05-24T15:23:10"/>
  </r>
  <r>
    <s v="cmpjxfsfs014tw2rw7kpacsey"/>
    <x v="1"/>
    <s v="GET"/>
    <s v="/api/v1/aeronaves"/>
    <s v="/api/v1/aeronaves/"/>
    <x v="2"/>
    <x v="159"/>
    <d v="2026-05-24T15:23:10"/>
    <d v="2026-05-24T15:23:10"/>
    <s v="::ffff:127.0.0.1"/>
    <s v="Apache-HttpClient/4.5.14 (Java/21.0.11)"/>
    <d v="2026-05-24T15:23:10"/>
  </r>
  <r>
    <s v="cmpjxfshd015ew2rwqh2i7fbh"/>
    <x v="1"/>
    <s v="GET"/>
    <s v="/api/v1/aeronaves"/>
    <s v="/api/v1/aeronaves/"/>
    <x v="2"/>
    <x v="160"/>
    <d v="2026-05-24T15:23:10"/>
    <d v="2026-05-24T15:23:10"/>
    <s v="::ffff:127.0.0.1"/>
    <s v="Apache-HttpClient/4.5.14 (Java/21.0.11)"/>
    <d v="2026-05-24T15:23:10"/>
  </r>
  <r>
    <s v="cmpjxfsig015vw2rw45c74vgp"/>
    <x v="1"/>
    <s v="GET"/>
    <s v="/api/v1/aeronaves"/>
    <s v="/api/v1/aeronaves/"/>
    <x v="2"/>
    <x v="161"/>
    <d v="2026-05-24T15:23:10"/>
    <d v="2026-05-24T15:23:10"/>
    <s v="::ffff:127.0.0.1"/>
    <s v="Apache-HttpClient/4.5.14 (Java/21.0.11)"/>
    <d v="2026-05-24T15:23:10"/>
  </r>
  <r>
    <s v="cmpjxfsjn0168w2rws1upe4la"/>
    <x v="1"/>
    <s v="GET"/>
    <s v="/api/v1/aeronaves"/>
    <s v="/api/v1/aeronaves/"/>
    <x v="2"/>
    <x v="162"/>
    <d v="2026-05-24T15:23:10"/>
    <d v="2026-05-24T15:23:10"/>
    <s v="::ffff:127.0.0.1"/>
    <s v="Apache-HttpClient/4.5.14 (Java/21.0.11)"/>
    <d v="2026-05-24T15:23:10"/>
  </r>
  <r>
    <s v="cmpjxfsju0169w2rw456avb69"/>
    <x v="1"/>
    <s v="GET"/>
    <s v="/api/v1/aeronaves"/>
    <s v="/api/v1/aeronaves/"/>
    <x v="2"/>
    <x v="163"/>
    <d v="2026-05-24T15:23:10"/>
    <d v="2026-05-24T15:23:10"/>
    <s v="::ffff:127.0.0.1"/>
    <s v="Apache-HttpClient/4.5.14 (Java/21.0.11)"/>
    <d v="2026-05-24T15:23:10"/>
  </r>
  <r>
    <s v="cmpjxfsjy016aw2rwee9gu3ue"/>
    <x v="1"/>
    <s v="GET"/>
    <s v="/api/v1/aeronaves"/>
    <s v="/api/v1/aeronaves/"/>
    <x v="2"/>
    <x v="164"/>
    <d v="2026-05-24T15:23:10"/>
    <d v="2026-05-24T15:23:10"/>
    <s v="::ffff:127.0.0.1"/>
    <s v="Apache-HttpClient/4.5.14 (Java/21.0.11)"/>
    <d v="2026-05-24T15:23:10"/>
  </r>
  <r>
    <s v="cmpjxfsk4016bw2rw97pny5vd"/>
    <x v="1"/>
    <s v="GET"/>
    <s v="/api/v1/aeronaves"/>
    <s v="/api/v1/aeronaves/"/>
    <x v="2"/>
    <x v="165"/>
    <d v="2026-05-24T15:23:10"/>
    <d v="2026-05-24T15:23:10"/>
    <s v="::ffff:127.0.0.1"/>
    <s v="Apache-HttpClient/4.5.14 (Java/21.0.11)"/>
    <d v="2026-05-24T15:23:10"/>
  </r>
  <r>
    <s v="cmpjxfsl4016pw2rwhywjxjyj"/>
    <x v="1"/>
    <s v="GET"/>
    <s v="/api/v1/aeronaves"/>
    <s v="/api/v1/aeronaves/"/>
    <x v="2"/>
    <x v="166"/>
    <d v="2026-05-24T15:23:10"/>
    <d v="2026-05-24T15:23:10"/>
    <s v="::ffff:127.0.0.1"/>
    <s v="Apache-HttpClient/4.5.14 (Java/21.0.11)"/>
    <d v="2026-05-24T15:23:10"/>
  </r>
  <r>
    <s v="cmpjxfsmj017aw2rw0mykulqv"/>
    <x v="1"/>
    <s v="GET"/>
    <s v="/api/v1/aeronaves"/>
    <s v="/api/v1/aeronaves/"/>
    <x v="2"/>
    <x v="167"/>
    <d v="2026-05-24T15:23:10"/>
    <d v="2026-05-24T15:23:10"/>
    <s v="::ffff:127.0.0.1"/>
    <s v="Apache-HttpClient/4.5.14 (Java/21.0.11)"/>
    <d v="2026-05-24T15:23:10"/>
  </r>
  <r>
    <s v="cmpjxfsna017jw2rwz6m5ke8m"/>
    <x v="1"/>
    <s v="GET"/>
    <s v="/api/v1/aeronaves"/>
    <s v="/api/v1/aeronaves/"/>
    <x v="2"/>
    <x v="168"/>
    <d v="2026-05-24T15:23:10"/>
    <d v="2026-05-24T15:23:10"/>
    <s v="::ffff:127.0.0.1"/>
    <s v="Apache-HttpClient/4.5.14 (Java/21.0.11)"/>
    <d v="2026-05-24T15:23:10"/>
  </r>
  <r>
    <s v="cmpjxfsop0183w2rwwd36a42m"/>
    <x v="1"/>
    <s v="GET"/>
    <s v="/api/v1/aeronaves"/>
    <s v="/api/v1/aeronaves/"/>
    <x v="2"/>
    <x v="169"/>
    <d v="2026-05-24T15:23:10"/>
    <d v="2026-05-24T15:23:10"/>
    <s v="::ffff:127.0.0.1"/>
    <s v="Apache-HttpClient/4.5.14 (Java/21.0.11)"/>
    <d v="2026-05-24T15:23:10"/>
  </r>
  <r>
    <s v="cmpjxfsps018iw2rwssf49pcq"/>
    <x v="1"/>
    <s v="GET"/>
    <s v="/api/v1/aeronaves"/>
    <s v="/api/v1/aeronaves/"/>
    <x v="2"/>
    <x v="170"/>
    <d v="2026-05-24T15:23:10"/>
    <d v="2026-05-24T15:23:10"/>
    <s v="::ffff:127.0.0.1"/>
    <s v="Apache-HttpClient/4.5.14 (Java/21.0.11)"/>
    <d v="2026-05-24T15:23:10"/>
  </r>
  <r>
    <s v="cmpjxfsq7018nw2rw0pd06bih"/>
    <x v="1"/>
    <s v="GET"/>
    <s v="/api/v1/aeronaves"/>
    <s v="/api/v1/aeronaves/"/>
    <x v="2"/>
    <x v="171"/>
    <d v="2026-05-24T15:23:10"/>
    <d v="2026-05-24T15:23:10"/>
    <s v="::ffff:127.0.0.1"/>
    <s v="Apache-HttpClient/4.5.14 (Java/21.0.11)"/>
    <d v="2026-05-24T15:23:10"/>
  </r>
  <r>
    <s v="cmpjxfsqn018rw2rw3dlk8kiz"/>
    <x v="1"/>
    <s v="GET"/>
    <s v="/api/v1/aeronaves"/>
    <s v="/api/v1/aeronaves/"/>
    <x v="2"/>
    <x v="172"/>
    <d v="2026-05-24T15:23:10"/>
    <d v="2026-05-24T15:23:10"/>
    <s v="::ffff:127.0.0.1"/>
    <s v="Apache-HttpClient/4.5.14 (Java/21.0.11)"/>
    <d v="2026-05-24T15:23:10"/>
  </r>
  <r>
    <s v="cmpjxfsqt018sw2rwztm20eb4"/>
    <x v="1"/>
    <s v="GET"/>
    <s v="/api/v1/aeronaves"/>
    <s v="/api/v1/aeronaves/"/>
    <x v="2"/>
    <x v="173"/>
    <d v="2026-05-24T15:23:10"/>
    <d v="2026-05-24T15:23:10"/>
    <s v="::ffff:127.0.0.1"/>
    <s v="Apache-HttpClient/4.5.14 (Java/21.0.11)"/>
    <d v="2026-05-24T15:23:10"/>
  </r>
  <r>
    <s v="cmpjxfsrw0196w2rwz310f7gj"/>
    <x v="1"/>
    <s v="GET"/>
    <s v="/api/v1/aeronaves"/>
    <s v="/api/v1/aeronaves/"/>
    <x v="2"/>
    <x v="174"/>
    <d v="2026-05-24T15:23:10"/>
    <d v="2026-05-24T15:23:10"/>
    <s v="::ffff:127.0.0.1"/>
    <s v="Apache-HttpClient/4.5.14 (Java/21.0.11)"/>
    <d v="2026-05-24T15:23:10"/>
  </r>
  <r>
    <s v="cmpjxfsss019kw2rwv3i1vuxi"/>
    <x v="1"/>
    <s v="GET"/>
    <s v="/api/v1/aeronaves"/>
    <s v="/api/v1/aeronaves/"/>
    <x v="2"/>
    <x v="175"/>
    <d v="2026-05-24T15:23:10"/>
    <d v="2026-05-24T15:23:10"/>
    <s v="::ffff:127.0.0.1"/>
    <s v="Apache-HttpClient/4.5.14 (Java/21.0.11)"/>
    <d v="2026-05-24T15:23:10"/>
  </r>
  <r>
    <s v="cmpjxfstm019vw2rw0uifdp21"/>
    <x v="1"/>
    <s v="GET"/>
    <s v="/api/v1/aeronaves"/>
    <s v="/api/v1/aeronaves/"/>
    <x v="2"/>
    <x v="176"/>
    <d v="2026-05-24T15:23:10"/>
    <d v="2026-05-24T15:23:10"/>
    <s v="::ffff:127.0.0.1"/>
    <s v="Apache-HttpClient/4.5.14 (Java/21.0.11)"/>
    <d v="2026-05-24T15:23:10"/>
  </r>
  <r>
    <s v="cmpjxfsuz01afw2rwlza8m9sg"/>
    <x v="1"/>
    <s v="GET"/>
    <s v="/api/v1/aeronaves"/>
    <s v="/api/v1/aeronaves/"/>
    <x v="2"/>
    <x v="177"/>
    <d v="2026-05-24T15:23:10"/>
    <d v="2026-05-24T15:23:10"/>
    <s v="::ffff:127.0.0.1"/>
    <s v="Apache-HttpClient/4.5.14 (Java/21.0.11)"/>
    <d v="2026-05-24T15:23:10"/>
  </r>
  <r>
    <s v="cmpjxfsvr01apw2rwc68bxkqp"/>
    <x v="1"/>
    <s v="GET"/>
    <s v="/api/v1/aeronaves"/>
    <s v="/api/v1/aeronaves/"/>
    <x v="2"/>
    <x v="178"/>
    <d v="2026-05-24T15:23:10"/>
    <d v="2026-05-24T15:23:10"/>
    <s v="::ffff:127.0.0.1"/>
    <s v="Apache-HttpClient/4.5.14 (Java/21.0.11)"/>
    <d v="2026-05-24T15:23:10"/>
  </r>
  <r>
    <s v="cmpjxfsw501atw2rwiecb9g4a"/>
    <x v="1"/>
    <s v="GET"/>
    <s v="/api/v1/aeronaves"/>
    <s v="/api/v1/aeronaves/"/>
    <x v="2"/>
    <x v="179"/>
    <d v="2026-05-24T15:23:10"/>
    <d v="2026-05-24T15:23:10"/>
    <s v="::ffff:127.0.0.1"/>
    <s v="Apache-HttpClient/4.5.14 (Java/21.0.11)"/>
    <d v="2026-05-24T15:23:10"/>
  </r>
  <r>
    <s v="cmpjxfswm01ayw2rwwgxw997f"/>
    <x v="1"/>
    <s v="GET"/>
    <s v="/api/v1/aeronaves"/>
    <s v="/api/v1/aeronaves/"/>
    <x v="2"/>
    <x v="180"/>
    <d v="2026-05-24T15:23:10"/>
    <d v="2026-05-24T15:23:10"/>
    <s v="::ffff:127.0.0.1"/>
    <s v="Apache-HttpClient/4.5.14 (Java/21.0.11)"/>
    <d v="2026-05-24T15:23:10"/>
  </r>
  <r>
    <s v="cmpjxfsx201b2w2rwl5032kq2"/>
    <x v="1"/>
    <s v="GET"/>
    <s v="/api/v1/aeronaves"/>
    <s v="/api/v1/aeronaves/"/>
    <x v="2"/>
    <x v="181"/>
    <d v="2026-05-24T15:23:10"/>
    <d v="2026-05-24T15:23:11"/>
    <s v="::ffff:127.0.0.1"/>
    <s v="Apache-HttpClient/4.5.14 (Java/21.0.11)"/>
    <d v="2026-05-24T15:23:11"/>
  </r>
  <r>
    <s v="cmpjxfsxy01bfw2rwancrw5av"/>
    <x v="1"/>
    <s v="GET"/>
    <s v="/api/v1/aeronaves"/>
    <s v="/api/v1/aeronaves/"/>
    <x v="2"/>
    <x v="182"/>
    <d v="2026-05-24T15:23:11"/>
    <d v="2026-05-24T15:23:11"/>
    <s v="::ffff:127.0.0.1"/>
    <s v="Apache-HttpClient/4.5.14 (Java/21.0.11)"/>
    <d v="2026-05-24T15:23:11"/>
  </r>
  <r>
    <s v="cmpjxfszs01c4w2rwhk5n4apa"/>
    <x v="1"/>
    <s v="GET"/>
    <s v="/api/v1/aeronaves"/>
    <s v="/api/v1/aeronaves/"/>
    <x v="2"/>
    <x v="183"/>
    <d v="2026-05-24T15:23:11"/>
    <d v="2026-05-24T15:23:11"/>
    <s v="::ffff:127.0.0.1"/>
    <s v="Apache-HttpClient/4.5.14 (Java/21.0.11)"/>
    <d v="2026-05-24T15:23:11"/>
  </r>
  <r>
    <s v="cmpjxft1001cmw2rwgywkj1hx"/>
    <x v="1"/>
    <s v="GET"/>
    <s v="/api/v1/aeronaves"/>
    <s v="/api/v1/aeronaves/"/>
    <x v="2"/>
    <x v="184"/>
    <d v="2026-05-24T15:23:11"/>
    <d v="2026-05-24T15:23:11"/>
    <s v="::ffff:127.0.0.1"/>
    <s v="Apache-HttpClient/4.5.14 (Java/21.0.11)"/>
    <d v="2026-05-24T15:23:11"/>
  </r>
  <r>
    <s v="cmpjxft1i01cqw2rwbkkl3bdf"/>
    <x v="1"/>
    <s v="GET"/>
    <s v="/api/v1/aeronaves"/>
    <s v="/api/v1/aeronaves/"/>
    <x v="2"/>
    <x v="185"/>
    <d v="2026-05-24T15:23:11"/>
    <d v="2026-05-24T15:23:11"/>
    <s v="::ffff:127.0.0.1"/>
    <s v="Apache-HttpClient/4.5.14 (Java/21.0.11)"/>
    <d v="2026-05-24T15:23:11"/>
  </r>
  <r>
    <s v="cmpjxft1q01csw2rwoeb0573d"/>
    <x v="1"/>
    <s v="GET"/>
    <s v="/api/v1/aeronaves"/>
    <s v="/api/v1/aeronaves/"/>
    <x v="2"/>
    <x v="186"/>
    <d v="2026-05-24T15:23:11"/>
    <d v="2026-05-24T15:23:11"/>
    <s v="::ffff:127.0.0.1"/>
    <s v="Apache-HttpClient/4.5.14 (Java/21.0.11)"/>
    <d v="2026-05-24T15:23:11"/>
  </r>
  <r>
    <s v="cmpjxft2301cww2rwh9l0ofk4"/>
    <x v="1"/>
    <s v="GET"/>
    <s v="/api/v1/aeronaves"/>
    <s v="/api/v1/aeronaves/"/>
    <x v="2"/>
    <x v="187"/>
    <d v="2026-05-24T15:23:11"/>
    <d v="2026-05-24T15:23:11"/>
    <s v="::ffff:127.0.0.1"/>
    <s v="Apache-HttpClient/4.5.14 (Java/21.0.11)"/>
    <d v="2026-05-24T15:23:11"/>
  </r>
  <r>
    <s v="cmpjxft3501dbw2rwa3quha2m"/>
    <x v="1"/>
    <s v="GET"/>
    <s v="/api/v1/aeronaves"/>
    <s v="/api/v1/aeronaves/"/>
    <x v="2"/>
    <x v="110"/>
    <d v="2026-05-24T15:23:11"/>
    <d v="2026-05-24T15:23:11"/>
    <s v="::ffff:127.0.0.1"/>
    <s v="Apache-HttpClient/4.5.14 (Java/21.0.11)"/>
    <d v="2026-05-24T15:23:11"/>
  </r>
  <r>
    <s v="cmpjxft5301e0w2rw9ka0h7xy"/>
    <x v="1"/>
    <s v="GET"/>
    <s v="/api/v1/aeronaves"/>
    <s v="/api/v1/aeronaves/"/>
    <x v="2"/>
    <x v="188"/>
    <d v="2026-05-24T15:23:11"/>
    <d v="2026-05-24T15:23:11"/>
    <s v="::ffff:127.0.0.1"/>
    <s v="Apache-HttpClient/4.5.14 (Java/21.0.11)"/>
    <d v="2026-05-24T15:23:11"/>
  </r>
  <r>
    <s v="cmpjxft5z01ebw2rwmy0rogek"/>
    <x v="1"/>
    <s v="GET"/>
    <s v="/api/v1/aeronaves"/>
    <s v="/api/v1/aeronaves/"/>
    <x v="2"/>
    <x v="189"/>
    <d v="2026-05-24T15:23:11"/>
    <d v="2026-05-24T15:23:11"/>
    <s v="::ffff:127.0.0.1"/>
    <s v="Apache-HttpClient/4.5.14 (Java/21.0.11)"/>
    <d v="2026-05-24T15:23:11"/>
  </r>
  <r>
    <s v="cmpjxft6a01eew2rwj4w3zrp1"/>
    <x v="1"/>
    <s v="GET"/>
    <s v="/api/v1/aeronaves"/>
    <s v="/api/v1/aeronaves/"/>
    <x v="2"/>
    <x v="190"/>
    <d v="2026-05-24T15:23:11"/>
    <d v="2026-05-24T15:23:11"/>
    <s v="::ffff:127.0.0.1"/>
    <s v="Apache-HttpClient/4.5.14 (Java/21.0.11)"/>
    <d v="2026-05-24T15:23:11"/>
  </r>
  <r>
    <s v="cmpjxft6o01ejw2rwjnbvb38x"/>
    <x v="1"/>
    <s v="GET"/>
    <s v="/api/v1/aeronaves"/>
    <s v="/api/v1/aeronaves/"/>
    <x v="2"/>
    <x v="191"/>
    <d v="2026-05-24T15:23:11"/>
    <d v="2026-05-24T15:23:11"/>
    <s v="::ffff:127.0.0.1"/>
    <s v="Apache-HttpClient/4.5.14 (Java/21.0.11)"/>
    <d v="2026-05-24T15:23:11"/>
  </r>
  <r>
    <s v="cmpjxft7k01evw2rwm7duqcsw"/>
    <x v="1"/>
    <s v="GET"/>
    <s v="/api/v1/aeronaves"/>
    <s v="/api/v1/aeronaves/"/>
    <x v="2"/>
    <x v="192"/>
    <d v="2026-05-24T15:23:11"/>
    <d v="2026-05-24T15:23:11"/>
    <s v="::ffff:127.0.0.1"/>
    <s v="Apache-HttpClient/4.5.14 (Java/21.0.11)"/>
    <d v="2026-05-24T15:23:11"/>
  </r>
  <r>
    <s v="cmpjxft8z01few2rw7zcaqhym"/>
    <x v="1"/>
    <s v="GET"/>
    <s v="/api/v1/aeronaves"/>
    <s v="/api/v1/aeronaves/"/>
    <x v="2"/>
    <x v="193"/>
    <d v="2026-05-24T15:23:11"/>
    <d v="2026-05-24T15:23:11"/>
    <s v="::ffff:127.0.0.1"/>
    <s v="Apache-HttpClient/4.5.14 (Java/21.0.11)"/>
    <d v="2026-05-24T15:23:11"/>
  </r>
  <r>
    <s v="cmpjxft9y01frw2rw1fgb2zba"/>
    <x v="1"/>
    <s v="GET"/>
    <s v="/api/v1/aeronaves"/>
    <s v="/api/v1/aeronaves/"/>
    <x v="2"/>
    <x v="194"/>
    <d v="2026-05-24T15:23:11"/>
    <d v="2026-05-24T15:23:11"/>
    <s v="::ffff:127.0.0.1"/>
    <s v="Apache-HttpClient/4.5.14 (Java/21.0.11)"/>
    <d v="2026-05-24T15:23:11"/>
  </r>
  <r>
    <s v="cmpjxftaw01g3w2rww15k9s3n"/>
    <x v="1"/>
    <s v="GET"/>
    <s v="/api/v1/aeronaves"/>
    <s v="/api/v1/aeronaves/"/>
    <x v="2"/>
    <x v="195"/>
    <d v="2026-05-24T15:23:11"/>
    <d v="2026-05-24T15:23:11"/>
    <s v="::ffff:127.0.0.1"/>
    <s v="Apache-HttpClient/4.5.14 (Java/21.0.11)"/>
    <d v="2026-05-24T15:23:11"/>
  </r>
  <r>
    <s v="cmpjxftbn01gdw2rwzny18px7"/>
    <x v="1"/>
    <s v="GET"/>
    <s v="/api/v1/aeronaves"/>
    <s v="/api/v1/aeronaves/"/>
    <x v="2"/>
    <x v="196"/>
    <d v="2026-05-24T15:23:11"/>
    <d v="2026-05-24T15:23:11"/>
    <s v="::ffff:127.0.0.1"/>
    <s v="Apache-HttpClient/4.5.14 (Java/21.0.11)"/>
    <d v="2026-05-24T15:23:11"/>
  </r>
  <r>
    <s v="cmpjxfr2800p3w2rwdrrm6pol"/>
    <x v="2"/>
    <s v="GET"/>
    <s v="/api/v1/etapas"/>
    <s v="/api/v1/etapas/"/>
    <x v="2"/>
    <x v="197"/>
    <d v="2026-05-24T15:23:08"/>
    <d v="2026-05-24T15:23:08"/>
    <s v="::ffff:127.0.0.1"/>
    <s v="Apache-HttpClient/4.5.14 (Java/21.0.11)"/>
    <d v="2026-05-24T15:23:08"/>
  </r>
  <r>
    <s v="cmpjxfr4d00pdw2rwo3g4mhkn"/>
    <x v="2"/>
    <s v="GET"/>
    <s v="/api/v1/etapas"/>
    <s v="/api/v1/etapas/"/>
    <x v="2"/>
    <x v="198"/>
    <d v="2026-05-24T15:23:08"/>
    <d v="2026-05-24T15:23:08"/>
    <s v="::ffff:127.0.0.1"/>
    <s v="Apache-HttpClient/4.5.14 (Java/21.0.11)"/>
    <d v="2026-05-24T15:23:08"/>
  </r>
  <r>
    <s v="cmpjxfr4q00pgw2rw59xaet5t"/>
    <x v="2"/>
    <s v="GET"/>
    <s v="/api/v1/etapas"/>
    <s v="/api/v1/etapas/"/>
    <x v="2"/>
    <x v="199"/>
    <d v="2026-05-24T15:23:08"/>
    <d v="2026-05-24T15:23:08"/>
    <s v="::ffff:127.0.0.1"/>
    <s v="Apache-HttpClient/4.5.14 (Java/21.0.11)"/>
    <d v="2026-05-24T15:23:08"/>
  </r>
  <r>
    <s v="cmpjxfr6l00pyw2rw9ttqh12m"/>
    <x v="2"/>
    <s v="GET"/>
    <s v="/api/v1/etapas"/>
    <s v="/api/v1/etapas/"/>
    <x v="2"/>
    <x v="200"/>
    <d v="2026-05-24T15:23:08"/>
    <d v="2026-05-24T15:23:08"/>
    <s v="::ffff:127.0.0.1"/>
    <s v="Apache-HttpClient/4.5.14 (Java/21.0.11)"/>
    <d v="2026-05-24T15:23:08"/>
  </r>
  <r>
    <s v="cmpjxfr6q00pzw2rwz901aigw"/>
    <x v="2"/>
    <s v="GET"/>
    <s v="/api/v1/etapas"/>
    <s v="/api/v1/etapas/"/>
    <x v="2"/>
    <x v="201"/>
    <d v="2026-05-24T15:23:08"/>
    <d v="2026-05-24T15:23:08"/>
    <s v="::ffff:127.0.0.1"/>
    <s v="Apache-HttpClient/4.5.14 (Java/21.0.11)"/>
    <d v="2026-05-24T15:23:08"/>
  </r>
  <r>
    <s v="cmpjxfr7p00q9w2rw4d07e0ia"/>
    <x v="2"/>
    <s v="GET"/>
    <s v="/api/v1/etapas"/>
    <s v="/api/v1/etapas/"/>
    <x v="2"/>
    <x v="202"/>
    <d v="2026-05-24T15:23:08"/>
    <d v="2026-05-24T15:23:08"/>
    <s v="::ffff:127.0.0.1"/>
    <s v="Apache-HttpClient/4.5.14 (Java/21.0.11)"/>
    <d v="2026-05-24T15:23:08"/>
  </r>
  <r>
    <s v="cmpjxfr9300qow2rwtor98iwl"/>
    <x v="2"/>
    <s v="GET"/>
    <s v="/api/v1/etapas"/>
    <s v="/api/v1/etapas/"/>
    <x v="2"/>
    <x v="203"/>
    <d v="2026-05-24T15:23:08"/>
    <d v="2026-05-24T15:23:08"/>
    <s v="::ffff:127.0.0.1"/>
    <s v="Apache-HttpClient/4.5.14 (Java/21.0.11)"/>
    <d v="2026-05-24T15:23:08"/>
  </r>
  <r>
    <s v="cmpjxfr9j00qsw2rwahotzd1y"/>
    <x v="2"/>
    <s v="GET"/>
    <s v="/api/v1/etapas"/>
    <s v="/api/v1/etapas/"/>
    <x v="2"/>
    <x v="204"/>
    <d v="2026-05-24T15:23:08"/>
    <d v="2026-05-24T15:23:08"/>
    <s v="::ffff:127.0.0.1"/>
    <s v="Apache-HttpClient/4.5.14 (Java/21.0.11)"/>
    <d v="2026-05-24T15:23:08"/>
  </r>
  <r>
    <s v="cmpjxfral00r3w2rwckdfirgy"/>
    <x v="2"/>
    <s v="GET"/>
    <s v="/api/v1/etapas"/>
    <s v="/api/v1/etapas/"/>
    <x v="2"/>
    <x v="205"/>
    <d v="2026-05-24T15:23:08"/>
    <d v="2026-05-24T15:23:08"/>
    <s v="::ffff:127.0.0.1"/>
    <s v="Apache-HttpClient/4.5.14 (Java/21.0.11)"/>
    <d v="2026-05-24T15:23:08"/>
  </r>
  <r>
    <s v="cmpjxfrat00r7w2rwsj3euzel"/>
    <x v="2"/>
    <s v="GET"/>
    <s v="/api/v1/etapas"/>
    <s v="/api/v1/etapas/"/>
    <x v="2"/>
    <x v="206"/>
    <d v="2026-05-24T15:23:08"/>
    <d v="2026-05-24T15:23:08"/>
    <s v="::ffff:127.0.0.1"/>
    <s v="Apache-HttpClient/4.5.14 (Java/21.0.11)"/>
    <d v="2026-05-24T15:23:08"/>
  </r>
  <r>
    <s v="cmpjxfrcd00rpw2rwdght5dkz"/>
    <x v="2"/>
    <s v="GET"/>
    <s v="/api/v1/etapas"/>
    <s v="/api/v1/etapas/"/>
    <x v="2"/>
    <x v="207"/>
    <d v="2026-05-24T15:23:08"/>
    <d v="2026-05-24T15:23:08"/>
    <s v="::ffff:127.0.0.1"/>
    <s v="Apache-HttpClient/4.5.14 (Java/21.0.11)"/>
    <d v="2026-05-24T15:23:08"/>
  </r>
  <r>
    <s v="cmpjxfrcw00rww2rwcp3jbfu6"/>
    <x v="2"/>
    <s v="GET"/>
    <s v="/api/v1/etapas"/>
    <s v="/api/v1/etapas/"/>
    <x v="2"/>
    <x v="208"/>
    <d v="2026-05-24T15:23:08"/>
    <d v="2026-05-24T15:23:08"/>
    <s v="::ffff:127.0.0.1"/>
    <s v="Apache-HttpClient/4.5.14 (Java/21.0.11)"/>
    <d v="2026-05-24T15:23:08"/>
  </r>
  <r>
    <s v="cmpjxfrdo00s3w2rwib7cafo4"/>
    <x v="2"/>
    <s v="GET"/>
    <s v="/api/v1/etapas"/>
    <s v="/api/v1/etapas/"/>
    <x v="2"/>
    <x v="209"/>
    <d v="2026-05-24T15:23:08"/>
    <d v="2026-05-24T15:23:09"/>
    <s v="::ffff:127.0.0.1"/>
    <s v="Apache-HttpClient/4.5.14 (Java/21.0.11)"/>
    <d v="2026-05-24T15:23:09"/>
  </r>
  <r>
    <s v="cmpjxfred00saw2rwx5d2m3ta"/>
    <x v="2"/>
    <s v="GET"/>
    <s v="/api/v1/etapas"/>
    <s v="/api/v1/etapas/"/>
    <x v="2"/>
    <x v="210"/>
    <d v="2026-05-24T15:23:09"/>
    <d v="2026-05-24T15:23:09"/>
    <s v="::ffff:127.0.0.1"/>
    <s v="Apache-HttpClient/4.5.14 (Java/21.0.11)"/>
    <d v="2026-05-24T15:23:09"/>
  </r>
  <r>
    <s v="cmpjxfrek00scw2rwg486zjm1"/>
    <x v="2"/>
    <s v="GET"/>
    <s v="/api/v1/etapas"/>
    <s v="/api/v1/etapas/"/>
    <x v="2"/>
    <x v="211"/>
    <d v="2026-05-24T15:23:09"/>
    <d v="2026-05-24T15:23:09"/>
    <s v="::ffff:127.0.0.1"/>
    <s v="Apache-HttpClient/4.5.14 (Java/21.0.11)"/>
    <d v="2026-05-24T15:23:09"/>
  </r>
  <r>
    <s v="cmpjxfrga00syw2rwjy6hfnqt"/>
    <x v="2"/>
    <s v="GET"/>
    <s v="/api/v1/etapas"/>
    <s v="/api/v1/etapas/"/>
    <x v="2"/>
    <x v="212"/>
    <d v="2026-05-24T15:23:09"/>
    <d v="2026-05-24T15:23:09"/>
    <s v="::ffff:127.0.0.1"/>
    <s v="Apache-HttpClient/4.5.14 (Java/21.0.11)"/>
    <d v="2026-05-24T15:23:09"/>
  </r>
  <r>
    <s v="cmpjxfrh500t7w2rwdijvc655"/>
    <x v="2"/>
    <s v="GET"/>
    <s v="/api/v1/etapas"/>
    <s v="/api/v1/etapas/"/>
    <x v="2"/>
    <x v="213"/>
    <d v="2026-05-24T15:23:09"/>
    <d v="2026-05-24T15:23:09"/>
    <s v="::ffff:127.0.0.1"/>
    <s v="Apache-HttpClient/4.5.14 (Java/21.0.11)"/>
    <d v="2026-05-24T15:23:09"/>
  </r>
  <r>
    <s v="cmpjxfrhs00tfw2rwkqtn2m0i"/>
    <x v="2"/>
    <s v="GET"/>
    <s v="/api/v1/etapas"/>
    <s v="/api/v1/etapas/"/>
    <x v="2"/>
    <x v="214"/>
    <d v="2026-05-24T15:23:09"/>
    <d v="2026-05-24T15:23:09"/>
    <s v="::ffff:127.0.0.1"/>
    <s v="Apache-HttpClient/4.5.14 (Java/21.0.11)"/>
    <d v="2026-05-24T15:23:09"/>
  </r>
  <r>
    <s v="cmpjxfrir00tnw2rwx37oltjr"/>
    <x v="2"/>
    <s v="GET"/>
    <s v="/api/v1/etapas"/>
    <s v="/api/v1/etapas/"/>
    <x v="2"/>
    <x v="215"/>
    <d v="2026-05-24T15:23:09"/>
    <d v="2026-05-24T15:23:09"/>
    <s v="::ffff:127.0.0.1"/>
    <s v="Apache-HttpClient/4.5.14 (Java/21.0.11)"/>
    <d v="2026-05-24T15:23:09"/>
  </r>
  <r>
    <s v="cmpjxfrje00tsw2rwxtb9iv30"/>
    <x v="2"/>
    <s v="GET"/>
    <s v="/api/v1/etapas"/>
    <s v="/api/v1/etapas/"/>
    <x v="2"/>
    <x v="216"/>
    <d v="2026-05-24T15:23:09"/>
    <d v="2026-05-24T15:23:09"/>
    <s v="::ffff:127.0.0.1"/>
    <s v="Apache-HttpClient/4.5.14 (Java/21.0.11)"/>
    <d v="2026-05-24T15:23:09"/>
  </r>
  <r>
    <s v="cmpjxfrjt00tww2rw03sbgpge"/>
    <x v="2"/>
    <s v="GET"/>
    <s v="/api/v1/etapas"/>
    <s v="/api/v1/etapas/"/>
    <x v="2"/>
    <x v="217"/>
    <d v="2026-05-24T15:23:09"/>
    <d v="2026-05-24T15:23:09"/>
    <s v="::ffff:127.0.0.1"/>
    <s v="Apache-HttpClient/4.5.14 (Java/21.0.11)"/>
    <d v="2026-05-24T15:23:09"/>
  </r>
  <r>
    <s v="cmpjxfrjv00txw2rwxbpsbjt3"/>
    <x v="2"/>
    <s v="GET"/>
    <s v="/api/v1/etapas"/>
    <s v="/api/v1/etapas/"/>
    <x v="2"/>
    <x v="218"/>
    <d v="2026-05-24T15:23:09"/>
    <d v="2026-05-24T15:23:09"/>
    <s v="::ffff:127.0.0.1"/>
    <s v="Apache-HttpClient/4.5.14 (Java/21.0.11)"/>
    <d v="2026-05-24T15:23:09"/>
  </r>
  <r>
    <s v="cmpjxfrm200uqw2rwxyo82jm0"/>
    <x v="2"/>
    <s v="GET"/>
    <s v="/api/v1/etapas"/>
    <s v="/api/v1/etapas/"/>
    <x v="2"/>
    <x v="219"/>
    <d v="2026-05-24T15:23:09"/>
    <d v="2026-05-24T15:23:09"/>
    <s v="::ffff:127.0.0.1"/>
    <s v="Apache-HttpClient/4.5.14 (Java/21.0.11)"/>
    <d v="2026-05-24T15:23:09"/>
  </r>
  <r>
    <s v="cmpjxfrmp00uzw2rwurhangzf"/>
    <x v="2"/>
    <s v="GET"/>
    <s v="/api/v1/etapas"/>
    <s v="/api/v1/etapas/"/>
    <x v="2"/>
    <x v="66"/>
    <d v="2026-05-24T15:23:09"/>
    <d v="2026-05-24T15:23:09"/>
    <s v="::ffff:127.0.0.1"/>
    <s v="Apache-HttpClient/4.5.14 (Java/21.0.11)"/>
    <d v="2026-05-24T15:23:09"/>
  </r>
  <r>
    <s v="cmpjxfrnw00vcw2rw6w06mfum"/>
    <x v="2"/>
    <s v="GET"/>
    <s v="/api/v1/etapas"/>
    <s v="/api/v1/etapas/"/>
    <x v="2"/>
    <x v="220"/>
    <d v="2026-05-24T15:23:09"/>
    <d v="2026-05-24T15:23:09"/>
    <s v="::ffff:127.0.0.1"/>
    <s v="Apache-HttpClient/4.5.14 (Java/21.0.11)"/>
    <d v="2026-05-24T15:23:09"/>
  </r>
  <r>
    <s v="cmpjxfroe00viw2rw0xhv2cas"/>
    <x v="2"/>
    <s v="GET"/>
    <s v="/api/v1/etapas"/>
    <s v="/api/v1/etapas/"/>
    <x v="2"/>
    <x v="221"/>
    <d v="2026-05-24T15:23:09"/>
    <d v="2026-05-24T15:23:09"/>
    <s v="::ffff:127.0.0.1"/>
    <s v="Apache-HttpClient/4.5.14 (Java/21.0.11)"/>
    <d v="2026-05-24T15:23:09"/>
  </r>
  <r>
    <s v="cmpjxfrpn00vtw2rwbrnrl0ey"/>
    <x v="2"/>
    <s v="GET"/>
    <s v="/api/v1/etapas"/>
    <s v="/api/v1/etapas/"/>
    <x v="2"/>
    <x v="222"/>
    <d v="2026-05-24T15:23:09"/>
    <d v="2026-05-24T15:23:09"/>
    <s v="::ffff:127.0.0.1"/>
    <s v="Apache-HttpClient/4.5.14 (Java/21.0.11)"/>
    <d v="2026-05-24T15:23:09"/>
  </r>
  <r>
    <s v="cmpjxfrpv00vuw2rw2f0x0r04"/>
    <x v="2"/>
    <s v="GET"/>
    <s v="/api/v1/etapas"/>
    <s v="/api/v1/etapas/"/>
    <x v="2"/>
    <x v="223"/>
    <d v="2026-05-24T15:23:09"/>
    <d v="2026-05-24T15:23:09"/>
    <s v="::ffff:127.0.0.1"/>
    <s v="Apache-HttpClient/4.5.14 (Java/21.0.11)"/>
    <d v="2026-05-24T15:23:09"/>
  </r>
  <r>
    <s v="cmpjxfrpx00vvw2rwc6cohrp7"/>
    <x v="2"/>
    <s v="GET"/>
    <s v="/api/v1/etapas"/>
    <s v="/api/v1/etapas/"/>
    <x v="2"/>
    <x v="224"/>
    <d v="2026-05-24T15:23:09"/>
    <d v="2026-05-24T15:23:09"/>
    <s v="::ffff:127.0.0.1"/>
    <s v="Apache-HttpClient/4.5.14 (Java/21.0.11)"/>
    <d v="2026-05-24T15:23:09"/>
  </r>
  <r>
    <s v="cmpjxfrq000vww2rwnh3bs56w"/>
    <x v="2"/>
    <s v="GET"/>
    <s v="/api/v1/etapas"/>
    <s v="/api/v1/etapas/"/>
    <x v="2"/>
    <x v="225"/>
    <d v="2026-05-24T15:23:09"/>
    <d v="2026-05-24T15:23:09"/>
    <s v="::ffff:127.0.0.1"/>
    <s v="Apache-HttpClient/4.5.14 (Java/21.0.11)"/>
    <d v="2026-05-24T15:23:09"/>
  </r>
  <r>
    <s v="cmpjxfrqv00w7w2rw3dkdatxf"/>
    <x v="2"/>
    <s v="GET"/>
    <s v="/api/v1/etapas"/>
    <s v="/api/v1/etapas/"/>
    <x v="2"/>
    <x v="226"/>
    <d v="2026-05-24T15:23:09"/>
    <d v="2026-05-24T15:23:09"/>
    <s v="::ffff:127.0.0.1"/>
    <s v="Apache-HttpClient/4.5.14 (Java/21.0.11)"/>
    <d v="2026-05-24T15:23:09"/>
  </r>
  <r>
    <s v="cmpjxfrs700wpw2rwv9q8bzn4"/>
    <x v="2"/>
    <s v="GET"/>
    <s v="/api/v1/etapas"/>
    <s v="/api/v1/etapas/"/>
    <x v="2"/>
    <x v="227"/>
    <d v="2026-05-24T15:23:09"/>
    <d v="2026-05-24T15:23:09"/>
    <s v="::ffff:127.0.0.1"/>
    <s v="Apache-HttpClient/4.5.14 (Java/21.0.11)"/>
    <d v="2026-05-24T15:23:09"/>
  </r>
  <r>
    <s v="cmpjxfrtx00xaw2rwdptp6vb1"/>
    <x v="2"/>
    <s v="GET"/>
    <s v="/api/v1/etapas"/>
    <s v="/api/v1/etapas/"/>
    <x v="2"/>
    <x v="228"/>
    <d v="2026-05-24T15:23:09"/>
    <d v="2026-05-24T15:23:09"/>
    <s v="::ffff:127.0.0.1"/>
    <s v="Apache-HttpClient/4.5.14 (Java/21.0.11)"/>
    <d v="2026-05-24T15:23:09"/>
  </r>
  <r>
    <s v="cmpjxfruu00xmw2rwhvmrqfs8"/>
    <x v="2"/>
    <s v="GET"/>
    <s v="/api/v1/etapas"/>
    <s v="/api/v1/etapas/"/>
    <x v="2"/>
    <x v="229"/>
    <d v="2026-05-24T15:23:09"/>
    <d v="2026-05-24T15:23:09"/>
    <s v="::ffff:127.0.0.1"/>
    <s v="Apache-HttpClient/4.5.14 (Java/21.0.11)"/>
    <d v="2026-05-24T15:23:09"/>
  </r>
  <r>
    <s v="cmpjxfrw200y1w2rwv6f45nl6"/>
    <x v="2"/>
    <s v="GET"/>
    <s v="/api/v1/etapas"/>
    <s v="/api/v1/etapas/"/>
    <x v="2"/>
    <x v="230"/>
    <d v="2026-05-24T15:23:09"/>
    <d v="2026-05-24T15:23:09"/>
    <s v="::ffff:127.0.0.1"/>
    <s v="Apache-HttpClient/4.5.14 (Java/21.0.11)"/>
    <d v="2026-05-24T15:23:09"/>
  </r>
  <r>
    <s v="cmpjxfrx500y9w2rw7rdkszft"/>
    <x v="2"/>
    <s v="GET"/>
    <s v="/api/v1/etapas"/>
    <s v="/api/v1/etapas/"/>
    <x v="2"/>
    <x v="231"/>
    <d v="2026-05-24T15:23:09"/>
    <d v="2026-05-24T15:23:09"/>
    <s v="::ffff:127.0.0.1"/>
    <s v="Apache-HttpClient/4.5.14 (Java/21.0.11)"/>
    <d v="2026-05-24T15:23:09"/>
  </r>
  <r>
    <s v="cmpjxfrxx00yfw2rw3y13t3a8"/>
    <x v="2"/>
    <s v="GET"/>
    <s v="/api/v1/etapas"/>
    <s v="/api/v1/etapas/"/>
    <x v="2"/>
    <x v="232"/>
    <d v="2026-05-24T15:23:09"/>
    <d v="2026-05-24T15:23:09"/>
    <s v="::ffff:127.0.0.1"/>
    <s v="Apache-HttpClient/4.5.14 (Java/21.0.11)"/>
    <d v="2026-05-24T15:23:09"/>
  </r>
  <r>
    <s v="cmpjxfry500ykw2rwji3anumr"/>
    <x v="2"/>
    <s v="GET"/>
    <s v="/api/v1/etapas"/>
    <s v="/api/v1/etapas/"/>
    <x v="2"/>
    <x v="233"/>
    <d v="2026-05-24T15:23:09"/>
    <d v="2026-05-24T15:23:09"/>
    <s v="::ffff:127.0.0.1"/>
    <s v="Apache-HttpClient/4.5.14 (Java/21.0.11)"/>
    <d v="2026-05-24T15:23:09"/>
  </r>
  <r>
    <s v="cmpjxfry700ylw2rw5fzp34tz"/>
    <x v="2"/>
    <s v="GET"/>
    <s v="/api/v1/etapas"/>
    <s v="/api/v1/etapas/"/>
    <x v="2"/>
    <x v="234"/>
    <d v="2026-05-24T15:23:09"/>
    <d v="2026-05-24T15:23:09"/>
    <s v="::ffff:127.0.0.1"/>
    <s v="Apache-HttpClient/4.5.14 (Java/21.0.11)"/>
    <d v="2026-05-24T15:23:09"/>
  </r>
  <r>
    <s v="cmpjxfrya00ynw2rwzw0ayp9v"/>
    <x v="2"/>
    <s v="GET"/>
    <s v="/api/v1/etapas"/>
    <s v="/api/v1/etapas/"/>
    <x v="2"/>
    <x v="235"/>
    <d v="2026-05-24T15:23:09"/>
    <d v="2026-05-24T15:23:09"/>
    <s v="::ffff:127.0.0.1"/>
    <s v="Apache-HttpClient/4.5.14 (Java/21.0.11)"/>
    <d v="2026-05-24T15:23:09"/>
  </r>
  <r>
    <s v="cmpjxfrzn00z5w2rw857z63a6"/>
    <x v="2"/>
    <s v="GET"/>
    <s v="/api/v1/etapas"/>
    <s v="/api/v1/etapas/"/>
    <x v="2"/>
    <x v="236"/>
    <d v="2026-05-24T15:23:09"/>
    <d v="2026-05-24T15:23:09"/>
    <s v="::ffff:127.0.0.1"/>
    <s v="Apache-HttpClient/4.5.14 (Java/21.0.11)"/>
    <d v="2026-05-24T15:23:09"/>
  </r>
  <r>
    <s v="cmpjxfs0f00zgw2rw7rkr4lqr"/>
    <x v="2"/>
    <s v="GET"/>
    <s v="/api/v1/etapas"/>
    <s v="/api/v1/etapas/"/>
    <x v="2"/>
    <x v="237"/>
    <d v="2026-05-24T15:23:09"/>
    <d v="2026-05-24T15:23:09"/>
    <s v="::ffff:127.0.0.1"/>
    <s v="Apache-HttpClient/4.5.14 (Java/21.0.11)"/>
    <d v="2026-05-24T15:23:09"/>
  </r>
  <r>
    <s v="cmpjxfs270103w2rwfbl86ak4"/>
    <x v="2"/>
    <s v="GET"/>
    <s v="/api/v1/etapas"/>
    <s v="/api/v1/etapas/"/>
    <x v="2"/>
    <x v="238"/>
    <d v="2026-05-24T15:23:09"/>
    <d v="2026-05-24T15:23:09"/>
    <s v="::ffff:127.0.0.1"/>
    <s v="Apache-HttpClient/4.5.14 (Java/21.0.11)"/>
    <d v="2026-05-24T15:23:09"/>
  </r>
  <r>
    <s v="cmpjxfs31010gw2rwmgdrb23u"/>
    <x v="2"/>
    <s v="GET"/>
    <s v="/api/v1/etapas"/>
    <s v="/api/v1/etapas/"/>
    <x v="2"/>
    <x v="239"/>
    <d v="2026-05-24T15:23:09"/>
    <d v="2026-05-24T15:23:09"/>
    <s v="::ffff:127.0.0.1"/>
    <s v="Apache-HttpClient/4.5.14 (Java/21.0.11)"/>
    <d v="2026-05-24T15:23:09"/>
  </r>
  <r>
    <s v="cmpjxfs4e010uw2rwebva7sq2"/>
    <x v="2"/>
    <s v="GET"/>
    <s v="/api/v1/etapas"/>
    <s v="/api/v1/etapas/"/>
    <x v="2"/>
    <x v="240"/>
    <d v="2026-05-24T15:23:09"/>
    <d v="2026-05-24T15:23:09"/>
    <s v="::ffff:127.0.0.1"/>
    <s v="Apache-HttpClient/4.5.14 (Java/21.0.11)"/>
    <d v="2026-05-24T15:23:09"/>
  </r>
  <r>
    <s v="cmpjxfs5g0112w2rwop62u2su"/>
    <x v="2"/>
    <s v="GET"/>
    <s v="/api/v1/etapas"/>
    <s v="/api/v1/etapas/"/>
    <x v="2"/>
    <x v="140"/>
    <d v="2026-05-24T15:23:09"/>
    <d v="2026-05-24T15:23:10"/>
    <s v="::ffff:127.0.0.1"/>
    <s v="Apache-HttpClient/4.5.14 (Java/21.0.11)"/>
    <d v="2026-05-24T15:23:10"/>
  </r>
  <r>
    <s v="cmpjxfs5m0116w2rwlaenxek9"/>
    <x v="2"/>
    <s v="GET"/>
    <s v="/api/v1/etapas"/>
    <s v="/api/v1/etapas/"/>
    <x v="2"/>
    <x v="241"/>
    <d v="2026-05-24T15:23:09"/>
    <d v="2026-05-24T15:23:10"/>
    <s v="::ffff:127.0.0.1"/>
    <s v="Apache-HttpClient/4.5.14 (Java/21.0.11)"/>
    <d v="2026-05-24T15:23:10"/>
  </r>
  <r>
    <s v="cmpjxfs5p0118w2rwdc8kaiqq"/>
    <x v="2"/>
    <s v="GET"/>
    <s v="/api/v1/etapas"/>
    <s v="/api/v1/etapas/"/>
    <x v="2"/>
    <x v="242"/>
    <d v="2026-05-24T15:23:09"/>
    <d v="2026-05-24T15:23:10"/>
    <s v="::ffff:127.0.0.1"/>
    <s v="Apache-HttpClient/4.5.14 (Java/21.0.11)"/>
    <d v="2026-05-24T15:23:10"/>
  </r>
  <r>
    <s v="cmpjxfs5r0119w2rw39vo3wj2"/>
    <x v="2"/>
    <s v="GET"/>
    <s v="/api/v1/etapas"/>
    <s v="/api/v1/etapas/"/>
    <x v="2"/>
    <x v="243"/>
    <d v="2026-05-24T15:23:10"/>
    <d v="2026-05-24T15:23:10"/>
    <s v="::ffff:127.0.0.1"/>
    <s v="Apache-HttpClient/4.5.14 (Java/21.0.11)"/>
    <d v="2026-05-24T15:23:10"/>
  </r>
  <r>
    <s v="cmpjxfs5z011bw2rwqjbsw6hp"/>
    <x v="2"/>
    <s v="GET"/>
    <s v="/api/v1/etapas"/>
    <s v="/api/v1/etapas/"/>
    <x v="2"/>
    <x v="244"/>
    <d v="2026-05-24T15:23:10"/>
    <d v="2026-05-24T15:23:10"/>
    <s v="::ffff:127.0.0.1"/>
    <s v="Apache-HttpClient/4.5.14 (Java/21.0.11)"/>
    <d v="2026-05-24T15:23:10"/>
  </r>
  <r>
    <s v="cmpjxfs8b0122w2rw3vvhk7ps"/>
    <x v="2"/>
    <s v="GET"/>
    <s v="/api/v1/etapas"/>
    <s v="/api/v1/etapas/"/>
    <x v="2"/>
    <x v="245"/>
    <d v="2026-05-24T15:23:10"/>
    <d v="2026-05-24T15:23:10"/>
    <s v="::ffff:127.0.0.1"/>
    <s v="Apache-HttpClient/4.5.14 (Java/21.0.11)"/>
    <d v="2026-05-24T15:23:10"/>
  </r>
  <r>
    <s v="cmpjxfs8s0128w2rw3jqahx1c"/>
    <x v="2"/>
    <s v="GET"/>
    <s v="/api/v1/etapas"/>
    <s v="/api/v1/etapas/"/>
    <x v="2"/>
    <x v="246"/>
    <d v="2026-05-24T15:23:10"/>
    <d v="2026-05-24T15:23:10"/>
    <s v="::ffff:127.0.0.1"/>
    <s v="Apache-HttpClient/4.5.14 (Java/21.0.11)"/>
    <d v="2026-05-24T15:23:10"/>
  </r>
  <r>
    <s v="cmpjxfsap012yw2rwq7sdjyef"/>
    <x v="2"/>
    <s v="GET"/>
    <s v="/api/v1/etapas"/>
    <s v="/api/v1/etapas/"/>
    <x v="2"/>
    <x v="247"/>
    <d v="2026-05-24T15:23:10"/>
    <d v="2026-05-24T15:23:10"/>
    <s v="::ffff:127.0.0.1"/>
    <s v="Apache-HttpClient/4.5.14 (Java/21.0.11)"/>
    <d v="2026-05-24T15:23:10"/>
  </r>
  <r>
    <s v="cmpjxfsbp013cw2rw9ksmw9fg"/>
    <x v="2"/>
    <s v="GET"/>
    <s v="/api/v1/etapas"/>
    <s v="/api/v1/etapas/"/>
    <x v="2"/>
    <x v="248"/>
    <d v="2026-05-24T15:23:10"/>
    <d v="2026-05-24T15:23:10"/>
    <s v="::ffff:127.0.0.1"/>
    <s v="Apache-HttpClient/4.5.14 (Java/21.0.11)"/>
    <d v="2026-05-24T15:23:10"/>
  </r>
  <r>
    <s v="cmpjxfsdf013sw2rw60ub4fxf"/>
    <x v="2"/>
    <s v="GET"/>
    <s v="/api/v1/etapas"/>
    <s v="/api/v1/etapas/"/>
    <x v="2"/>
    <x v="249"/>
    <d v="2026-05-24T15:23:10"/>
    <d v="2026-05-24T15:23:10"/>
    <s v="::ffff:127.0.0.1"/>
    <s v="Apache-HttpClient/4.5.14 (Java/21.0.11)"/>
    <d v="2026-05-24T15:23:10"/>
  </r>
  <r>
    <s v="cmpjxfsdg013tw2rwegjiwj54"/>
    <x v="2"/>
    <s v="GET"/>
    <s v="/api/v1/etapas"/>
    <s v="/api/v1/etapas/"/>
    <x v="2"/>
    <x v="250"/>
    <d v="2026-05-24T15:23:10"/>
    <d v="2026-05-24T15:23:10"/>
    <s v="::ffff:127.0.0.1"/>
    <s v="Apache-HttpClient/4.5.14 (Java/21.0.11)"/>
    <d v="2026-05-24T15:23:10"/>
  </r>
  <r>
    <s v="cmpjxfsdj013uw2rwrj9yr33k"/>
    <x v="2"/>
    <s v="GET"/>
    <s v="/api/v1/etapas"/>
    <s v="/api/v1/etapas/"/>
    <x v="2"/>
    <x v="251"/>
    <d v="2026-05-24T15:23:10"/>
    <d v="2026-05-24T15:23:10"/>
    <s v="::ffff:127.0.0.1"/>
    <s v="Apache-HttpClient/4.5.14 (Java/21.0.11)"/>
    <d v="2026-05-24T15:23:10"/>
  </r>
  <r>
    <s v="cmpjxfsdk013vw2rwh0fy6niu"/>
    <x v="2"/>
    <s v="GET"/>
    <s v="/api/v1/etapas"/>
    <s v="/api/v1/etapas/"/>
    <x v="2"/>
    <x v="252"/>
    <d v="2026-05-24T15:23:10"/>
    <d v="2026-05-24T15:23:10"/>
    <s v="::ffff:127.0.0.1"/>
    <s v="Apache-HttpClient/4.5.14 (Java/21.0.11)"/>
    <d v="2026-05-24T15:23:10"/>
  </r>
  <r>
    <s v="cmpjxfsdo013yw2rwg0omkse7"/>
    <x v="2"/>
    <s v="GET"/>
    <s v="/api/v1/etapas"/>
    <s v="/api/v1/etapas/"/>
    <x v="2"/>
    <x v="253"/>
    <d v="2026-05-24T15:23:10"/>
    <d v="2026-05-24T15:23:10"/>
    <s v="::ffff:127.0.0.1"/>
    <s v="Apache-HttpClient/4.5.14 (Java/21.0.11)"/>
    <d v="2026-05-24T15:23:10"/>
  </r>
  <r>
    <s v="cmpjxfsed0149w2rwfjn1z7ff"/>
    <x v="2"/>
    <s v="GET"/>
    <s v="/api/v1/etapas"/>
    <s v="/api/v1/etapas/"/>
    <x v="2"/>
    <x v="254"/>
    <d v="2026-05-24T15:23:10"/>
    <d v="2026-05-24T15:23:10"/>
    <s v="::ffff:127.0.0.1"/>
    <s v="Apache-HttpClient/4.5.14 (Java/21.0.11)"/>
    <d v="2026-05-24T15:23:10"/>
  </r>
  <r>
    <s v="cmpjxfsfm014rw2rwcwhyo5kv"/>
    <x v="2"/>
    <s v="GET"/>
    <s v="/api/v1/etapas"/>
    <s v="/api/v1/etapas/"/>
    <x v="2"/>
    <x v="255"/>
    <d v="2026-05-24T15:23:10"/>
    <d v="2026-05-24T15:23:10"/>
    <s v="::ffff:127.0.0.1"/>
    <s v="Apache-HttpClient/4.5.14 (Java/21.0.11)"/>
    <d v="2026-05-24T15:23:10"/>
  </r>
  <r>
    <s v="cmpjxfsgc0151w2rw3hve5k9j"/>
    <x v="2"/>
    <s v="GET"/>
    <s v="/api/v1/etapas"/>
    <s v="/api/v1/etapas/"/>
    <x v="2"/>
    <x v="256"/>
    <d v="2026-05-24T15:23:10"/>
    <d v="2026-05-24T15:23:10"/>
    <s v="::ffff:127.0.0.1"/>
    <s v="Apache-HttpClient/4.5.14 (Java/21.0.11)"/>
    <d v="2026-05-24T15:23:10"/>
  </r>
  <r>
    <s v="cmpjxfshx015pw2rw9zovv1pl"/>
    <x v="2"/>
    <s v="GET"/>
    <s v="/api/v1/etapas"/>
    <s v="/api/v1/etapas/"/>
    <x v="2"/>
    <x v="257"/>
    <d v="2026-05-24T15:23:10"/>
    <d v="2026-05-24T15:23:10"/>
    <s v="::ffff:127.0.0.1"/>
    <s v="Apache-HttpClient/4.5.14 (Java/21.0.11)"/>
    <d v="2026-05-24T15:23:10"/>
  </r>
  <r>
    <s v="cmpjxfsj70164w2rwsgj0rhau"/>
    <x v="2"/>
    <s v="GET"/>
    <s v="/api/v1/etapas"/>
    <s v="/api/v1/etapas/"/>
    <x v="2"/>
    <x v="258"/>
    <d v="2026-05-24T15:23:10"/>
    <d v="2026-05-24T15:23:10"/>
    <s v="::ffff:127.0.0.1"/>
    <s v="Apache-HttpClient/4.5.14 (Java/21.0.11)"/>
    <d v="2026-05-24T15:23:10"/>
  </r>
  <r>
    <s v="cmpjxfskg016gw2rwk7u9q0ih"/>
    <x v="2"/>
    <s v="GET"/>
    <s v="/api/v1/etapas"/>
    <s v="/api/v1/etapas/"/>
    <x v="2"/>
    <x v="259"/>
    <d v="2026-05-24T15:23:10"/>
    <d v="2026-05-24T15:23:10"/>
    <s v="::ffff:127.0.0.1"/>
    <s v="Apache-HttpClient/4.5.14 (Java/21.0.11)"/>
    <d v="2026-05-24T15:23:10"/>
  </r>
  <r>
    <s v="cmpjxfskk016iw2rwr7y214wz"/>
    <x v="2"/>
    <s v="GET"/>
    <s v="/api/v1/etapas"/>
    <s v="/api/v1/etapas/"/>
    <x v="2"/>
    <x v="260"/>
    <d v="2026-05-24T15:23:10"/>
    <d v="2026-05-24T15:23:10"/>
    <s v="::ffff:127.0.0.1"/>
    <s v="Apache-HttpClient/4.5.14 (Java/21.0.11)"/>
    <d v="2026-05-24T15:23:10"/>
  </r>
  <r>
    <s v="cmpjxfskq016lw2rwttiqudki"/>
    <x v="2"/>
    <s v="GET"/>
    <s v="/api/v1/etapas"/>
    <s v="/api/v1/etapas/"/>
    <x v="2"/>
    <x v="31"/>
    <d v="2026-05-24T15:23:10"/>
    <d v="2026-05-24T15:23:10"/>
    <s v="::ffff:127.0.0.1"/>
    <s v="Apache-HttpClient/4.5.14 (Java/21.0.11)"/>
    <d v="2026-05-24T15:23:10"/>
  </r>
  <r>
    <s v="cmpjxfsks016mw2rwxs0kioja"/>
    <x v="2"/>
    <s v="GET"/>
    <s v="/api/v1/etapas"/>
    <s v="/api/v1/etapas/"/>
    <x v="2"/>
    <x v="261"/>
    <d v="2026-05-24T15:23:10"/>
    <d v="2026-05-24T15:23:10"/>
    <s v="::ffff:127.0.0.1"/>
    <s v="Apache-HttpClient/4.5.14 (Java/21.0.11)"/>
    <d v="2026-05-24T15:23:10"/>
  </r>
  <r>
    <s v="cmpjxfslo016zw2rwtszblvn5"/>
    <x v="2"/>
    <s v="GET"/>
    <s v="/api/v1/etapas"/>
    <s v="/api/v1/etapas/"/>
    <x v="2"/>
    <x v="262"/>
    <d v="2026-05-24T15:23:10"/>
    <d v="2026-05-24T15:23:10"/>
    <s v="::ffff:127.0.0.1"/>
    <s v="Apache-HttpClient/4.5.14 (Java/21.0.11)"/>
    <d v="2026-05-24T15:23:10"/>
  </r>
  <r>
    <s v="cmpjxfsn6017iw2rw5pcglyg3"/>
    <x v="2"/>
    <s v="GET"/>
    <s v="/api/v1/etapas"/>
    <s v="/api/v1/etapas/"/>
    <x v="2"/>
    <x v="263"/>
    <d v="2026-05-24T15:23:10"/>
    <d v="2026-05-24T15:23:10"/>
    <s v="::ffff:127.0.0.1"/>
    <s v="Apache-HttpClient/4.5.14 (Java/21.0.11)"/>
    <d v="2026-05-24T15:23:10"/>
  </r>
  <r>
    <s v="cmpjxfsnm017nw2rw7ogg7g0h"/>
    <x v="2"/>
    <s v="GET"/>
    <s v="/api/v1/etapas"/>
    <s v="/api/v1/etapas/"/>
    <x v="2"/>
    <x v="264"/>
    <d v="2026-05-24T15:23:10"/>
    <d v="2026-05-24T15:23:10"/>
    <s v="::ffff:127.0.0.1"/>
    <s v="Apache-HttpClient/4.5.14 (Java/21.0.11)"/>
    <d v="2026-05-24T15:23:10"/>
  </r>
  <r>
    <s v="cmpjxfsp9018dw2rwfp6a6x4c"/>
    <x v="2"/>
    <s v="GET"/>
    <s v="/api/v1/etapas"/>
    <s v="/api/v1/etapas/"/>
    <x v="2"/>
    <x v="265"/>
    <d v="2026-05-24T15:23:10"/>
    <d v="2026-05-24T15:23:10"/>
    <s v="::ffff:127.0.0.1"/>
    <s v="Apache-HttpClient/4.5.14 (Java/21.0.11)"/>
    <d v="2026-05-24T15:23:10"/>
  </r>
  <r>
    <s v="cmpjxfsqg018qw2rwhkeojuq6"/>
    <x v="2"/>
    <s v="GET"/>
    <s v="/api/v1/etapas"/>
    <s v="/api/v1/etapas/"/>
    <x v="2"/>
    <x v="266"/>
    <d v="2026-05-24T15:23:10"/>
    <d v="2026-05-24T15:23:10"/>
    <s v="::ffff:127.0.0.1"/>
    <s v="Apache-HttpClient/4.5.14 (Java/21.0.11)"/>
    <d v="2026-05-24T15:23:10"/>
  </r>
  <r>
    <s v="cmpjxfsqv018tw2rw2taml1ow"/>
    <x v="2"/>
    <s v="GET"/>
    <s v="/api/v1/etapas"/>
    <s v="/api/v1/etapas/"/>
    <x v="2"/>
    <x v="267"/>
    <d v="2026-05-24T15:23:10"/>
    <d v="2026-05-24T15:23:10"/>
    <s v="::ffff:127.0.0.1"/>
    <s v="Apache-HttpClient/4.5.14 (Java/21.0.11)"/>
    <d v="2026-05-24T15:23:10"/>
  </r>
  <r>
    <s v="cmpjxfsrb018zw2rwa4cevybk"/>
    <x v="2"/>
    <s v="GET"/>
    <s v="/api/v1/etapas"/>
    <s v="/api/v1/etapas/"/>
    <x v="2"/>
    <x v="268"/>
    <d v="2026-05-24T15:23:10"/>
    <d v="2026-05-24T15:23:10"/>
    <s v="::ffff:127.0.0.1"/>
    <s v="Apache-HttpClient/4.5.14 (Java/21.0.11)"/>
    <d v="2026-05-24T15:23:10"/>
  </r>
  <r>
    <s v="cmpjxfsrf0191w2rwfgg6rzpi"/>
    <x v="2"/>
    <s v="GET"/>
    <s v="/api/v1/etapas"/>
    <s v="/api/v1/etapas/"/>
    <x v="2"/>
    <x v="269"/>
    <d v="2026-05-24T15:23:10"/>
    <d v="2026-05-24T15:23:10"/>
    <s v="::ffff:127.0.0.1"/>
    <s v="Apache-HttpClient/4.5.14 (Java/21.0.11)"/>
    <d v="2026-05-24T15:23:10"/>
  </r>
  <r>
    <s v="cmpjxfssb019ew2rw229m6ivu"/>
    <x v="2"/>
    <s v="GET"/>
    <s v="/api/v1/etapas"/>
    <s v="/api/v1/etapas/"/>
    <x v="2"/>
    <x v="270"/>
    <d v="2026-05-24T15:23:10"/>
    <d v="2026-05-24T15:23:10"/>
    <s v="::ffff:127.0.0.1"/>
    <s v="Apache-HttpClient/4.5.14 (Java/21.0.11)"/>
    <d v="2026-05-24T15:23:10"/>
  </r>
  <r>
    <s v="cmpjxfst7019qw2rw4plnblba"/>
    <x v="2"/>
    <s v="GET"/>
    <s v="/api/v1/etapas"/>
    <s v="/api/v1/etapas/"/>
    <x v="2"/>
    <x v="271"/>
    <d v="2026-05-24T15:23:10"/>
    <d v="2026-05-24T15:23:10"/>
    <s v="::ffff:127.0.0.1"/>
    <s v="Apache-HttpClient/4.5.14 (Java/21.0.11)"/>
    <d v="2026-05-24T15:23:10"/>
  </r>
  <r>
    <s v="cmpjxfsu101a1w2rwhd9dzzcf"/>
    <x v="2"/>
    <s v="GET"/>
    <s v="/api/v1/etapas"/>
    <s v="/api/v1/etapas/"/>
    <x v="2"/>
    <x v="272"/>
    <d v="2026-05-24T15:23:10"/>
    <d v="2026-05-24T15:23:10"/>
    <s v="::ffff:127.0.0.1"/>
    <s v="Apache-HttpClient/4.5.14 (Java/21.0.11)"/>
    <d v="2026-05-24T15:23:10"/>
  </r>
  <r>
    <s v="cmpjxfsvi01anw2rw1xtrronk"/>
    <x v="2"/>
    <s v="GET"/>
    <s v="/api/v1/etapas"/>
    <s v="/api/v1/etapas/"/>
    <x v="2"/>
    <x v="273"/>
    <d v="2026-05-24T15:23:10"/>
    <d v="2026-05-24T15:23:10"/>
    <s v="::ffff:127.0.0.1"/>
    <s v="Apache-HttpClient/4.5.14 (Java/21.0.11)"/>
    <d v="2026-05-24T15:23:10"/>
  </r>
  <r>
    <s v="cmpjxfswe01aww2rw2lxxqr68"/>
    <x v="2"/>
    <s v="GET"/>
    <s v="/api/v1/etapas"/>
    <s v="/api/v1/etapas/"/>
    <x v="2"/>
    <x v="274"/>
    <d v="2026-05-24T15:23:10"/>
    <d v="2026-05-24T15:23:10"/>
    <s v="::ffff:127.0.0.1"/>
    <s v="Apache-HttpClient/4.5.14 (Java/21.0.11)"/>
    <d v="2026-05-24T15:23:10"/>
  </r>
  <r>
    <s v="cmpjxfswt01b0w2rw543oxodp"/>
    <x v="2"/>
    <s v="GET"/>
    <s v="/api/v1/etapas"/>
    <s v="/api/v1/etapas/"/>
    <x v="2"/>
    <x v="24"/>
    <d v="2026-05-24T15:23:10"/>
    <d v="2026-05-24T15:23:10"/>
    <s v="::ffff:127.0.0.1"/>
    <s v="Apache-HttpClient/4.5.14 (Java/21.0.11)"/>
    <d v="2026-05-24T15:23:10"/>
  </r>
  <r>
    <s v="cmpjxfsx501b3w2rwo2mh8r7g"/>
    <x v="2"/>
    <s v="GET"/>
    <s v="/api/v1/etapas"/>
    <s v="/api/v1/etapas/"/>
    <x v="2"/>
    <x v="275"/>
    <d v="2026-05-24T15:23:10"/>
    <d v="2026-05-24T15:23:11"/>
    <s v="::ffff:127.0.0.1"/>
    <s v="Apache-HttpClient/4.5.14 (Java/21.0.11)"/>
    <d v="2026-05-24T15:23:11"/>
  </r>
  <r>
    <s v="cmpjxfsxj01baw2rw747k4nlj"/>
    <x v="2"/>
    <s v="GET"/>
    <s v="/api/v1/etapas"/>
    <s v="/api/v1/etapas/"/>
    <x v="2"/>
    <x v="34"/>
    <d v="2026-05-24T15:23:11"/>
    <d v="2026-05-24T15:23:11"/>
    <s v="::ffff:127.0.0.1"/>
    <s v="Apache-HttpClient/4.5.14 (Java/21.0.11)"/>
    <d v="2026-05-24T15:23:11"/>
  </r>
  <r>
    <s v="cmpjxfsyg01bnw2rwz6ewmjdy"/>
    <x v="2"/>
    <s v="GET"/>
    <s v="/api/v1/etapas"/>
    <s v="/api/v1/etapas/"/>
    <x v="2"/>
    <x v="276"/>
    <d v="2026-05-24T15:23:11"/>
    <d v="2026-05-24T15:23:11"/>
    <s v="::ffff:127.0.0.1"/>
    <s v="Apache-HttpClient/4.5.14 (Java/21.0.11)"/>
    <d v="2026-05-24T15:23:11"/>
  </r>
  <r>
    <s v="cmpjxft0601caw2rw3nrsnc8p"/>
    <x v="2"/>
    <s v="GET"/>
    <s v="/api/v1/etapas"/>
    <s v="/api/v1/etapas/"/>
    <x v="2"/>
    <x v="277"/>
    <d v="2026-05-24T15:23:11"/>
    <d v="2026-05-24T15:23:11"/>
    <s v="::ffff:127.0.0.1"/>
    <s v="Apache-HttpClient/4.5.14 (Java/21.0.11)"/>
    <d v="2026-05-24T15:23:11"/>
  </r>
  <r>
    <s v="cmpjxft1k01crw2rwesqge5gs"/>
    <x v="2"/>
    <s v="GET"/>
    <s v="/api/v1/etapas"/>
    <s v="/api/v1/etapas/"/>
    <x v="2"/>
    <x v="278"/>
    <d v="2026-05-24T15:23:11"/>
    <d v="2026-05-24T15:23:11"/>
    <s v="::ffff:127.0.0.1"/>
    <s v="Apache-HttpClient/4.5.14 (Java/21.0.11)"/>
    <d v="2026-05-24T15:23:11"/>
  </r>
  <r>
    <s v="cmpjxft2601cyw2rwbjcu5ult"/>
    <x v="2"/>
    <s v="GET"/>
    <s v="/api/v1/etapas"/>
    <s v="/api/v1/etapas/"/>
    <x v="2"/>
    <x v="263"/>
    <d v="2026-05-24T15:23:11"/>
    <d v="2026-05-24T15:23:11"/>
    <s v="::ffff:127.0.0.1"/>
    <s v="Apache-HttpClient/4.5.14 (Java/21.0.11)"/>
    <d v="2026-05-24T15:23:11"/>
  </r>
  <r>
    <s v="cmpjxft2a01d0w2rwdxtghk3s"/>
    <x v="2"/>
    <s v="GET"/>
    <s v="/api/v1/etapas"/>
    <s v="/api/v1/etapas/"/>
    <x v="2"/>
    <x v="279"/>
    <d v="2026-05-24T15:23:11"/>
    <d v="2026-05-24T15:23:11"/>
    <s v="::ffff:127.0.0.1"/>
    <s v="Apache-HttpClient/4.5.14 (Java/21.0.11)"/>
    <d v="2026-05-24T15:23:11"/>
  </r>
  <r>
    <s v="cmpjxft2j01d3w2rwfss83ee5"/>
    <x v="2"/>
    <s v="GET"/>
    <s v="/api/v1/etapas"/>
    <s v="/api/v1/etapas/"/>
    <x v="2"/>
    <x v="280"/>
    <d v="2026-05-24T15:23:11"/>
    <d v="2026-05-24T15:23:11"/>
    <s v="::ffff:127.0.0.1"/>
    <s v="Apache-HttpClient/4.5.14 (Java/21.0.11)"/>
    <d v="2026-05-24T15:23:11"/>
  </r>
  <r>
    <s v="cmpjxft3p01djw2rw45kkzbbv"/>
    <x v="2"/>
    <s v="GET"/>
    <s v="/api/v1/etapas"/>
    <s v="/api/v1/etapas/"/>
    <x v="2"/>
    <x v="259"/>
    <d v="2026-05-24T15:23:11"/>
    <d v="2026-05-24T15:23:11"/>
    <s v="::ffff:127.0.0.1"/>
    <s v="Apache-HttpClient/4.5.14 (Java/21.0.11)"/>
    <d v="2026-05-24T15:23:11"/>
  </r>
  <r>
    <s v="cmpjxft5c01e3w2rwr2i46pes"/>
    <x v="2"/>
    <s v="GET"/>
    <s v="/api/v1/etapas"/>
    <s v="/api/v1/etapas/"/>
    <x v="2"/>
    <x v="281"/>
    <d v="2026-05-24T15:23:11"/>
    <d v="2026-05-24T15:23:11"/>
    <s v="::ffff:127.0.0.1"/>
    <s v="Apache-HttpClient/4.5.14 (Java/21.0.11)"/>
    <d v="2026-05-24T15:23:11"/>
  </r>
  <r>
    <s v="cmpjxft6f01ehw2rwdf8j7ry4"/>
    <x v="2"/>
    <s v="GET"/>
    <s v="/api/v1/etapas"/>
    <s v="/api/v1/etapas/"/>
    <x v="2"/>
    <x v="282"/>
    <d v="2026-05-24T15:23:11"/>
    <d v="2026-05-24T15:23:11"/>
    <s v="::ffff:127.0.0.1"/>
    <s v="Apache-HttpClient/4.5.14 (Java/21.0.11)"/>
    <d v="2026-05-24T15:23:11"/>
  </r>
  <r>
    <s v="cmpjxft6s01elw2rwt4x9m97k"/>
    <x v="2"/>
    <s v="GET"/>
    <s v="/api/v1/etapas"/>
    <s v="/api/v1/etapas/"/>
    <x v="2"/>
    <x v="283"/>
    <d v="2026-05-24T15:23:11"/>
    <d v="2026-05-24T15:23:11"/>
    <s v="::ffff:127.0.0.1"/>
    <s v="Apache-HttpClient/4.5.14 (Java/21.0.11)"/>
    <d v="2026-05-24T15:23:11"/>
  </r>
  <r>
    <s v="cmpjxft6z01enw2rwautlq8zz"/>
    <x v="2"/>
    <s v="GET"/>
    <s v="/api/v1/etapas"/>
    <s v="/api/v1/etapas/"/>
    <x v="2"/>
    <x v="284"/>
    <d v="2026-05-24T15:23:11"/>
    <d v="2026-05-24T15:23:11"/>
    <s v="::ffff:127.0.0.1"/>
    <s v="Apache-HttpClient/4.5.14 (Java/21.0.11)"/>
    <d v="2026-05-24T15:23:11"/>
  </r>
  <r>
    <s v="cmpjxft8001f2w2rwt8t7iany"/>
    <x v="2"/>
    <s v="GET"/>
    <s v="/api/v1/etapas"/>
    <s v="/api/v1/etapas/"/>
    <x v="2"/>
    <x v="285"/>
    <d v="2026-05-24T15:23:11"/>
    <d v="2026-05-24T15:23:11"/>
    <s v="::ffff:127.0.0.1"/>
    <s v="Apache-HttpClient/4.5.14 (Java/21.0.11)"/>
    <d v="2026-05-24T15:23:11"/>
  </r>
  <r>
    <s v="cmpjxft9a01fjw2rw83fmrbvv"/>
    <x v="2"/>
    <s v="GET"/>
    <s v="/api/v1/etapas"/>
    <s v="/api/v1/etapas/"/>
    <x v="2"/>
    <x v="286"/>
    <d v="2026-05-24T15:23:11"/>
    <d v="2026-05-24T15:23:11"/>
    <s v="::ffff:127.0.0.1"/>
    <s v="Apache-HttpClient/4.5.14 (Java/21.0.11)"/>
    <d v="2026-05-24T15:23:11"/>
  </r>
  <r>
    <s v="cmpjxfta901fvw2rwf74t9tzf"/>
    <x v="2"/>
    <s v="GET"/>
    <s v="/api/v1/etapas"/>
    <s v="/api/v1/etapas/"/>
    <x v="2"/>
    <x v="287"/>
    <d v="2026-05-24T15:23:11"/>
    <d v="2026-05-24T15:23:11"/>
    <s v="::ffff:127.0.0.1"/>
    <s v="Apache-HttpClient/4.5.14 (Java/21.0.11)"/>
    <d v="2026-05-24T15:23:11"/>
  </r>
  <r>
    <s v="cmpjxftb301g6w2rwyv68y1pc"/>
    <x v="2"/>
    <s v="GET"/>
    <s v="/api/v1/etapas"/>
    <s v="/api/v1/etapas/"/>
    <x v="2"/>
    <x v="288"/>
    <d v="2026-05-24T15:23:11"/>
    <d v="2026-05-24T15:23:11"/>
    <s v="::ffff:127.0.0.1"/>
    <s v="Apache-HttpClient/4.5.14 (Java/21.0.11)"/>
    <d v="2026-05-24T15:23:11"/>
  </r>
  <r>
    <s v="cmpjxftbv01ggw2rwxb9rb3cj"/>
    <x v="2"/>
    <s v="GET"/>
    <s v="/api/v1/etapas"/>
    <s v="/api/v1/etapas/"/>
    <x v="2"/>
    <x v="289"/>
    <d v="2026-05-24T15:23:11"/>
    <d v="2026-05-24T15:23:11"/>
    <s v="::ffff:127.0.0.1"/>
    <s v="Apache-HttpClient/4.5.14 (Java/21.0.11)"/>
    <d v="2026-05-24T15:23:11"/>
  </r>
  <r>
    <s v="cmpjxfr2c00p4w2rwarye0782"/>
    <x v="3"/>
    <s v="GET"/>
    <s v="/api/v1/funcionarios"/>
    <s v="/api/v1/funcionarios/"/>
    <x v="2"/>
    <x v="290"/>
    <d v="2026-05-24T15:23:08"/>
    <d v="2026-05-24T15:23:08"/>
    <s v="::ffff:127.0.0.1"/>
    <s v="Apache-HttpClient/4.5.14 (Java/21.0.11)"/>
    <d v="2026-05-24T15:23:08"/>
  </r>
  <r>
    <s v="cmpjxfr4l00pfw2rw8wjuqn9b"/>
    <x v="3"/>
    <s v="GET"/>
    <s v="/api/v1/funcionarios"/>
    <s v="/api/v1/funcionarios/"/>
    <x v="2"/>
    <x v="291"/>
    <d v="2026-05-24T15:23:08"/>
    <d v="2026-05-24T15:23:08"/>
    <s v="::ffff:127.0.0.1"/>
    <s v="Apache-HttpClient/4.5.14 (Java/21.0.11)"/>
    <d v="2026-05-24T15:23:08"/>
  </r>
  <r>
    <s v="cmpjxfr4v00piw2rwucfwti73"/>
    <x v="3"/>
    <s v="GET"/>
    <s v="/api/v1/funcionarios"/>
    <s v="/api/v1/funcionarios/"/>
    <x v="2"/>
    <x v="292"/>
    <d v="2026-05-24T15:23:08"/>
    <d v="2026-05-24T15:23:08"/>
    <s v="::ffff:127.0.0.1"/>
    <s v="Apache-HttpClient/4.5.14 (Java/21.0.11)"/>
    <d v="2026-05-24T15:23:08"/>
  </r>
  <r>
    <s v="cmpjxfr6s00q0w2rwbd2j43h9"/>
    <x v="3"/>
    <s v="GET"/>
    <s v="/api/v1/funcionarios"/>
    <s v="/api/v1/funcionarios/"/>
    <x v="2"/>
    <x v="293"/>
    <d v="2026-05-24T15:23:08"/>
    <d v="2026-05-24T15:23:08"/>
    <s v="::ffff:127.0.0.1"/>
    <s v="Apache-HttpClient/4.5.14 (Java/21.0.11)"/>
    <d v="2026-05-24T15:23:08"/>
  </r>
  <r>
    <s v="cmpjxfr6v00q1w2rwe1sso89x"/>
    <x v="3"/>
    <s v="GET"/>
    <s v="/api/v1/funcionarios"/>
    <s v="/api/v1/funcionarios/"/>
    <x v="2"/>
    <x v="294"/>
    <d v="2026-05-24T15:23:08"/>
    <d v="2026-05-24T15:23:08"/>
    <s v="::ffff:127.0.0.1"/>
    <s v="Apache-HttpClient/4.5.14 (Java/21.0.11)"/>
    <d v="2026-05-24T15:23:08"/>
  </r>
  <r>
    <s v="cmpjxfr7t00qbw2rw5tt8mkb1"/>
    <x v="3"/>
    <s v="GET"/>
    <s v="/api/v1/funcionarios"/>
    <s v="/api/v1/funcionarios/"/>
    <x v="2"/>
    <x v="295"/>
    <d v="2026-05-24T15:23:08"/>
    <d v="2026-05-24T15:23:08"/>
    <s v="::ffff:127.0.0.1"/>
    <s v="Apache-HttpClient/4.5.14 (Java/21.0.11)"/>
    <d v="2026-05-24T15:23:08"/>
  </r>
  <r>
    <s v="cmpjxfr9c00qqw2rwari8x77b"/>
    <x v="3"/>
    <s v="GET"/>
    <s v="/api/v1/funcionarios"/>
    <s v="/api/v1/funcionarios/"/>
    <x v="2"/>
    <x v="296"/>
    <d v="2026-05-24T15:23:08"/>
    <d v="2026-05-24T15:23:08"/>
    <s v="::ffff:127.0.0.1"/>
    <s v="Apache-HttpClient/4.5.14 (Java/21.0.11)"/>
    <d v="2026-05-24T15:23:08"/>
  </r>
  <r>
    <s v="cmpjxfr9q00qvw2rw05k98p7c"/>
    <x v="3"/>
    <s v="GET"/>
    <s v="/api/v1/funcionarios"/>
    <s v="/api/v1/funcionarios/"/>
    <x v="2"/>
    <x v="297"/>
    <d v="2026-05-24T15:23:08"/>
    <d v="2026-05-24T15:23:08"/>
    <s v="::ffff:127.0.0.1"/>
    <s v="Apache-HttpClient/4.5.14 (Java/21.0.11)"/>
    <d v="2026-05-24T15:23:08"/>
  </r>
  <r>
    <s v="cmpjxfrar00r6w2rws1co1uen"/>
    <x v="3"/>
    <s v="GET"/>
    <s v="/api/v1/funcionarios"/>
    <s v="/api/v1/funcionarios/"/>
    <x v="2"/>
    <x v="298"/>
    <d v="2026-05-24T15:23:08"/>
    <d v="2026-05-24T15:23:08"/>
    <s v="::ffff:127.0.0.1"/>
    <s v="Apache-HttpClient/4.5.14 (Java/21.0.11)"/>
    <d v="2026-05-24T15:23:08"/>
  </r>
  <r>
    <s v="cmpjxfraz00r9w2rw931z0m00"/>
    <x v="3"/>
    <s v="GET"/>
    <s v="/api/v1/funcionarios"/>
    <s v="/api/v1/funcionarios/"/>
    <x v="2"/>
    <x v="299"/>
    <d v="2026-05-24T15:23:08"/>
    <d v="2026-05-24T15:23:08"/>
    <s v="::ffff:127.0.0.1"/>
    <s v="Apache-HttpClient/4.5.14 (Java/21.0.11)"/>
    <d v="2026-05-24T15:23:08"/>
  </r>
  <r>
    <s v="cmpjxfrcr00rtw2rwelmga6zz"/>
    <x v="3"/>
    <s v="GET"/>
    <s v="/api/v1/funcionarios"/>
    <s v="/api/v1/funcionarios/"/>
    <x v="2"/>
    <x v="300"/>
    <d v="2026-05-24T15:23:08"/>
    <d v="2026-05-24T15:23:08"/>
    <s v="::ffff:127.0.0.1"/>
    <s v="Apache-HttpClient/4.5.14 (Java/21.0.11)"/>
    <d v="2026-05-24T15:23:08"/>
  </r>
  <r>
    <s v="cmpjxfrde00s0w2rwtgzsp8cn"/>
    <x v="3"/>
    <s v="GET"/>
    <s v="/api/v1/funcionarios"/>
    <s v="/api/v1/funcionarios/"/>
    <x v="2"/>
    <x v="301"/>
    <d v="2026-05-24T15:23:08"/>
    <d v="2026-05-24T15:23:08"/>
    <s v="::ffff:127.0.0.1"/>
    <s v="Apache-HttpClient/4.5.14 (Java/21.0.11)"/>
    <d v="2026-05-24T15:23:08"/>
  </r>
  <r>
    <s v="cmpjxfre700s8w2rw80cws3qd"/>
    <x v="3"/>
    <s v="GET"/>
    <s v="/api/v1/funcionarios"/>
    <s v="/api/v1/funcionarios/"/>
    <x v="2"/>
    <x v="302"/>
    <d v="2026-05-24T15:23:09"/>
    <d v="2026-05-24T15:23:09"/>
    <s v="::ffff:127.0.0.1"/>
    <s v="Apache-HttpClient/4.5.14 (Java/21.0.11)"/>
    <d v="2026-05-24T15:23:09"/>
  </r>
  <r>
    <s v="cmpjxfreo00sew2rwminrnfvq"/>
    <x v="3"/>
    <s v="GET"/>
    <s v="/api/v1/funcionarios"/>
    <s v="/api/v1/funcionarios/"/>
    <x v="2"/>
    <x v="303"/>
    <d v="2026-05-24T15:23:09"/>
    <d v="2026-05-24T15:23:09"/>
    <s v="::ffff:127.0.0.1"/>
    <s v="Apache-HttpClient/4.5.14 (Java/21.0.11)"/>
    <d v="2026-05-24T15:23:09"/>
  </r>
  <r>
    <s v="cmpjxfret00sgw2rw96kdh58c"/>
    <x v="3"/>
    <s v="GET"/>
    <s v="/api/v1/funcionarios"/>
    <s v="/api/v1/funcionarios/"/>
    <x v="2"/>
    <x v="304"/>
    <d v="2026-05-24T15:23:09"/>
    <d v="2026-05-24T15:23:09"/>
    <s v="::ffff:127.0.0.1"/>
    <s v="Apache-HttpClient/4.5.14 (Java/21.0.11)"/>
    <d v="2026-05-24T15:23:09"/>
  </r>
  <r>
    <s v="cmpjxfrgu00t3w2rwsr426eav"/>
    <x v="3"/>
    <s v="GET"/>
    <s v="/api/v1/funcionarios"/>
    <s v="/api/v1/funcionarios/"/>
    <x v="2"/>
    <x v="305"/>
    <d v="2026-05-24T15:23:09"/>
    <d v="2026-05-24T15:23:09"/>
    <s v="::ffff:127.0.0.1"/>
    <s v="Apache-HttpClient/4.5.14 (Java/21.0.11)"/>
    <d v="2026-05-24T15:23:09"/>
  </r>
  <r>
    <s v="cmpjxfrhn00tdw2rwf2cpg3th"/>
    <x v="3"/>
    <s v="GET"/>
    <s v="/api/v1/funcionarios"/>
    <s v="/api/v1/funcionarios/"/>
    <x v="2"/>
    <x v="306"/>
    <d v="2026-05-24T15:23:09"/>
    <d v="2026-05-24T15:23:09"/>
    <s v="::ffff:127.0.0.1"/>
    <s v="Apache-HttpClient/4.5.14 (Java/21.0.11)"/>
    <d v="2026-05-24T15:23:09"/>
  </r>
  <r>
    <s v="cmpjxfria00tkw2rwxxspradv"/>
    <x v="3"/>
    <s v="GET"/>
    <s v="/api/v1/funcionarios"/>
    <s v="/api/v1/funcionarios/"/>
    <x v="2"/>
    <x v="70"/>
    <d v="2026-05-24T15:23:09"/>
    <d v="2026-05-24T15:23:09"/>
    <s v="::ffff:127.0.0.1"/>
    <s v="Apache-HttpClient/4.5.14 (Java/21.0.11)"/>
    <d v="2026-05-24T15:23:09"/>
  </r>
  <r>
    <s v="cmpjxfrjo00tuw2rwaq16fmzt"/>
    <x v="3"/>
    <s v="GET"/>
    <s v="/api/v1/funcionarios"/>
    <s v="/api/v1/funcionarios/"/>
    <x v="2"/>
    <x v="223"/>
    <d v="2026-05-24T15:23:09"/>
    <d v="2026-05-24T15:23:09"/>
    <s v="::ffff:127.0.0.1"/>
    <s v="Apache-HttpClient/4.5.14 (Java/21.0.11)"/>
    <d v="2026-05-24T15:23:09"/>
  </r>
  <r>
    <s v="cmpjxfrjz00tzw2rw107ltefj"/>
    <x v="3"/>
    <s v="GET"/>
    <s v="/api/v1/funcionarios"/>
    <s v="/api/v1/funcionarios/"/>
    <x v="2"/>
    <x v="307"/>
    <d v="2026-05-24T15:23:09"/>
    <d v="2026-05-24T15:23:09"/>
    <s v="::ffff:127.0.0.1"/>
    <s v="Apache-HttpClient/4.5.14 (Java/21.0.11)"/>
    <d v="2026-05-24T15:23:09"/>
  </r>
  <r>
    <s v="cmpjxfrk700u2w2rww0ay9key"/>
    <x v="3"/>
    <s v="GET"/>
    <s v="/api/v1/funcionarios"/>
    <s v="/api/v1/funcionarios/"/>
    <x v="2"/>
    <x v="308"/>
    <d v="2026-05-24T15:23:09"/>
    <d v="2026-05-24T15:23:09"/>
    <s v="::ffff:127.0.0.1"/>
    <s v="Apache-HttpClient/4.5.14 (Java/21.0.11)"/>
    <d v="2026-05-24T15:23:09"/>
  </r>
  <r>
    <s v="cmpjxfrk800u3w2rwth0matnb"/>
    <x v="3"/>
    <s v="GET"/>
    <s v="/api/v1/funcionarios"/>
    <s v="/api/v1/funcionarios/"/>
    <x v="2"/>
    <x v="309"/>
    <d v="2026-05-24T15:23:09"/>
    <d v="2026-05-24T15:23:09"/>
    <s v="::ffff:127.0.0.1"/>
    <s v="Apache-HttpClient/4.5.14 (Java/21.0.11)"/>
    <d v="2026-05-24T15:23:09"/>
  </r>
  <r>
    <s v="cmpjxfrmi00uxw2rw03yq8hov"/>
    <x v="3"/>
    <s v="GET"/>
    <s v="/api/v1/funcionarios"/>
    <s v="/api/v1/funcionarios/"/>
    <x v="2"/>
    <x v="200"/>
    <d v="2026-05-24T15:23:09"/>
    <d v="2026-05-24T15:23:09"/>
    <s v="::ffff:127.0.0.1"/>
    <s v="Apache-HttpClient/4.5.14 (Java/21.0.11)"/>
    <d v="2026-05-24T15:23:09"/>
  </r>
  <r>
    <s v="cmpjxfrn900v7w2rw8nu5hhx3"/>
    <x v="3"/>
    <s v="GET"/>
    <s v="/api/v1/funcionarios"/>
    <s v="/api/v1/funcionarios/"/>
    <x v="2"/>
    <x v="310"/>
    <d v="2026-05-24T15:23:09"/>
    <d v="2026-05-24T15:23:09"/>
    <s v="::ffff:127.0.0.1"/>
    <s v="Apache-HttpClient/4.5.14 (Java/21.0.11)"/>
    <d v="2026-05-24T15:23:09"/>
  </r>
  <r>
    <s v="cmpjxfrog00vjw2rwob2bqow2"/>
    <x v="3"/>
    <s v="GET"/>
    <s v="/api/v1/funcionarios"/>
    <s v="/api/v1/funcionarios/"/>
    <x v="2"/>
    <x v="311"/>
    <d v="2026-05-24T15:23:09"/>
    <d v="2026-05-24T15:23:09"/>
    <s v="::ffff:127.0.0.1"/>
    <s v="Apache-HttpClient/4.5.14 (Java/21.0.11)"/>
    <d v="2026-05-24T15:23:09"/>
  </r>
  <r>
    <s v="cmpjxfrpg00vqw2rws0hh2x59"/>
    <x v="3"/>
    <s v="GET"/>
    <s v="/api/v1/funcionarios"/>
    <s v="/api/v1/funcionarios/"/>
    <x v="2"/>
    <x v="312"/>
    <d v="2026-05-24T15:23:09"/>
    <d v="2026-05-24T15:23:09"/>
    <s v="::ffff:127.0.0.1"/>
    <s v="Apache-HttpClient/4.5.14 (Java/21.0.11)"/>
    <d v="2026-05-24T15:23:09"/>
  </r>
  <r>
    <s v="cmpjxfrqc00w1w2rw31a3viqq"/>
    <x v="3"/>
    <s v="GET"/>
    <s v="/api/v1/funcionarios"/>
    <s v="/api/v1/funcionarios/"/>
    <x v="2"/>
    <x v="313"/>
    <d v="2026-05-24T15:23:09"/>
    <d v="2026-05-24T15:23:09"/>
    <s v="::ffff:127.0.0.1"/>
    <s v="Apache-HttpClient/4.5.14 (Java/21.0.11)"/>
    <d v="2026-05-24T15:23:09"/>
  </r>
  <r>
    <s v="cmpjxfrqi00w2w2rwzctf8q6c"/>
    <x v="3"/>
    <s v="GET"/>
    <s v="/api/v1/funcionarios"/>
    <s v="/api/v1/funcionarios/"/>
    <x v="2"/>
    <x v="314"/>
    <d v="2026-05-24T15:23:09"/>
    <d v="2026-05-24T15:23:09"/>
    <s v="::ffff:127.0.0.1"/>
    <s v="Apache-HttpClient/4.5.14 (Java/21.0.11)"/>
    <d v="2026-05-24T15:23:09"/>
  </r>
  <r>
    <s v="cmpjxfrqj00w3w2rwl8z5e4xq"/>
    <x v="3"/>
    <s v="GET"/>
    <s v="/api/v1/funcionarios"/>
    <s v="/api/v1/funcionarios/"/>
    <x v="2"/>
    <x v="315"/>
    <d v="2026-05-24T15:23:09"/>
    <d v="2026-05-24T15:23:09"/>
    <s v="::ffff:127.0.0.1"/>
    <s v="Apache-HttpClient/4.5.14 (Java/21.0.11)"/>
    <d v="2026-05-24T15:23:09"/>
  </r>
  <r>
    <s v="cmpjxfrqm00w4w2rw6yt0m8mc"/>
    <x v="3"/>
    <s v="GET"/>
    <s v="/api/v1/funcionarios"/>
    <s v="/api/v1/funcionarios/"/>
    <x v="2"/>
    <x v="316"/>
    <d v="2026-05-24T15:23:09"/>
    <d v="2026-05-24T15:23:09"/>
    <s v="::ffff:127.0.0.1"/>
    <s v="Apache-HttpClient/4.5.14 (Java/21.0.11)"/>
    <d v="2026-05-24T15:23:09"/>
  </r>
  <r>
    <s v="cmpjxfrrm00wgw2rw7ryyzla3"/>
    <x v="3"/>
    <s v="GET"/>
    <s v="/api/v1/funcionarios"/>
    <s v="/api/v1/funcionarios/"/>
    <x v="2"/>
    <x v="317"/>
    <d v="2026-05-24T15:23:09"/>
    <d v="2026-05-24T15:23:09"/>
    <s v="::ffff:127.0.0.1"/>
    <s v="Apache-HttpClient/4.5.14 (Java/21.0.11)"/>
    <d v="2026-05-24T15:23:09"/>
  </r>
  <r>
    <s v="cmpjxfrss00wyw2rw9t0elwhi"/>
    <x v="3"/>
    <s v="GET"/>
    <s v="/api/v1/funcionarios"/>
    <s v="/api/v1/funcionarios/"/>
    <x v="2"/>
    <x v="318"/>
    <d v="2026-05-24T15:23:09"/>
    <d v="2026-05-24T15:23:09"/>
    <s v="::ffff:127.0.0.1"/>
    <s v="Apache-HttpClient/4.5.14 (Java/21.0.11)"/>
    <d v="2026-05-24T15:23:09"/>
  </r>
  <r>
    <s v="cmpjxfrul00xjw2rwx6pjle6q"/>
    <x v="3"/>
    <s v="GET"/>
    <s v="/api/v1/funcionarios"/>
    <s v="/api/v1/funcionarios/"/>
    <x v="2"/>
    <x v="246"/>
    <d v="2026-05-24T15:23:09"/>
    <d v="2026-05-24T15:23:09"/>
    <s v="::ffff:127.0.0.1"/>
    <s v="Apache-HttpClient/4.5.14 (Java/21.0.11)"/>
    <d v="2026-05-24T15:23:09"/>
  </r>
  <r>
    <s v="cmpjxfrvg00xuw2rwa2vts2pv"/>
    <x v="3"/>
    <s v="GET"/>
    <s v="/api/v1/funcionarios"/>
    <s v="/api/v1/funcionarios/"/>
    <x v="2"/>
    <x v="108"/>
    <d v="2026-05-24T15:23:09"/>
    <d v="2026-05-24T15:23:09"/>
    <s v="::ffff:127.0.0.1"/>
    <s v="Apache-HttpClient/4.5.14 (Java/21.0.11)"/>
    <d v="2026-05-24T15:23:09"/>
  </r>
  <r>
    <s v="cmpjxfrx300y8w2rwrgrc2q1t"/>
    <x v="3"/>
    <s v="GET"/>
    <s v="/api/v1/funcionarios"/>
    <s v="/api/v1/funcionarios/"/>
    <x v="2"/>
    <x v="319"/>
    <d v="2026-05-24T15:23:09"/>
    <d v="2026-05-24T15:23:09"/>
    <s v="::ffff:127.0.0.1"/>
    <s v="Apache-HttpClient/4.5.14 (Java/21.0.11)"/>
    <d v="2026-05-24T15:23:09"/>
  </r>
  <r>
    <s v="cmpjxfry000yhw2rwduy7yyjh"/>
    <x v="3"/>
    <s v="GET"/>
    <s v="/api/v1/funcionarios"/>
    <s v="/api/v1/funcionarios/"/>
    <x v="2"/>
    <x v="320"/>
    <d v="2026-05-24T15:23:09"/>
    <d v="2026-05-24T15:23:09"/>
    <s v="::ffff:127.0.0.1"/>
    <s v="Apache-HttpClient/4.5.14 (Java/21.0.11)"/>
    <d v="2026-05-24T15:23:09"/>
  </r>
  <r>
    <s v="cmpjxfryi00ypw2rwso6t3ten"/>
    <x v="3"/>
    <s v="GET"/>
    <s v="/api/v1/funcionarios"/>
    <s v="/api/v1/funcionarios/"/>
    <x v="2"/>
    <x v="321"/>
    <d v="2026-05-24T15:23:09"/>
    <d v="2026-05-24T15:23:09"/>
    <s v="::ffff:127.0.0.1"/>
    <s v="Apache-HttpClient/4.5.14 (Java/21.0.11)"/>
    <d v="2026-05-24T15:23:09"/>
  </r>
  <r>
    <s v="cmpjxfryo00ysw2rwa3m104ns"/>
    <x v="3"/>
    <s v="GET"/>
    <s v="/api/v1/funcionarios"/>
    <s v="/api/v1/funcionarios/"/>
    <x v="2"/>
    <x v="322"/>
    <d v="2026-05-24T15:23:09"/>
    <d v="2026-05-24T15:23:09"/>
    <s v="::ffff:127.0.0.1"/>
    <s v="Apache-HttpClient/4.5.14 (Java/21.0.11)"/>
    <d v="2026-05-24T15:23:09"/>
  </r>
  <r>
    <s v="cmpjxfryq00ytw2rwfk86umuu"/>
    <x v="3"/>
    <s v="GET"/>
    <s v="/api/v1/funcionarios"/>
    <s v="/api/v1/funcionarios/"/>
    <x v="2"/>
    <x v="323"/>
    <d v="2026-05-24T15:23:09"/>
    <d v="2026-05-24T15:23:09"/>
    <s v="::ffff:127.0.0.1"/>
    <s v="Apache-HttpClient/4.5.14 (Java/21.0.11)"/>
    <d v="2026-05-24T15:23:09"/>
  </r>
  <r>
    <s v="cmpjxfrys00yuw2rwnb4u47yz"/>
    <x v="3"/>
    <s v="GET"/>
    <s v="/api/v1/funcionarios"/>
    <s v="/api/v1/funcionarios/"/>
    <x v="2"/>
    <x v="324"/>
    <d v="2026-05-24T15:23:09"/>
    <d v="2026-05-24T15:23:09"/>
    <s v="::ffff:127.0.0.1"/>
    <s v="Apache-HttpClient/4.5.14 (Java/21.0.11)"/>
    <d v="2026-05-24T15:23:09"/>
  </r>
  <r>
    <s v="cmpjxfs0900zdw2rwhp7y19jq"/>
    <x v="3"/>
    <s v="GET"/>
    <s v="/api/v1/funcionarios"/>
    <s v="/api/v1/funcionarios/"/>
    <x v="2"/>
    <x v="325"/>
    <d v="2026-05-24T15:23:09"/>
    <d v="2026-05-24T15:23:09"/>
    <s v="::ffff:127.0.0.1"/>
    <s v="Apache-HttpClient/4.5.14 (Java/21.0.11)"/>
    <d v="2026-05-24T15:23:09"/>
  </r>
  <r>
    <s v="cmpjxfs0y00zow2rw6biebss3"/>
    <x v="3"/>
    <s v="GET"/>
    <s v="/api/v1/funcionarios"/>
    <s v="/api/v1/funcionarios/"/>
    <x v="2"/>
    <x v="326"/>
    <d v="2026-05-24T15:23:09"/>
    <d v="2026-05-24T15:23:09"/>
    <s v="::ffff:127.0.0.1"/>
    <s v="Apache-HttpClient/4.5.14 (Java/21.0.11)"/>
    <d v="2026-05-24T15:23:09"/>
  </r>
  <r>
    <s v="cmpjxfs2r010cw2rwiax95gcj"/>
    <x v="3"/>
    <s v="GET"/>
    <s v="/api/v1/funcionarios"/>
    <s v="/api/v1/funcionarios/"/>
    <x v="2"/>
    <x v="327"/>
    <d v="2026-05-24T15:23:09"/>
    <d v="2026-05-24T15:23:09"/>
    <s v="::ffff:127.0.0.1"/>
    <s v="Apache-HttpClient/4.5.14 (Java/21.0.11)"/>
    <d v="2026-05-24T15:23:09"/>
  </r>
  <r>
    <s v="cmpjxfs3q010pw2rwb1xsqeye"/>
    <x v="3"/>
    <s v="GET"/>
    <s v="/api/v1/funcionarios"/>
    <s v="/api/v1/funcionarios/"/>
    <x v="2"/>
    <x v="253"/>
    <d v="2026-05-24T15:23:09"/>
    <d v="2026-05-24T15:23:09"/>
    <s v="::ffff:127.0.0.1"/>
    <s v="Apache-HttpClient/4.5.14 (Java/21.0.11)"/>
    <d v="2026-05-24T15:23:09"/>
  </r>
  <r>
    <s v="cmpjxfs5h0113w2rwcsdyuvhc"/>
    <x v="3"/>
    <s v="GET"/>
    <s v="/api/v1/funcionarios"/>
    <s v="/api/v1/funcionarios/"/>
    <x v="2"/>
    <x v="328"/>
    <d v="2026-05-24T15:23:09"/>
    <d v="2026-05-24T15:23:10"/>
    <s v="::ffff:127.0.0.1"/>
    <s v="Apache-HttpClient/4.5.14 (Java/21.0.11)"/>
    <d v="2026-05-24T15:23:10"/>
  </r>
  <r>
    <s v="cmpjxfs5y011aw2rwmiymv2ms"/>
    <x v="3"/>
    <s v="GET"/>
    <s v="/api/v1/funcionarios"/>
    <s v="/api/v1/funcionarios/"/>
    <x v="2"/>
    <x v="329"/>
    <d v="2026-05-24T15:23:10"/>
    <d v="2026-05-24T15:23:10"/>
    <s v="::ffff:127.0.0.1"/>
    <s v="Apache-HttpClient/4.5.14 (Java/21.0.11)"/>
    <d v="2026-05-24T15:23:10"/>
  </r>
  <r>
    <s v="cmpjxfs65011fw2rwgtoez504"/>
    <x v="3"/>
    <s v="GET"/>
    <s v="/api/v1/funcionarios"/>
    <s v="/api/v1/funcionarios/"/>
    <x v="2"/>
    <x v="330"/>
    <d v="2026-05-24T15:23:10"/>
    <d v="2026-05-24T15:23:10"/>
    <s v="::ffff:127.0.0.1"/>
    <s v="Apache-HttpClient/4.5.14 (Java/21.0.11)"/>
    <d v="2026-05-24T15:23:10"/>
  </r>
  <r>
    <s v="cmpjxfs66011gw2rwd9dlhqxr"/>
    <x v="3"/>
    <s v="GET"/>
    <s v="/api/v1/funcionarios"/>
    <s v="/api/v1/funcionarios/"/>
    <x v="2"/>
    <x v="331"/>
    <d v="2026-05-24T15:23:10"/>
    <d v="2026-05-24T15:23:10"/>
    <s v="::ffff:127.0.0.1"/>
    <s v="Apache-HttpClient/4.5.14 (Java/21.0.11)"/>
    <d v="2026-05-24T15:23:10"/>
  </r>
  <r>
    <s v="cmpjxfs68011hw2rwok4h6u5k"/>
    <x v="3"/>
    <s v="GET"/>
    <s v="/api/v1/funcionarios"/>
    <s v="/api/v1/funcionarios/"/>
    <x v="2"/>
    <x v="332"/>
    <d v="2026-05-24T15:23:10"/>
    <d v="2026-05-24T15:23:10"/>
    <s v="::ffff:127.0.0.1"/>
    <s v="Apache-HttpClient/4.5.14 (Java/21.0.11)"/>
    <d v="2026-05-24T15:23:10"/>
  </r>
  <r>
    <s v="cmpjxfs6i011lw2rwm825zfpr"/>
    <x v="3"/>
    <s v="GET"/>
    <s v="/api/v1/funcionarios"/>
    <s v="/api/v1/funcionarios/"/>
    <x v="2"/>
    <x v="333"/>
    <d v="2026-05-24T15:23:10"/>
    <d v="2026-05-24T15:23:10"/>
    <s v="::ffff:127.0.0.1"/>
    <s v="Apache-HttpClient/4.5.14 (Java/21.0.11)"/>
    <d v="2026-05-24T15:23:10"/>
  </r>
  <r>
    <s v="cmpjxfs8w0129w2rwlsw2eo8j"/>
    <x v="3"/>
    <s v="GET"/>
    <s v="/api/v1/funcionarios"/>
    <s v="/api/v1/funcionarios/"/>
    <x v="2"/>
    <x v="334"/>
    <d v="2026-05-24T15:23:10"/>
    <d v="2026-05-24T15:23:10"/>
    <s v="::ffff:127.0.0.1"/>
    <s v="Apache-HttpClient/4.5.14 (Java/21.0.11)"/>
    <d v="2026-05-24T15:23:10"/>
  </r>
  <r>
    <s v="cmpjxfs9b012ew2rwjbsig4q7"/>
    <x v="3"/>
    <s v="GET"/>
    <s v="/api/v1/funcionarios"/>
    <s v="/api/v1/funcionarios/"/>
    <x v="2"/>
    <x v="335"/>
    <d v="2026-05-24T15:23:10"/>
    <d v="2026-05-24T15:23:10"/>
    <s v="::ffff:127.0.0.1"/>
    <s v="Apache-HttpClient/4.5.14 (Java/21.0.11)"/>
    <d v="2026-05-24T15:23:10"/>
  </r>
  <r>
    <s v="cmpjxfsbc0136w2rwq1r5ip0r"/>
    <x v="3"/>
    <s v="GET"/>
    <s v="/api/v1/funcionarios"/>
    <s v="/api/v1/funcionarios/"/>
    <x v="2"/>
    <x v="336"/>
    <d v="2026-05-24T15:23:10"/>
    <d v="2026-05-24T15:23:10"/>
    <s v="::ffff:127.0.0.1"/>
    <s v="Apache-HttpClient/4.5.14 (Java/21.0.11)"/>
    <d v="2026-05-24T15:23:10"/>
  </r>
  <r>
    <s v="cmpjxfsc5013gw2rw9ntbl11r"/>
    <x v="3"/>
    <s v="GET"/>
    <s v="/api/v1/funcionarios"/>
    <s v="/api/v1/funcionarios/"/>
    <x v="2"/>
    <x v="337"/>
    <d v="2026-05-24T15:23:10"/>
    <d v="2026-05-24T15:23:10"/>
    <s v="::ffff:127.0.0.1"/>
    <s v="Apache-HttpClient/4.5.14 (Java/21.0.11)"/>
    <d v="2026-05-24T15:23:10"/>
  </r>
  <r>
    <s v="cmpjxfse00141w2rwk8y53et5"/>
    <x v="3"/>
    <s v="GET"/>
    <s v="/api/v1/funcionarios"/>
    <s v="/api/v1/funcionarios/"/>
    <x v="2"/>
    <x v="338"/>
    <d v="2026-05-24T15:23:10"/>
    <d v="2026-05-24T15:23:10"/>
    <s v="::ffff:127.0.0.1"/>
    <s v="Apache-HttpClient/4.5.14 (Java/21.0.11)"/>
    <d v="2026-05-24T15:23:10"/>
  </r>
  <r>
    <s v="cmpjxfse20142w2rwtnpbpq3y"/>
    <x v="3"/>
    <s v="GET"/>
    <s v="/api/v1/funcionarios"/>
    <s v="/api/v1/funcionarios/"/>
    <x v="2"/>
    <x v="339"/>
    <d v="2026-05-24T15:23:10"/>
    <d v="2026-05-24T15:23:10"/>
    <s v="::ffff:127.0.0.1"/>
    <s v="Apache-HttpClient/4.5.14 (Java/21.0.11)"/>
    <d v="2026-05-24T15:23:10"/>
  </r>
  <r>
    <s v="cmpjxfse30143w2rwg5i9s413"/>
    <x v="3"/>
    <s v="GET"/>
    <s v="/api/v1/funcionarios"/>
    <s v="/api/v1/funcionarios/"/>
    <x v="2"/>
    <x v="340"/>
    <d v="2026-05-24T15:23:10"/>
    <d v="2026-05-24T15:23:10"/>
    <s v="::ffff:127.0.0.1"/>
    <s v="Apache-HttpClient/4.5.14 (Java/21.0.11)"/>
    <d v="2026-05-24T15:23:10"/>
  </r>
  <r>
    <s v="cmpjxfse40144w2rwg72p5y3t"/>
    <x v="3"/>
    <s v="GET"/>
    <s v="/api/v1/funcionarios"/>
    <s v="/api/v1/funcionarios/"/>
    <x v="2"/>
    <x v="341"/>
    <d v="2026-05-24T15:23:10"/>
    <d v="2026-05-24T15:23:10"/>
    <s v="::ffff:127.0.0.1"/>
    <s v="Apache-HttpClient/4.5.14 (Java/21.0.11)"/>
    <d v="2026-05-24T15:23:10"/>
  </r>
  <r>
    <s v="cmpjxfse90147w2rwejhir6ii"/>
    <x v="3"/>
    <s v="GET"/>
    <s v="/api/v1/funcionarios"/>
    <s v="/api/v1/funcionarios/"/>
    <x v="2"/>
    <x v="255"/>
    <d v="2026-05-24T15:23:10"/>
    <d v="2026-05-24T15:23:10"/>
    <s v="::ffff:127.0.0.1"/>
    <s v="Apache-HttpClient/4.5.14 (Java/21.0.11)"/>
    <d v="2026-05-24T15:23:10"/>
  </r>
  <r>
    <s v="cmpjxfsev014hw2rwob3i30pf"/>
    <x v="3"/>
    <s v="GET"/>
    <s v="/api/v1/funcionarios"/>
    <s v="/api/v1/funcionarios/"/>
    <x v="2"/>
    <x v="318"/>
    <d v="2026-05-24T15:23:10"/>
    <d v="2026-05-24T15:23:10"/>
    <s v="::ffff:127.0.0.1"/>
    <s v="Apache-HttpClient/4.5.14 (Java/21.0.11)"/>
    <d v="2026-05-24T15:23:10"/>
  </r>
  <r>
    <s v="cmpjxfsg90150w2rw6nuvmlve"/>
    <x v="3"/>
    <s v="GET"/>
    <s v="/api/v1/funcionarios"/>
    <s v="/api/v1/funcionarios/"/>
    <x v="2"/>
    <x v="342"/>
    <d v="2026-05-24T15:23:10"/>
    <d v="2026-05-24T15:23:10"/>
    <s v="::ffff:127.0.0.1"/>
    <s v="Apache-HttpClient/4.5.14 (Java/21.0.11)"/>
    <d v="2026-05-24T15:23:10"/>
  </r>
  <r>
    <s v="cmpjxfsgr0158w2rwxjif8msl"/>
    <x v="3"/>
    <s v="GET"/>
    <s v="/api/v1/funcionarios"/>
    <s v="/api/v1/funcionarios/"/>
    <x v="2"/>
    <x v="343"/>
    <d v="2026-05-24T15:23:10"/>
    <d v="2026-05-24T15:23:10"/>
    <s v="::ffff:127.0.0.1"/>
    <s v="Apache-HttpClient/4.5.14 (Java/21.0.11)"/>
    <d v="2026-05-24T15:23:10"/>
  </r>
  <r>
    <s v="cmpjxfsik015xw2rwgtasjf0b"/>
    <x v="3"/>
    <s v="GET"/>
    <s v="/api/v1/funcionarios"/>
    <s v="/api/v1/funcionarios/"/>
    <x v="2"/>
    <x v="344"/>
    <d v="2026-05-24T15:23:10"/>
    <d v="2026-05-24T15:23:10"/>
    <s v="::ffff:127.0.0.1"/>
    <s v="Apache-HttpClient/4.5.14 (Java/21.0.11)"/>
    <d v="2026-05-24T15:23:10"/>
  </r>
  <r>
    <s v="cmpjxfsk6016cw2rwrvkkssq9"/>
    <x v="3"/>
    <s v="GET"/>
    <s v="/api/v1/funcionarios"/>
    <s v="/api/v1/funcionarios/"/>
    <x v="2"/>
    <x v="345"/>
    <d v="2026-05-24T15:23:10"/>
    <d v="2026-05-24T15:23:10"/>
    <s v="::ffff:127.0.0.1"/>
    <s v="Apache-HttpClient/4.5.14 (Java/21.0.11)"/>
    <d v="2026-05-24T15:23:10"/>
  </r>
  <r>
    <s v="cmpjxfsky016nw2rwki9bqegm"/>
    <x v="3"/>
    <s v="GET"/>
    <s v="/api/v1/funcionarios"/>
    <s v="/api/v1/funcionarios/"/>
    <x v="2"/>
    <x v="346"/>
    <d v="2026-05-24T15:23:10"/>
    <d v="2026-05-24T15:23:10"/>
    <s v="::ffff:127.0.0.1"/>
    <s v="Apache-HttpClient/4.5.14 (Java/21.0.11)"/>
    <d v="2026-05-24T15:23:10"/>
  </r>
  <r>
    <s v="cmpjxfsl6016rw2rwghc1anlo"/>
    <x v="3"/>
    <s v="GET"/>
    <s v="/api/v1/funcionarios"/>
    <s v="/api/v1/funcionarios/"/>
    <x v="2"/>
    <x v="347"/>
    <d v="2026-05-24T15:23:10"/>
    <d v="2026-05-24T15:23:10"/>
    <s v="::ffff:127.0.0.1"/>
    <s v="Apache-HttpClient/4.5.14 (Java/21.0.11)"/>
    <d v="2026-05-24T15:23:10"/>
  </r>
  <r>
    <s v="cmpjxfsla016tw2rwt2hgei4k"/>
    <x v="3"/>
    <s v="GET"/>
    <s v="/api/v1/funcionarios"/>
    <s v="/api/v1/funcionarios/"/>
    <x v="2"/>
    <x v="348"/>
    <d v="2026-05-24T15:23:10"/>
    <d v="2026-05-24T15:23:10"/>
    <s v="::ffff:127.0.0.1"/>
    <s v="Apache-HttpClient/4.5.14 (Java/21.0.11)"/>
    <d v="2026-05-24T15:23:10"/>
  </r>
  <r>
    <s v="cmpjxfslc016uw2rw6dji1irx"/>
    <x v="3"/>
    <s v="GET"/>
    <s v="/api/v1/funcionarios"/>
    <s v="/api/v1/funcionarios/"/>
    <x v="2"/>
    <x v="349"/>
    <d v="2026-05-24T15:23:10"/>
    <d v="2026-05-24T15:23:10"/>
    <s v="::ffff:127.0.0.1"/>
    <s v="Apache-HttpClient/4.5.14 (Java/21.0.11)"/>
    <d v="2026-05-24T15:23:10"/>
  </r>
  <r>
    <s v="cmpjxfsm70176w2rw9hmm18m6"/>
    <x v="3"/>
    <s v="GET"/>
    <s v="/api/v1/funcionarios"/>
    <s v="/api/v1/funcionarios/"/>
    <x v="2"/>
    <x v="59"/>
    <d v="2026-05-24T15:23:10"/>
    <d v="2026-05-24T15:23:10"/>
    <s v="::ffff:127.0.0.1"/>
    <s v="Apache-HttpClient/4.5.14 (Java/21.0.11)"/>
    <d v="2026-05-24T15:23:10"/>
  </r>
  <r>
    <s v="cmpjxfsnk017mw2rwuu4wxua7"/>
    <x v="3"/>
    <s v="GET"/>
    <s v="/api/v1/funcionarios"/>
    <s v="/api/v1/funcionarios/"/>
    <x v="2"/>
    <x v="293"/>
    <d v="2026-05-24T15:23:10"/>
    <d v="2026-05-24T15:23:10"/>
    <s v="::ffff:127.0.0.1"/>
    <s v="Apache-HttpClient/4.5.14 (Java/21.0.11)"/>
    <d v="2026-05-24T15:23:10"/>
  </r>
  <r>
    <s v="cmpjxfso6017ww2rwglo6p8ek"/>
    <x v="3"/>
    <s v="GET"/>
    <s v="/api/v1/funcionarios"/>
    <s v="/api/v1/funcionarios/"/>
    <x v="2"/>
    <x v="350"/>
    <d v="2026-05-24T15:23:10"/>
    <d v="2026-05-24T15:23:10"/>
    <s v="::ffff:127.0.0.1"/>
    <s v="Apache-HttpClient/4.5.14 (Java/21.0.11)"/>
    <d v="2026-05-24T15:23:10"/>
  </r>
  <r>
    <s v="cmpjxfspv018lw2rwc4mnsnfl"/>
    <x v="3"/>
    <s v="GET"/>
    <s v="/api/v1/funcionarios"/>
    <s v="/api/v1/funcionarios/"/>
    <x v="2"/>
    <x v="351"/>
    <d v="2026-05-24T15:23:10"/>
    <d v="2026-05-24T15:23:10"/>
    <s v="::ffff:127.0.0.1"/>
    <s v="Apache-HttpClient/4.5.14 (Java/21.0.11)"/>
    <d v="2026-05-24T15:23:10"/>
  </r>
  <r>
    <s v="cmpjxfsr3018ww2rwy4ejp2w5"/>
    <x v="3"/>
    <s v="GET"/>
    <s v="/api/v1/funcionarios"/>
    <s v="/api/v1/funcionarios/"/>
    <x v="2"/>
    <x v="301"/>
    <d v="2026-05-24T15:23:10"/>
    <d v="2026-05-24T15:23:10"/>
    <s v="::ffff:127.0.0.1"/>
    <s v="Apache-HttpClient/4.5.14 (Java/21.0.11)"/>
    <d v="2026-05-24T15:23:10"/>
  </r>
  <r>
    <s v="cmpjxfsrc0190w2rwqklacarn"/>
    <x v="3"/>
    <s v="GET"/>
    <s v="/api/v1/funcionarios"/>
    <s v="/api/v1/funcionarios/"/>
    <x v="2"/>
    <x v="352"/>
    <d v="2026-05-24T15:23:10"/>
    <d v="2026-05-24T15:23:10"/>
    <s v="::ffff:127.0.0.1"/>
    <s v="Apache-HttpClient/4.5.14 (Java/21.0.11)"/>
    <d v="2026-05-24T15:23:10"/>
  </r>
  <r>
    <s v="cmpjxfsru0195w2rw2tn9jsri"/>
    <x v="3"/>
    <s v="GET"/>
    <s v="/api/v1/funcionarios"/>
    <s v="/api/v1/funcionarios/"/>
    <x v="2"/>
    <x v="353"/>
    <d v="2026-05-24T15:23:10"/>
    <d v="2026-05-24T15:23:10"/>
    <s v="::ffff:127.0.0.1"/>
    <s v="Apache-HttpClient/4.5.14 (Java/21.0.11)"/>
    <d v="2026-05-24T15:23:10"/>
  </r>
  <r>
    <s v="cmpjxfsrz0198w2rwbiuh3f9d"/>
    <x v="3"/>
    <s v="GET"/>
    <s v="/api/v1/funcionarios"/>
    <s v="/api/v1/funcionarios/"/>
    <x v="2"/>
    <x v="354"/>
    <d v="2026-05-24T15:23:10"/>
    <d v="2026-05-24T15:23:10"/>
    <s v="::ffff:127.0.0.1"/>
    <s v="Apache-HttpClient/4.5.14 (Java/21.0.11)"/>
    <d v="2026-05-24T15:23:10"/>
  </r>
  <r>
    <s v="cmpjxfssw019mw2rw278oa77b"/>
    <x v="3"/>
    <s v="GET"/>
    <s v="/api/v1/funcionarios"/>
    <s v="/api/v1/funcionarios/"/>
    <x v="2"/>
    <x v="355"/>
    <d v="2026-05-24T15:23:10"/>
    <d v="2026-05-24T15:23:10"/>
    <s v="::ffff:127.0.0.1"/>
    <s v="Apache-HttpClient/4.5.14 (Java/21.0.11)"/>
    <d v="2026-05-24T15:23:10"/>
  </r>
  <r>
    <s v="cmpjxfstq019xw2rw2klxr041"/>
    <x v="3"/>
    <s v="GET"/>
    <s v="/api/v1/funcionarios"/>
    <s v="/api/v1/funcionarios/"/>
    <x v="2"/>
    <x v="311"/>
    <d v="2026-05-24T15:23:10"/>
    <d v="2026-05-24T15:23:10"/>
    <s v="::ffff:127.0.0.1"/>
    <s v="Apache-HttpClient/4.5.14 (Java/21.0.11)"/>
    <d v="2026-05-24T15:23:10"/>
  </r>
  <r>
    <s v="cmpjxfsug01a9w2rwnutez5ta"/>
    <x v="3"/>
    <s v="GET"/>
    <s v="/api/v1/funcionarios"/>
    <s v="/api/v1/funcionarios/"/>
    <x v="2"/>
    <x v="356"/>
    <d v="2026-05-24T15:23:10"/>
    <d v="2026-05-24T15:23:10"/>
    <s v="::ffff:127.0.0.1"/>
    <s v="Apache-HttpClient/4.5.14 (Java/21.0.11)"/>
    <d v="2026-05-24T15:23:10"/>
  </r>
  <r>
    <s v="cmpjxfsw401asw2rw4iqgtz5d"/>
    <x v="3"/>
    <s v="GET"/>
    <s v="/api/v1/funcionarios"/>
    <s v="/api/v1/funcionarios/"/>
    <x v="2"/>
    <x v="357"/>
    <d v="2026-05-24T15:23:10"/>
    <d v="2026-05-24T15:23:10"/>
    <s v="::ffff:127.0.0.1"/>
    <s v="Apache-HttpClient/4.5.14 (Java/21.0.11)"/>
    <d v="2026-05-24T15:23:10"/>
  </r>
  <r>
    <s v="cmpjxfswz01b1w2rwfmcnda1i"/>
    <x v="3"/>
    <s v="GET"/>
    <s v="/api/v1/funcionarios"/>
    <s v="/api/v1/funcionarios/"/>
    <x v="2"/>
    <x v="358"/>
    <d v="2026-05-24T15:23:10"/>
    <d v="2026-05-24T15:23:10"/>
    <s v="::ffff:127.0.0.1"/>
    <s v="Apache-HttpClient/4.5.14 (Java/21.0.11)"/>
    <d v="2026-05-24T15:23:10"/>
  </r>
  <r>
    <s v="cmpjxfsxc01b7w2rw77wtm9kc"/>
    <x v="3"/>
    <s v="GET"/>
    <s v="/api/v1/funcionarios"/>
    <s v="/api/v1/funcionarios/"/>
    <x v="2"/>
    <x v="359"/>
    <d v="2026-05-24T15:23:11"/>
    <d v="2026-05-24T15:23:11"/>
    <s v="::ffff:127.0.0.1"/>
    <s v="Apache-HttpClient/4.5.14 (Java/21.0.11)"/>
    <d v="2026-05-24T15:23:11"/>
  </r>
  <r>
    <s v="cmpjxfsxk01bbw2rwfnqujbdz"/>
    <x v="3"/>
    <s v="GET"/>
    <s v="/api/v1/funcionarios"/>
    <s v="/api/v1/funcionarios/"/>
    <x v="2"/>
    <x v="325"/>
    <d v="2026-05-24T15:23:11"/>
    <d v="2026-05-24T15:23:11"/>
    <s v="::ffff:127.0.0.1"/>
    <s v="Apache-HttpClient/4.5.14 (Java/21.0.11)"/>
    <d v="2026-05-24T15:23:11"/>
  </r>
  <r>
    <s v="cmpjxfsy301bhw2rwkxk06x7f"/>
    <x v="3"/>
    <s v="GET"/>
    <s v="/api/v1/funcionarios"/>
    <s v="/api/v1/funcionarios/"/>
    <x v="2"/>
    <x v="360"/>
    <d v="2026-05-24T15:23:11"/>
    <d v="2026-05-24T15:23:11"/>
    <s v="::ffff:127.0.0.1"/>
    <s v="Apache-HttpClient/4.5.14 (Java/21.0.11)"/>
    <d v="2026-05-24T15:23:11"/>
  </r>
  <r>
    <s v="cmpjxfsyt01btw2rwk4fx2eha"/>
    <x v="3"/>
    <s v="GET"/>
    <s v="/api/v1/funcionarios"/>
    <s v="/api/v1/funcionarios/"/>
    <x v="2"/>
    <x v="306"/>
    <d v="2026-05-24T15:23:11"/>
    <d v="2026-05-24T15:23:11"/>
    <s v="::ffff:127.0.0.1"/>
    <s v="Apache-HttpClient/4.5.14 (Java/21.0.11)"/>
    <d v="2026-05-24T15:23:11"/>
  </r>
  <r>
    <s v="cmpjxft0h01cfw2rw3h7v78nm"/>
    <x v="3"/>
    <s v="GET"/>
    <s v="/api/v1/funcionarios"/>
    <s v="/api/v1/funcionarios/"/>
    <x v="2"/>
    <x v="361"/>
    <d v="2026-05-24T15:23:11"/>
    <d v="2026-05-24T15:23:11"/>
    <s v="::ffff:127.0.0.1"/>
    <s v="Apache-HttpClient/4.5.14 (Java/21.0.11)"/>
    <d v="2026-05-24T15:23:11"/>
  </r>
  <r>
    <s v="cmpjxft2401cxw2rw924nyy73"/>
    <x v="3"/>
    <s v="GET"/>
    <s v="/api/v1/funcionarios"/>
    <s v="/api/v1/funcionarios/"/>
    <x v="2"/>
    <x v="362"/>
    <d v="2026-05-24T15:23:11"/>
    <d v="2026-05-24T15:23:11"/>
    <s v="::ffff:127.0.0.1"/>
    <s v="Apache-HttpClient/4.5.14 (Java/21.0.11)"/>
    <d v="2026-05-24T15:23:11"/>
  </r>
  <r>
    <s v="cmpjxft2g01d1w2rwkobethk7"/>
    <x v="3"/>
    <s v="GET"/>
    <s v="/api/v1/funcionarios"/>
    <s v="/api/v1/funcionarios/"/>
    <x v="2"/>
    <x v="363"/>
    <d v="2026-05-24T15:23:11"/>
    <d v="2026-05-24T15:23:11"/>
    <s v="::ffff:127.0.0.1"/>
    <s v="Apache-HttpClient/4.5.14 (Java/21.0.11)"/>
    <d v="2026-05-24T15:23:11"/>
  </r>
  <r>
    <s v="cmpjxft2k01d4w2rwtycp3q6v"/>
    <x v="3"/>
    <s v="GET"/>
    <s v="/api/v1/funcionarios"/>
    <s v="/api/v1/funcionarios/"/>
    <x v="2"/>
    <x v="85"/>
    <d v="2026-05-24T15:23:11"/>
    <d v="2026-05-24T15:23:11"/>
    <s v="::ffff:127.0.0.1"/>
    <s v="Apache-HttpClient/4.5.14 (Java/21.0.11)"/>
    <d v="2026-05-24T15:23:11"/>
  </r>
  <r>
    <s v="cmpjxft2r01d7w2rw69yineb1"/>
    <x v="3"/>
    <s v="GET"/>
    <s v="/api/v1/funcionarios"/>
    <s v="/api/v1/funcionarios/"/>
    <x v="2"/>
    <x v="364"/>
    <d v="2026-05-24T15:23:11"/>
    <d v="2026-05-24T15:23:11"/>
    <s v="::ffff:127.0.0.1"/>
    <s v="Apache-HttpClient/4.5.14 (Java/21.0.11)"/>
    <d v="2026-05-24T15:23:11"/>
  </r>
  <r>
    <s v="cmpjxft3z01dnw2rwtn3a4ahw"/>
    <x v="3"/>
    <s v="GET"/>
    <s v="/api/v1/funcionarios"/>
    <s v="/api/v1/funcionarios/"/>
    <x v="2"/>
    <x v="365"/>
    <d v="2026-05-24T15:23:11"/>
    <d v="2026-05-24T15:23:11"/>
    <s v="::ffff:127.0.0.1"/>
    <s v="Apache-HttpClient/4.5.14 (Java/21.0.11)"/>
    <d v="2026-05-24T15:23:11"/>
  </r>
  <r>
    <s v="cmpjxft5l01e8w2rw133v4ysf"/>
    <x v="3"/>
    <s v="GET"/>
    <s v="/api/v1/funcionarios"/>
    <s v="/api/v1/funcionarios/"/>
    <x v="2"/>
    <x v="97"/>
    <d v="2026-05-24T15:23:11"/>
    <d v="2026-05-24T15:23:11"/>
    <s v="::ffff:127.0.0.1"/>
    <s v="Apache-HttpClient/4.5.14 (Java/21.0.11)"/>
    <d v="2026-05-24T15:23:11"/>
  </r>
  <r>
    <s v="cmpjxft6u01emw2rw4oynmxwj"/>
    <x v="3"/>
    <s v="GET"/>
    <s v="/api/v1/funcionarios"/>
    <s v="/api/v1/funcionarios/"/>
    <x v="2"/>
    <x v="366"/>
    <d v="2026-05-24T15:23:11"/>
    <d v="2026-05-24T15:23:11"/>
    <s v="::ffff:127.0.0.1"/>
    <s v="Apache-HttpClient/4.5.14 (Java/21.0.11)"/>
    <d v="2026-05-24T15:23:11"/>
  </r>
  <r>
    <s v="cmpjxft7001eow2rw5le00j36"/>
    <x v="3"/>
    <s v="GET"/>
    <s v="/api/v1/funcionarios"/>
    <s v="/api/v1/funcionarios/"/>
    <x v="2"/>
    <x v="367"/>
    <d v="2026-05-24T15:23:11"/>
    <d v="2026-05-24T15:23:11"/>
    <s v="::ffff:127.0.0.1"/>
    <s v="Apache-HttpClient/4.5.14 (Java/21.0.11)"/>
    <d v="2026-05-24T15:23:11"/>
  </r>
  <r>
    <s v="cmpjxft7801esw2rwh28hui02"/>
    <x v="3"/>
    <s v="GET"/>
    <s v="/api/v1/funcionarios"/>
    <s v="/api/v1/funcionarios/"/>
    <x v="2"/>
    <x v="300"/>
    <d v="2026-05-24T15:23:11"/>
    <d v="2026-05-24T15:23:11"/>
    <s v="::ffff:127.0.0.1"/>
    <s v="Apache-HttpClient/4.5.14 (Java/21.0.11)"/>
    <d v="2026-05-24T15:23:11"/>
  </r>
  <r>
    <s v="cmpjxft8901f5w2rwmw2ps7ia"/>
    <x v="3"/>
    <s v="GET"/>
    <s v="/api/v1/funcionarios"/>
    <s v="/api/v1/funcionarios/"/>
    <x v="2"/>
    <x v="293"/>
    <d v="2026-05-24T15:23:11"/>
    <d v="2026-05-24T15:23:11"/>
    <s v="::ffff:127.0.0.1"/>
    <s v="Apache-HttpClient/4.5.14 (Java/21.0.11)"/>
    <d v="2026-05-24T15:23:11"/>
  </r>
  <r>
    <s v="cmpjxft9g01flw2rw4j32079y"/>
    <x v="3"/>
    <s v="GET"/>
    <s v="/api/v1/funcionarios"/>
    <s v="/api/v1/funcionarios/"/>
    <x v="2"/>
    <x v="368"/>
    <d v="2026-05-24T15:23:11"/>
    <d v="2026-05-24T15:23:11"/>
    <s v="::ffff:127.0.0.1"/>
    <s v="Apache-HttpClient/4.5.14 (Java/21.0.11)"/>
    <d v="2026-05-24T15:23:11"/>
  </r>
  <r>
    <s v="cmpjxftae01fxw2rwvkrvpn67"/>
    <x v="3"/>
    <s v="GET"/>
    <s v="/api/v1/funcionarios"/>
    <s v="/api/v1/funcionarios/"/>
    <x v="2"/>
    <x v="369"/>
    <d v="2026-05-24T15:23:11"/>
    <d v="2026-05-24T15:23:11"/>
    <s v="::ffff:127.0.0.1"/>
    <s v="Apache-HttpClient/4.5.14 (Java/21.0.11)"/>
    <d v="2026-05-24T15:23:11"/>
  </r>
  <r>
    <s v="cmpjxftb701g8w2rwc3zh0fzq"/>
    <x v="3"/>
    <s v="GET"/>
    <s v="/api/v1/funcionarios"/>
    <s v="/api/v1/funcionarios/"/>
    <x v="2"/>
    <x v="370"/>
    <d v="2026-05-24T15:23:11"/>
    <d v="2026-05-24T15:23:11"/>
    <s v="::ffff:127.0.0.1"/>
    <s v="Apache-HttpClient/4.5.14 (Java/21.0.11)"/>
    <d v="2026-05-24T15:23:11"/>
  </r>
  <r>
    <s v="cmpjxftc001giw2rw0cjzawn5"/>
    <x v="3"/>
    <s v="GET"/>
    <s v="/api/v1/funcionarios"/>
    <s v="/api/v1/funcionarios/"/>
    <x v="2"/>
    <x v="371"/>
    <d v="2026-05-24T15:23:11"/>
    <d v="2026-05-24T15:23:11"/>
    <s v="::ffff:127.0.0.1"/>
    <s v="Apache-HttpClient/4.5.14 (Java/21.0.11)"/>
    <d v="2026-05-24T15:23:11"/>
  </r>
  <r>
    <s v="cmpjxfr2f00p5w2rwxb69tnpn"/>
    <x v="4"/>
    <s v="GET"/>
    <s v="/api/v1/pecas"/>
    <s v="/api/v1/pecas/"/>
    <x v="2"/>
    <x v="372"/>
    <d v="2026-05-24T15:23:08"/>
    <d v="2026-05-24T15:23:08"/>
    <s v="::ffff:127.0.0.1"/>
    <s v="Apache-HttpClient/4.5.14 (Java/21.0.11)"/>
    <d v="2026-05-24T15:23:08"/>
  </r>
  <r>
    <s v="cmpjxfr4s00phw2rwxg758xjy"/>
    <x v="4"/>
    <s v="GET"/>
    <s v="/api/v1/pecas"/>
    <s v="/api/v1/pecas/"/>
    <x v="2"/>
    <x v="373"/>
    <d v="2026-05-24T15:23:08"/>
    <d v="2026-05-24T15:23:08"/>
    <s v="::ffff:127.0.0.1"/>
    <s v="Apache-HttpClient/4.5.14 (Java/21.0.11)"/>
    <d v="2026-05-24T15:23:08"/>
  </r>
  <r>
    <s v="cmpjxfr5300pkw2rwj05oozxz"/>
    <x v="4"/>
    <s v="GET"/>
    <s v="/api/v1/pecas"/>
    <s v="/api/v1/pecas/"/>
    <x v="2"/>
    <x v="374"/>
    <d v="2026-05-24T15:23:08"/>
    <d v="2026-05-24T15:23:08"/>
    <s v="::ffff:127.0.0.1"/>
    <s v="Apache-HttpClient/4.5.14 (Java/21.0.11)"/>
    <d v="2026-05-24T15:23:08"/>
  </r>
  <r>
    <s v="cmpjxfr6x00q2w2rwbjngk0su"/>
    <x v="4"/>
    <s v="GET"/>
    <s v="/api/v1/pecas"/>
    <s v="/api/v1/pecas/"/>
    <x v="2"/>
    <x v="375"/>
    <d v="2026-05-24T15:23:08"/>
    <d v="2026-05-24T15:23:08"/>
    <s v="::ffff:127.0.0.1"/>
    <s v="Apache-HttpClient/4.5.14 (Java/21.0.11)"/>
    <d v="2026-05-24T15:23:08"/>
  </r>
  <r>
    <s v="cmpjxfr7200q3w2rwe6h3ifmw"/>
    <x v="4"/>
    <s v="GET"/>
    <s v="/api/v1/pecas"/>
    <s v="/api/v1/pecas/"/>
    <x v="2"/>
    <x v="284"/>
    <d v="2026-05-24T15:23:08"/>
    <d v="2026-05-24T15:23:08"/>
    <s v="::ffff:127.0.0.1"/>
    <s v="Apache-HttpClient/4.5.14 (Java/21.0.11)"/>
    <d v="2026-05-24T15:23:08"/>
  </r>
  <r>
    <s v="cmpjxfr8100qdw2rwmq6d0wma"/>
    <x v="4"/>
    <s v="GET"/>
    <s v="/api/v1/pecas"/>
    <s v="/api/v1/pecas/"/>
    <x v="2"/>
    <x v="376"/>
    <d v="2026-05-24T15:23:08"/>
    <d v="2026-05-24T15:23:08"/>
    <s v="::ffff:127.0.0.1"/>
    <s v="Apache-HttpClient/4.5.14 (Java/21.0.11)"/>
    <d v="2026-05-24T15:23:08"/>
  </r>
  <r>
    <s v="cmpjxfr9l00qtw2rwqn9gs56h"/>
    <x v="4"/>
    <s v="GET"/>
    <s v="/api/v1/pecas"/>
    <s v="/api/v1/pecas/"/>
    <x v="2"/>
    <x v="377"/>
    <d v="2026-05-24T15:23:08"/>
    <d v="2026-05-24T15:23:08"/>
    <s v="::ffff:127.0.0.1"/>
    <s v="Apache-HttpClient/4.5.14 (Java/21.0.11)"/>
    <d v="2026-05-24T15:23:08"/>
  </r>
  <r>
    <s v="cmpjxfr9x00qyw2rwginx66xg"/>
    <x v="4"/>
    <s v="GET"/>
    <s v="/api/v1/pecas"/>
    <s v="/api/v1/pecas/"/>
    <x v="2"/>
    <x v="378"/>
    <d v="2026-05-24T15:23:08"/>
    <d v="2026-05-24T15:23:08"/>
    <s v="::ffff:127.0.0.1"/>
    <s v="Apache-HttpClient/4.5.14 (Java/21.0.11)"/>
    <d v="2026-05-24T15:23:08"/>
  </r>
  <r>
    <s v="cmpjxfray00r8w2rwpnpz4muh"/>
    <x v="4"/>
    <s v="GET"/>
    <s v="/api/v1/pecas"/>
    <s v="/api/v1/pecas/"/>
    <x v="2"/>
    <x v="290"/>
    <d v="2026-05-24T15:23:08"/>
    <d v="2026-05-24T15:23:08"/>
    <s v="::ffff:127.0.0.1"/>
    <s v="Apache-HttpClient/4.5.14 (Java/21.0.11)"/>
    <d v="2026-05-24T15:23:08"/>
  </r>
  <r>
    <s v="cmpjxfrb700rcw2rw5qurw9du"/>
    <x v="4"/>
    <s v="GET"/>
    <s v="/api/v1/pecas"/>
    <s v="/api/v1/pecas/"/>
    <x v="2"/>
    <x v="379"/>
    <d v="2026-05-24T15:23:08"/>
    <d v="2026-05-24T15:23:08"/>
    <s v="::ffff:127.0.0.1"/>
    <s v="Apache-HttpClient/4.5.14 (Java/21.0.11)"/>
    <d v="2026-05-24T15:23:08"/>
  </r>
  <r>
    <s v="cmpjxfrd900ryw2rw1ub7edrn"/>
    <x v="4"/>
    <s v="GET"/>
    <s v="/api/v1/pecas"/>
    <s v="/api/v1/pecas/"/>
    <x v="2"/>
    <x v="380"/>
    <d v="2026-05-24T15:23:08"/>
    <d v="2026-05-24T15:23:08"/>
    <s v="::ffff:127.0.0.1"/>
    <s v="Apache-HttpClient/4.5.14 (Java/21.0.11)"/>
    <d v="2026-05-24T15:23:08"/>
  </r>
  <r>
    <s v="cmpjxfrdq00s4w2rw41vb6y5b"/>
    <x v="4"/>
    <s v="GET"/>
    <s v="/api/v1/pecas"/>
    <s v="/api/v1/pecas/"/>
    <x v="2"/>
    <x v="381"/>
    <d v="2026-05-24T15:23:09"/>
    <d v="2026-05-24T15:23:09"/>
    <s v="::ffff:127.0.0.1"/>
    <s v="Apache-HttpClient/4.5.14 (Java/21.0.11)"/>
    <d v="2026-05-24T15:23:09"/>
  </r>
  <r>
    <s v="cmpjxfreh00sbw2rwxxl8n9v1"/>
    <x v="4"/>
    <s v="GET"/>
    <s v="/api/v1/pecas"/>
    <s v="/api/v1/pecas/"/>
    <x v="2"/>
    <x v="382"/>
    <d v="2026-05-24T15:23:09"/>
    <d v="2026-05-24T15:23:09"/>
    <s v="::ffff:127.0.0.1"/>
    <s v="Apache-HttpClient/4.5.14 (Java/21.0.11)"/>
    <d v="2026-05-24T15:23:09"/>
  </r>
  <r>
    <s v="cmpjxfrew00siw2rwloxyf422"/>
    <x v="4"/>
    <s v="GET"/>
    <s v="/api/v1/pecas"/>
    <s v="/api/v1/pecas/"/>
    <x v="2"/>
    <x v="383"/>
    <d v="2026-05-24T15:23:09"/>
    <d v="2026-05-24T15:23:09"/>
    <s v="::ffff:127.0.0.1"/>
    <s v="Apache-HttpClient/4.5.14 (Java/21.0.11)"/>
    <d v="2026-05-24T15:23:09"/>
  </r>
  <r>
    <s v="cmpjxfrf300skw2rwur65jeos"/>
    <x v="4"/>
    <s v="GET"/>
    <s v="/api/v1/pecas"/>
    <s v="/api/v1/pecas/"/>
    <x v="2"/>
    <x v="384"/>
    <d v="2026-05-24T15:23:09"/>
    <d v="2026-05-24T15:23:09"/>
    <s v="::ffff:127.0.0.1"/>
    <s v="Apache-HttpClient/4.5.14 (Java/21.0.11)"/>
    <d v="2026-05-24T15:23:09"/>
  </r>
  <r>
    <s v="cmpjxfrhg00taw2rwciihpm7c"/>
    <x v="4"/>
    <s v="GET"/>
    <s v="/api/v1/pecas"/>
    <s v="/api/v1/pecas/"/>
    <x v="2"/>
    <x v="385"/>
    <d v="2026-05-24T15:23:09"/>
    <d v="2026-05-24T15:23:09"/>
    <s v="::ffff:127.0.0.1"/>
    <s v="Apache-HttpClient/4.5.14 (Java/21.0.11)"/>
    <d v="2026-05-24T15:23:09"/>
  </r>
  <r>
    <s v="cmpjxfri600tjw2rw1iuhtg1o"/>
    <x v="4"/>
    <s v="GET"/>
    <s v="/api/v1/pecas"/>
    <s v="/api/v1/pecas/"/>
    <x v="2"/>
    <x v="386"/>
    <d v="2026-05-24T15:23:09"/>
    <d v="2026-05-24T15:23:09"/>
    <s v="::ffff:127.0.0.1"/>
    <s v="Apache-HttpClient/4.5.14 (Java/21.0.11)"/>
    <d v="2026-05-24T15:23:09"/>
  </r>
  <r>
    <s v="cmpjxfriu00tpw2rw8zifmes3"/>
    <x v="4"/>
    <s v="GET"/>
    <s v="/api/v1/pecas"/>
    <s v="/api/v1/pecas/"/>
    <x v="2"/>
    <x v="247"/>
    <d v="2026-05-24T15:23:09"/>
    <d v="2026-05-24T15:23:09"/>
    <s v="::ffff:127.0.0.1"/>
    <s v="Apache-HttpClient/4.5.14 (Java/21.0.11)"/>
    <d v="2026-05-24T15:23:09"/>
  </r>
  <r>
    <s v="cmpjxfrk300u0w2rwn7mdadn9"/>
    <x v="4"/>
    <s v="GET"/>
    <s v="/api/v1/pecas"/>
    <s v="/api/v1/pecas/"/>
    <x v="2"/>
    <x v="387"/>
    <d v="2026-05-24T15:23:09"/>
    <d v="2026-05-24T15:23:09"/>
    <s v="::ffff:127.0.0.1"/>
    <s v="Apache-HttpClient/4.5.14 (Java/21.0.11)"/>
    <d v="2026-05-24T15:23:09"/>
  </r>
  <r>
    <s v="cmpjxfrkb00u4w2rwuw5cdkus"/>
    <x v="4"/>
    <s v="GET"/>
    <s v="/api/v1/pecas"/>
    <s v="/api/v1/pecas/"/>
    <x v="2"/>
    <x v="388"/>
    <d v="2026-05-24T15:23:09"/>
    <d v="2026-05-24T15:23:09"/>
    <s v="::ffff:127.0.0.1"/>
    <s v="Apache-HttpClient/4.5.14 (Java/21.0.11)"/>
    <d v="2026-05-24T15:23:09"/>
  </r>
  <r>
    <s v="cmpjxfrkj00u8w2rwwm1mbria"/>
    <x v="4"/>
    <s v="GET"/>
    <s v="/api/v1/pecas"/>
    <s v="/api/v1/pecas/"/>
    <x v="2"/>
    <x v="389"/>
    <d v="2026-05-24T15:23:09"/>
    <d v="2026-05-24T15:23:09"/>
    <s v="::ffff:127.0.0.1"/>
    <s v="Apache-HttpClient/4.5.14 (Java/21.0.11)"/>
    <d v="2026-05-24T15:23:09"/>
  </r>
  <r>
    <s v="cmpjxfrkk00u9w2rwpc47isda"/>
    <x v="4"/>
    <s v="GET"/>
    <s v="/api/v1/pecas"/>
    <s v="/api/v1/pecas/"/>
    <x v="2"/>
    <x v="390"/>
    <d v="2026-05-24T15:23:09"/>
    <d v="2026-05-24T15:23:09"/>
    <s v="::ffff:127.0.0.1"/>
    <s v="Apache-HttpClient/4.5.14 (Java/21.0.11)"/>
    <d v="2026-05-24T15:23:09"/>
  </r>
  <r>
    <s v="cmpjxfrn000v3w2rw0b6w54da"/>
    <x v="4"/>
    <s v="GET"/>
    <s v="/api/v1/pecas"/>
    <s v="/api/v1/pecas/"/>
    <x v="2"/>
    <x v="391"/>
    <d v="2026-05-24T15:23:09"/>
    <d v="2026-05-24T15:23:09"/>
    <s v="::ffff:127.0.0.1"/>
    <s v="Apache-HttpClient/4.5.14 (Java/21.0.11)"/>
    <d v="2026-05-24T15:23:09"/>
  </r>
  <r>
    <s v="cmpjxfro000vfw2rwg7vhr2wb"/>
    <x v="4"/>
    <s v="GET"/>
    <s v="/api/v1/pecas"/>
    <s v="/api/v1/pecas/"/>
    <x v="2"/>
    <x v="392"/>
    <d v="2026-05-24T15:23:09"/>
    <d v="2026-05-24T15:23:09"/>
    <s v="::ffff:127.0.0.1"/>
    <s v="Apache-HttpClient/4.5.14 (Java/21.0.11)"/>
    <d v="2026-05-24T15:23:09"/>
  </r>
  <r>
    <s v="cmpjxfrpi00vrw2rwywdha2pb"/>
    <x v="4"/>
    <s v="GET"/>
    <s v="/api/v1/pecas"/>
    <s v="/api/v1/pecas/"/>
    <x v="2"/>
    <x v="183"/>
    <d v="2026-05-24T15:23:09"/>
    <d v="2026-05-24T15:23:09"/>
    <s v="::ffff:127.0.0.1"/>
    <s v="Apache-HttpClient/4.5.14 (Java/21.0.11)"/>
    <d v="2026-05-24T15:23:09"/>
  </r>
  <r>
    <s v="cmpjxfrq600vyw2rw2skwqxot"/>
    <x v="4"/>
    <s v="GET"/>
    <s v="/api/v1/pecas"/>
    <s v="/api/v1/pecas/"/>
    <x v="2"/>
    <x v="393"/>
    <d v="2026-05-24T15:23:09"/>
    <d v="2026-05-24T15:23:09"/>
    <s v="::ffff:127.0.0.1"/>
    <s v="Apache-HttpClient/4.5.14 (Java/21.0.11)"/>
    <d v="2026-05-24T15:23:09"/>
  </r>
  <r>
    <s v="cmpjxfrqz00w9w2rw875f3e4f"/>
    <x v="4"/>
    <s v="GET"/>
    <s v="/api/v1/pecas"/>
    <s v="/api/v1/pecas/"/>
    <x v="2"/>
    <x v="9"/>
    <d v="2026-05-24T15:23:09"/>
    <d v="2026-05-24T15:23:09"/>
    <s v="::ffff:127.0.0.1"/>
    <s v="Apache-HttpClient/4.5.14 (Java/21.0.11)"/>
    <d v="2026-05-24T15:23:09"/>
  </r>
  <r>
    <s v="cmpjxfrr600wbw2rwsxs6k3gn"/>
    <x v="4"/>
    <s v="GET"/>
    <s v="/api/v1/pecas"/>
    <s v="/api/v1/pecas/"/>
    <x v="2"/>
    <x v="394"/>
    <d v="2026-05-24T15:23:09"/>
    <d v="2026-05-24T15:23:09"/>
    <s v="::ffff:127.0.0.1"/>
    <s v="Apache-HttpClient/4.5.14 (Java/21.0.11)"/>
    <d v="2026-05-24T15:23:09"/>
  </r>
  <r>
    <s v="cmpjxfrra00wcw2rwy1s7i57t"/>
    <x v="4"/>
    <s v="GET"/>
    <s v="/api/v1/pecas"/>
    <s v="/api/v1/pecas/"/>
    <x v="2"/>
    <x v="24"/>
    <d v="2026-05-24T15:23:09"/>
    <d v="2026-05-24T15:23:09"/>
    <s v="::ffff:127.0.0.1"/>
    <s v="Apache-HttpClient/4.5.14 (Java/21.0.11)"/>
    <d v="2026-05-24T15:23:09"/>
  </r>
  <r>
    <s v="cmpjxfrrc00wdw2rwpg1tu1qg"/>
    <x v="4"/>
    <s v="GET"/>
    <s v="/api/v1/pecas"/>
    <s v="/api/v1/pecas/"/>
    <x v="2"/>
    <x v="395"/>
    <d v="2026-05-24T15:23:09"/>
    <d v="2026-05-24T15:23:09"/>
    <s v="::ffff:127.0.0.1"/>
    <s v="Apache-HttpClient/4.5.14 (Java/21.0.11)"/>
    <d v="2026-05-24T15:23:09"/>
  </r>
  <r>
    <s v="cmpjxfrs500wow2rwczdgcocf"/>
    <x v="4"/>
    <s v="GET"/>
    <s v="/api/v1/pecas"/>
    <s v="/api/v1/pecas/"/>
    <x v="2"/>
    <x v="10"/>
    <d v="2026-05-24T15:23:09"/>
    <d v="2026-05-24T15:23:09"/>
    <s v="::ffff:127.0.0.1"/>
    <s v="Apache-HttpClient/4.5.14 (Java/21.0.11)"/>
    <d v="2026-05-24T15:23:09"/>
  </r>
  <r>
    <s v="cmpjxfrte00x3w2rwx7j1pmna"/>
    <x v="4"/>
    <s v="GET"/>
    <s v="/api/v1/pecas"/>
    <s v="/api/v1/pecas/"/>
    <x v="2"/>
    <x v="396"/>
    <d v="2026-05-24T15:23:09"/>
    <d v="2026-05-24T15:23:09"/>
    <s v="::ffff:127.0.0.1"/>
    <s v="Apache-HttpClient/4.5.14 (Java/21.0.11)"/>
    <d v="2026-05-24T15:23:09"/>
  </r>
  <r>
    <s v="cmpjxfrv600xsw2rwp1x1zv4s"/>
    <x v="4"/>
    <s v="GET"/>
    <s v="/api/v1/pecas"/>
    <s v="/api/v1/pecas/"/>
    <x v="2"/>
    <x v="397"/>
    <d v="2026-05-24T15:23:09"/>
    <d v="2026-05-24T15:23:09"/>
    <s v="::ffff:127.0.0.1"/>
    <s v="Apache-HttpClient/4.5.14 (Java/21.0.11)"/>
    <d v="2026-05-24T15:23:09"/>
  </r>
  <r>
    <s v="cmpjxfrwc00y4w2rwjn6dqwd7"/>
    <x v="4"/>
    <s v="GET"/>
    <s v="/api/v1/pecas"/>
    <s v="/api/v1/pecas/"/>
    <x v="2"/>
    <x v="398"/>
    <d v="2026-05-24T15:23:09"/>
    <d v="2026-05-24T15:23:09"/>
    <s v="::ffff:127.0.0.1"/>
    <s v="Apache-HttpClient/4.5.14 (Java/21.0.11)"/>
    <d v="2026-05-24T15:23:09"/>
  </r>
  <r>
    <s v="cmpjxfrxz00ygw2rwwzm44cyf"/>
    <x v="4"/>
    <s v="GET"/>
    <s v="/api/v1/pecas"/>
    <s v="/api/v1/pecas/"/>
    <x v="2"/>
    <x v="399"/>
    <d v="2026-05-24T15:23:09"/>
    <d v="2026-05-24T15:23:09"/>
    <s v="::ffff:127.0.0.1"/>
    <s v="Apache-HttpClient/4.5.14 (Java/21.0.11)"/>
    <d v="2026-05-24T15:23:09"/>
  </r>
  <r>
    <s v="cmpjxfrym00yrw2rwvzgrnyti"/>
    <x v="4"/>
    <s v="GET"/>
    <s v="/api/v1/pecas"/>
    <s v="/api/v1/pecas/"/>
    <x v="2"/>
    <x v="4"/>
    <d v="2026-05-24T15:23:09"/>
    <d v="2026-05-24T15:23:09"/>
    <s v="::ffff:127.0.0.1"/>
    <s v="Apache-HttpClient/4.5.14 (Java/21.0.11)"/>
    <d v="2026-05-24T15:23:09"/>
  </r>
  <r>
    <s v="cmpjxfrz400yxw2rw8bztqdk1"/>
    <x v="4"/>
    <s v="GET"/>
    <s v="/api/v1/pecas"/>
    <s v="/api/v1/pecas/"/>
    <x v="2"/>
    <x v="400"/>
    <d v="2026-05-24T15:23:09"/>
    <d v="2026-05-24T15:23:09"/>
    <s v="::ffff:127.0.0.1"/>
    <s v="Apache-HttpClient/4.5.14 (Java/21.0.11)"/>
    <d v="2026-05-24T15:23:09"/>
  </r>
  <r>
    <s v="cmpjxfrzb00z1w2rwfb7biq5n"/>
    <x v="4"/>
    <s v="GET"/>
    <s v="/api/v1/pecas"/>
    <s v="/api/v1/pecas/"/>
    <x v="2"/>
    <x v="401"/>
    <d v="2026-05-24T15:23:09"/>
    <d v="2026-05-24T15:23:09"/>
    <s v="::ffff:127.0.0.1"/>
    <s v="Apache-HttpClient/4.5.14 (Java/21.0.11)"/>
    <d v="2026-05-24T15:23:09"/>
  </r>
  <r>
    <s v="cmpjxfrzd00z2w2rwyxwj9rwt"/>
    <x v="4"/>
    <s v="GET"/>
    <s v="/api/v1/pecas"/>
    <s v="/api/v1/pecas/"/>
    <x v="2"/>
    <x v="252"/>
    <d v="2026-05-24T15:23:09"/>
    <d v="2026-05-24T15:23:09"/>
    <s v="::ffff:127.0.0.1"/>
    <s v="Apache-HttpClient/4.5.14 (Java/21.0.11)"/>
    <d v="2026-05-24T15:23:09"/>
  </r>
  <r>
    <s v="cmpjxfrzf00z3w2rwiw35hwf9"/>
    <x v="4"/>
    <s v="GET"/>
    <s v="/api/v1/pecas"/>
    <s v="/api/v1/pecas/"/>
    <x v="2"/>
    <x v="402"/>
    <d v="2026-05-24T15:23:09"/>
    <d v="2026-05-24T15:23:09"/>
    <s v="::ffff:127.0.0.1"/>
    <s v="Apache-HttpClient/4.5.14 (Java/21.0.11)"/>
    <d v="2026-05-24T15:23:09"/>
  </r>
  <r>
    <s v="cmpjxfs0t00zmw2rwzpwnxsz9"/>
    <x v="4"/>
    <s v="GET"/>
    <s v="/api/v1/pecas"/>
    <s v="/api/v1/pecas/"/>
    <x v="2"/>
    <x v="403"/>
    <d v="2026-05-24T15:23:09"/>
    <d v="2026-05-24T15:23:09"/>
    <s v="::ffff:127.0.0.1"/>
    <s v="Apache-HttpClient/4.5.14 (Java/21.0.11)"/>
    <d v="2026-05-24T15:23:09"/>
  </r>
  <r>
    <s v="cmpjxfs1g00ztw2rw514z9dd6"/>
    <x v="4"/>
    <s v="GET"/>
    <s v="/api/v1/pecas"/>
    <s v="/api/v1/pecas/"/>
    <x v="2"/>
    <x v="404"/>
    <d v="2026-05-24T15:23:09"/>
    <d v="2026-05-24T15:23:09"/>
    <s v="::ffff:127.0.0.1"/>
    <s v="Apache-HttpClient/4.5.14 (Java/21.0.11)"/>
    <d v="2026-05-24T15:23:09"/>
  </r>
  <r>
    <s v="cmpjxfs38010jw2rw7ms0khtw"/>
    <x v="4"/>
    <s v="GET"/>
    <s v="/api/v1/pecas"/>
    <s v="/api/v1/pecas/"/>
    <x v="2"/>
    <x v="405"/>
    <d v="2026-05-24T15:23:09"/>
    <d v="2026-05-24T15:23:09"/>
    <s v="::ffff:127.0.0.1"/>
    <s v="Apache-HttpClient/4.5.14 (Java/21.0.11)"/>
    <d v="2026-05-24T15:23:09"/>
  </r>
  <r>
    <s v="cmpjxfs4k010ww2rwjj33z657"/>
    <x v="4"/>
    <s v="GET"/>
    <s v="/api/v1/pecas"/>
    <s v="/api/v1/pecas/"/>
    <x v="2"/>
    <x v="406"/>
    <d v="2026-05-24T15:23:09"/>
    <d v="2026-05-24T15:23:09"/>
    <s v="::ffff:127.0.0.1"/>
    <s v="Apache-HttpClient/4.5.14 (Java/21.0.11)"/>
    <d v="2026-05-24T15:23:09"/>
  </r>
  <r>
    <s v="cmpjxfs61011cw2rwkq3ao49t"/>
    <x v="4"/>
    <s v="GET"/>
    <s v="/api/v1/pecas"/>
    <s v="/api/v1/pecas/"/>
    <x v="2"/>
    <x v="407"/>
    <d v="2026-05-24T15:23:10"/>
    <d v="2026-05-24T15:23:10"/>
    <s v="::ffff:127.0.0.1"/>
    <s v="Apache-HttpClient/4.5.14 (Java/21.0.11)"/>
    <d v="2026-05-24T15:23:10"/>
  </r>
  <r>
    <s v="cmpjxfs6h011kw2rww89y0k2z"/>
    <x v="4"/>
    <s v="GET"/>
    <s v="/api/v1/pecas"/>
    <s v="/api/v1/pecas/"/>
    <x v="2"/>
    <x v="408"/>
    <d v="2026-05-24T15:23:10"/>
    <d v="2026-05-24T15:23:10"/>
    <s v="::ffff:127.0.0.1"/>
    <s v="Apache-HttpClient/4.5.14 (Java/21.0.11)"/>
    <d v="2026-05-24T15:23:10"/>
  </r>
  <r>
    <s v="cmpjxfs6m011nw2rwepjrm2rk"/>
    <x v="4"/>
    <s v="GET"/>
    <s v="/api/v1/pecas"/>
    <s v="/api/v1/pecas/"/>
    <x v="2"/>
    <x v="409"/>
    <d v="2026-05-24T15:23:10"/>
    <d v="2026-05-24T15:23:10"/>
    <s v="::ffff:127.0.0.1"/>
    <s v="Apache-HttpClient/4.5.14 (Java/21.0.11)"/>
    <d v="2026-05-24T15:23:10"/>
  </r>
  <r>
    <s v="cmpjxfs6p011pw2rw8j3t9bg0"/>
    <x v="4"/>
    <s v="GET"/>
    <s v="/api/v1/pecas"/>
    <s v="/api/v1/pecas/"/>
    <x v="2"/>
    <x v="410"/>
    <d v="2026-05-24T15:23:10"/>
    <d v="2026-05-24T15:23:10"/>
    <s v="::ffff:127.0.0.1"/>
    <s v="Apache-HttpClient/4.5.14 (Java/21.0.11)"/>
    <d v="2026-05-24T15:23:10"/>
  </r>
  <r>
    <s v="cmpjxfs6s011qw2rwtimwhvb9"/>
    <x v="4"/>
    <s v="GET"/>
    <s v="/api/v1/pecas"/>
    <s v="/api/v1/pecas/"/>
    <x v="2"/>
    <x v="411"/>
    <d v="2026-05-24T15:23:10"/>
    <d v="2026-05-24T15:23:10"/>
    <s v="::ffff:127.0.0.1"/>
    <s v="Apache-HttpClient/4.5.14 (Java/21.0.11)"/>
    <d v="2026-05-24T15:23:10"/>
  </r>
  <r>
    <s v="cmpjxfs7a011tw2rwmk1mj1cb"/>
    <x v="4"/>
    <s v="GET"/>
    <s v="/api/v1/pecas"/>
    <s v="/api/v1/pecas/"/>
    <x v="2"/>
    <x v="412"/>
    <d v="2026-05-24T15:23:10"/>
    <d v="2026-05-24T15:23:10"/>
    <s v="::ffff:127.0.0.1"/>
    <s v="Apache-HttpClient/4.5.14 (Java/21.0.11)"/>
    <d v="2026-05-24T15:23:10"/>
  </r>
  <r>
    <s v="cmpjxfs9e012fw2rwp3daxjgy"/>
    <x v="4"/>
    <s v="GET"/>
    <s v="/api/v1/pecas"/>
    <s v="/api/v1/pecas/"/>
    <x v="2"/>
    <x v="413"/>
    <d v="2026-05-24T15:23:10"/>
    <d v="2026-05-24T15:23:10"/>
    <s v="::ffff:127.0.0.1"/>
    <s v="Apache-HttpClient/4.5.14 (Java/21.0.11)"/>
    <d v="2026-05-24T15:23:10"/>
  </r>
  <r>
    <s v="cmpjxfs9v012lw2rwm1apiy4h"/>
    <x v="4"/>
    <s v="GET"/>
    <s v="/api/v1/pecas"/>
    <s v="/api/v1/pecas/"/>
    <x v="2"/>
    <x v="414"/>
    <d v="2026-05-24T15:23:10"/>
    <d v="2026-05-24T15:23:10"/>
    <s v="::ffff:127.0.0.1"/>
    <s v="Apache-HttpClient/4.5.14 (Java/21.0.11)"/>
    <d v="2026-05-24T15:23:10"/>
  </r>
  <r>
    <s v="cmpjxfsbs013ew2rwsprgpryt"/>
    <x v="4"/>
    <s v="GET"/>
    <s v="/api/v1/pecas"/>
    <s v="/api/v1/pecas/"/>
    <x v="2"/>
    <x v="415"/>
    <d v="2026-05-24T15:23:10"/>
    <d v="2026-05-24T15:23:10"/>
    <s v="::ffff:127.0.0.1"/>
    <s v="Apache-HttpClient/4.5.14 (Java/21.0.11)"/>
    <d v="2026-05-24T15:23:10"/>
  </r>
  <r>
    <s v="cmpjxfsd7013qw2rwerlpxbm0"/>
    <x v="4"/>
    <s v="GET"/>
    <s v="/api/v1/pecas"/>
    <s v="/api/v1/pecas/"/>
    <x v="2"/>
    <x v="416"/>
    <d v="2026-05-24T15:23:10"/>
    <d v="2026-05-24T15:23:10"/>
    <s v="::ffff:127.0.0.1"/>
    <s v="Apache-HttpClient/4.5.14 (Java/21.0.11)"/>
    <d v="2026-05-24T15:23:10"/>
  </r>
  <r>
    <s v="cmpjxfsej014bw2rw4ws4zube"/>
    <x v="4"/>
    <s v="GET"/>
    <s v="/api/v1/pecas"/>
    <s v="/api/v1/pecas/"/>
    <x v="2"/>
    <x v="417"/>
    <d v="2026-05-24T15:23:10"/>
    <d v="2026-05-24T15:23:10"/>
    <s v="::ffff:127.0.0.1"/>
    <s v="Apache-HttpClient/4.5.14 (Java/21.0.11)"/>
    <d v="2026-05-24T15:23:10"/>
  </r>
  <r>
    <s v="cmpjxfsem014cw2rwo80yrlu2"/>
    <x v="4"/>
    <s v="GET"/>
    <s v="/api/v1/pecas"/>
    <s v="/api/v1/pecas/"/>
    <x v="2"/>
    <x v="418"/>
    <d v="2026-05-24T15:23:10"/>
    <d v="2026-05-24T15:23:10"/>
    <s v="::ffff:127.0.0.1"/>
    <s v="Apache-HttpClient/4.5.14 (Java/21.0.11)"/>
    <d v="2026-05-24T15:23:10"/>
  </r>
  <r>
    <s v="cmpjxfsen014dw2rw1enaxwmx"/>
    <x v="4"/>
    <s v="GET"/>
    <s v="/api/v1/pecas"/>
    <s v="/api/v1/pecas/"/>
    <x v="2"/>
    <x v="419"/>
    <d v="2026-05-24T15:23:10"/>
    <d v="2026-05-24T15:23:10"/>
    <s v="::ffff:127.0.0.1"/>
    <s v="Apache-HttpClient/4.5.14 (Java/21.0.11)"/>
    <d v="2026-05-24T15:23:10"/>
  </r>
  <r>
    <s v="cmpjxfseo014ew2rwnhk6pne2"/>
    <x v="4"/>
    <s v="GET"/>
    <s v="/api/v1/pecas"/>
    <s v="/api/v1/pecas/"/>
    <x v="2"/>
    <x v="420"/>
    <d v="2026-05-24T15:23:10"/>
    <d v="2026-05-24T15:23:10"/>
    <s v="::ffff:127.0.0.1"/>
    <s v="Apache-HttpClient/4.5.14 (Java/21.0.11)"/>
    <d v="2026-05-24T15:23:10"/>
  </r>
  <r>
    <s v="cmpjxfses014fw2rwspn058gx"/>
    <x v="4"/>
    <s v="GET"/>
    <s v="/api/v1/pecas"/>
    <s v="/api/v1/pecas/"/>
    <x v="2"/>
    <x v="421"/>
    <d v="2026-05-24T15:23:10"/>
    <d v="2026-05-24T15:23:10"/>
    <s v="::ffff:127.0.0.1"/>
    <s v="Apache-HttpClient/4.5.14 (Java/21.0.11)"/>
    <d v="2026-05-24T15:23:10"/>
  </r>
  <r>
    <s v="cmpjxfsfg014pw2rw69ycn91t"/>
    <x v="4"/>
    <s v="GET"/>
    <s v="/api/v1/pecas"/>
    <s v="/api/v1/pecas/"/>
    <x v="2"/>
    <x v="422"/>
    <d v="2026-05-24T15:23:10"/>
    <d v="2026-05-24T15:23:10"/>
    <s v="::ffff:127.0.0.1"/>
    <s v="Apache-HttpClient/4.5.14 (Java/21.0.11)"/>
    <d v="2026-05-24T15:23:10"/>
  </r>
  <r>
    <s v="cmpjxfsgl0155w2rwvk34ksic"/>
    <x v="4"/>
    <s v="GET"/>
    <s v="/api/v1/pecas"/>
    <s v="/api/v1/pecas/"/>
    <x v="2"/>
    <x v="423"/>
    <d v="2026-05-24T15:23:10"/>
    <d v="2026-05-24T15:23:10"/>
    <s v="::ffff:127.0.0.1"/>
    <s v="Apache-HttpClient/4.5.14 (Java/21.0.11)"/>
    <d v="2026-05-24T15:23:10"/>
  </r>
  <r>
    <s v="cmpjxfshg015gw2rwmax5pwwr"/>
    <x v="4"/>
    <s v="GET"/>
    <s v="/api/v1/pecas"/>
    <s v="/api/v1/pecas/"/>
    <x v="2"/>
    <x v="29"/>
    <d v="2026-05-24T15:23:10"/>
    <d v="2026-05-24T15:23:10"/>
    <s v="::ffff:127.0.0.1"/>
    <s v="Apache-HttpClient/4.5.14 (Java/21.0.11)"/>
    <d v="2026-05-24T15:23:10"/>
  </r>
  <r>
    <s v="cmpjxfsj90165w2rwh6gw44fi"/>
    <x v="4"/>
    <s v="GET"/>
    <s v="/api/v1/pecas"/>
    <s v="/api/v1/pecas/"/>
    <x v="2"/>
    <x v="424"/>
    <d v="2026-05-24T15:23:10"/>
    <d v="2026-05-24T15:23:10"/>
    <s v="::ffff:127.0.0.1"/>
    <s v="Apache-HttpClient/4.5.14 (Java/21.0.11)"/>
    <d v="2026-05-24T15:23:10"/>
  </r>
  <r>
    <s v="cmpjxfskm016jw2rwvh2b2cl0"/>
    <x v="4"/>
    <s v="GET"/>
    <s v="/api/v1/pecas"/>
    <s v="/api/v1/pecas/"/>
    <x v="2"/>
    <x v="425"/>
    <d v="2026-05-24T15:23:10"/>
    <d v="2026-05-24T15:23:10"/>
    <s v="::ffff:127.0.0.1"/>
    <s v="Apache-HttpClient/4.5.14 (Java/21.0.11)"/>
    <d v="2026-05-24T15:23:10"/>
  </r>
  <r>
    <s v="cmpjxfslj016vw2rwql7z94d8"/>
    <x v="4"/>
    <s v="GET"/>
    <s v="/api/v1/pecas"/>
    <s v="/api/v1/pecas/"/>
    <x v="2"/>
    <x v="426"/>
    <d v="2026-05-24T15:23:10"/>
    <d v="2026-05-24T15:23:10"/>
    <s v="::ffff:127.0.0.1"/>
    <s v="Apache-HttpClient/4.5.14 (Java/21.0.11)"/>
    <d v="2026-05-24T15:23:10"/>
  </r>
  <r>
    <s v="cmpjxfsll016xw2rwxhk6bgrs"/>
    <x v="4"/>
    <s v="GET"/>
    <s v="/api/v1/pecas"/>
    <s v="/api/v1/pecas/"/>
    <x v="2"/>
    <x v="427"/>
    <d v="2026-05-24T15:23:10"/>
    <d v="2026-05-24T15:23:10"/>
    <s v="::ffff:127.0.0.1"/>
    <s v="Apache-HttpClient/4.5.14 (Java/21.0.11)"/>
    <d v="2026-05-24T15:23:10"/>
  </r>
  <r>
    <s v="cmpjxfsls0171w2rwwo1yqv4k"/>
    <x v="4"/>
    <s v="GET"/>
    <s v="/api/v1/pecas"/>
    <s v="/api/v1/pecas/"/>
    <x v="2"/>
    <x v="428"/>
    <d v="2026-05-24T15:23:10"/>
    <d v="2026-05-24T15:23:10"/>
    <s v="::ffff:127.0.0.1"/>
    <s v="Apache-HttpClient/4.5.14 (Java/21.0.11)"/>
    <d v="2026-05-24T15:23:10"/>
  </r>
  <r>
    <s v="cmpjxfslt0172w2rwi62se0ly"/>
    <x v="4"/>
    <s v="GET"/>
    <s v="/api/v1/pecas"/>
    <s v="/api/v1/pecas/"/>
    <x v="2"/>
    <x v="429"/>
    <d v="2026-05-24T15:23:10"/>
    <d v="2026-05-24T15:23:10"/>
    <s v="::ffff:127.0.0.1"/>
    <s v="Apache-HttpClient/4.5.14 (Java/21.0.11)"/>
    <d v="2026-05-24T15:23:10"/>
  </r>
  <r>
    <s v="cmpjxfsmt017ew2rwepc9e28d"/>
    <x v="4"/>
    <s v="GET"/>
    <s v="/api/v1/pecas"/>
    <s v="/api/v1/pecas/"/>
    <x v="2"/>
    <x v="430"/>
    <d v="2026-05-24T15:23:10"/>
    <d v="2026-05-24T15:23:10"/>
    <s v="::ffff:127.0.0.1"/>
    <s v="Apache-HttpClient/4.5.14 (Java/21.0.11)"/>
    <d v="2026-05-24T15:23:10"/>
  </r>
  <r>
    <s v="cmpjxfso2017vw2rwouwsarkz"/>
    <x v="4"/>
    <s v="GET"/>
    <s v="/api/v1/pecas"/>
    <s v="/api/v1/pecas/"/>
    <x v="2"/>
    <x v="80"/>
    <d v="2026-05-24T15:23:10"/>
    <d v="2026-05-24T15:23:10"/>
    <s v="::ffff:127.0.0.1"/>
    <s v="Apache-HttpClient/4.5.14 (Java/21.0.11)"/>
    <d v="2026-05-24T15:23:10"/>
  </r>
  <r>
    <s v="cmpjxfsor0184w2rwha4ant2m"/>
    <x v="4"/>
    <s v="GET"/>
    <s v="/api/v1/pecas"/>
    <s v="/api/v1/pecas/"/>
    <x v="2"/>
    <x v="431"/>
    <d v="2026-05-24T15:23:10"/>
    <d v="2026-05-24T15:23:10"/>
    <s v="::ffff:127.0.0.1"/>
    <s v="Apache-HttpClient/4.5.14 (Java/21.0.11)"/>
    <d v="2026-05-24T15:23:10"/>
  </r>
  <r>
    <s v="cmpjxfsqb018ow2rw7jb63bht"/>
    <x v="4"/>
    <s v="GET"/>
    <s v="/api/v1/pecas"/>
    <s v="/api/v1/pecas/"/>
    <x v="2"/>
    <x v="432"/>
    <d v="2026-05-24T15:23:10"/>
    <d v="2026-05-24T15:23:10"/>
    <s v="::ffff:127.0.0.1"/>
    <s v="Apache-HttpClient/4.5.14 (Java/21.0.11)"/>
    <d v="2026-05-24T15:23:10"/>
  </r>
  <r>
    <s v="cmpjxfsrk0194w2rwqz67235k"/>
    <x v="4"/>
    <s v="GET"/>
    <s v="/api/v1/pecas"/>
    <s v="/api/v1/pecas/"/>
    <x v="2"/>
    <x v="433"/>
    <d v="2026-05-24T15:23:10"/>
    <d v="2026-05-24T15:23:10"/>
    <s v="::ffff:127.0.0.1"/>
    <s v="Apache-HttpClient/4.5.14 (Java/21.0.11)"/>
    <d v="2026-05-24T15:23:10"/>
  </r>
  <r>
    <s v="cmpjxfsrx0197w2rwtbzld087"/>
    <x v="4"/>
    <s v="GET"/>
    <s v="/api/v1/pecas"/>
    <s v="/api/v1/pecas/"/>
    <x v="2"/>
    <x v="434"/>
    <d v="2026-05-24T15:23:10"/>
    <d v="2026-05-24T15:23:10"/>
    <s v="::ffff:127.0.0.1"/>
    <s v="Apache-HttpClient/4.5.14 (Java/21.0.11)"/>
    <d v="2026-05-24T15:23:10"/>
  </r>
  <r>
    <s v="cmpjxfss8019cw2rwmbm47nip"/>
    <x v="4"/>
    <s v="GET"/>
    <s v="/api/v1/pecas"/>
    <s v="/api/v1/pecas/"/>
    <x v="2"/>
    <x v="435"/>
    <d v="2026-05-24T15:23:10"/>
    <d v="2026-05-24T15:23:10"/>
    <s v="::ffff:127.0.0.1"/>
    <s v="Apache-HttpClient/4.5.14 (Java/21.0.11)"/>
    <d v="2026-05-24T15:23:10"/>
  </r>
  <r>
    <s v="cmpjxfssc019fw2rwub7p2c43"/>
    <x v="4"/>
    <s v="GET"/>
    <s v="/api/v1/pecas"/>
    <s v="/api/v1/pecas/"/>
    <x v="2"/>
    <x v="436"/>
    <d v="2026-05-24T15:23:10"/>
    <d v="2026-05-24T15:23:10"/>
    <s v="::ffff:127.0.0.1"/>
    <s v="Apache-HttpClient/4.5.14 (Java/21.0.11)"/>
    <d v="2026-05-24T15:23:10"/>
  </r>
  <r>
    <s v="cmpjxfst8019rw2rwu5czh12r"/>
    <x v="4"/>
    <s v="GET"/>
    <s v="/api/v1/pecas"/>
    <s v="/api/v1/pecas/"/>
    <x v="2"/>
    <x v="437"/>
    <d v="2026-05-24T15:23:10"/>
    <d v="2026-05-24T15:23:10"/>
    <s v="::ffff:127.0.0.1"/>
    <s v="Apache-HttpClient/4.5.14 (Java/21.0.11)"/>
    <d v="2026-05-24T15:23:10"/>
  </r>
  <r>
    <s v="cmpjxfsu201a2w2rwn1at7jrm"/>
    <x v="4"/>
    <s v="GET"/>
    <s v="/api/v1/pecas"/>
    <s v="/api/v1/pecas/"/>
    <x v="2"/>
    <x v="388"/>
    <d v="2026-05-24T15:23:10"/>
    <d v="2026-05-24T15:23:10"/>
    <s v="::ffff:127.0.0.1"/>
    <s v="Apache-HttpClient/4.5.14 (Java/21.0.11)"/>
    <d v="2026-05-24T15:23:10"/>
  </r>
  <r>
    <s v="cmpjxfsv101agw2rwm6yiri54"/>
    <x v="4"/>
    <s v="GET"/>
    <s v="/api/v1/pecas"/>
    <s v="/api/v1/pecas/"/>
    <x v="2"/>
    <x v="431"/>
    <d v="2026-05-24T15:23:10"/>
    <d v="2026-05-24T15:23:10"/>
    <s v="::ffff:127.0.0.1"/>
    <s v="Apache-HttpClient/4.5.14 (Java/21.0.11)"/>
    <d v="2026-05-24T15:23:10"/>
  </r>
  <r>
    <s v="cmpjxfswr01azw2rws4drqpg1"/>
    <x v="4"/>
    <s v="GET"/>
    <s v="/api/v1/pecas"/>
    <s v="/api/v1/pecas/"/>
    <x v="2"/>
    <x v="438"/>
    <d v="2026-05-24T15:23:10"/>
    <d v="2026-05-24T15:23:10"/>
    <s v="::ffff:127.0.0.1"/>
    <s v="Apache-HttpClient/4.5.14 (Java/21.0.11)"/>
    <d v="2026-05-24T15:23:10"/>
  </r>
  <r>
    <s v="cmpjxfsxg01b9w2rwxxnsfvre"/>
    <x v="4"/>
    <s v="GET"/>
    <s v="/api/v1/pecas"/>
    <s v="/api/v1/pecas/"/>
    <x v="2"/>
    <x v="439"/>
    <d v="2026-05-24T15:23:11"/>
    <d v="2026-05-24T15:23:11"/>
    <s v="::ffff:127.0.0.1"/>
    <s v="Apache-HttpClient/4.5.14 (Java/21.0.11)"/>
    <d v="2026-05-24T15:23:11"/>
  </r>
  <r>
    <s v="cmpjxfsxt01bew2rwtpbqs52k"/>
    <x v="4"/>
    <s v="GET"/>
    <s v="/api/v1/pecas"/>
    <s v="/api/v1/pecas/"/>
    <x v="2"/>
    <x v="307"/>
    <d v="2026-05-24T15:23:11"/>
    <d v="2026-05-24T15:23:11"/>
    <s v="::ffff:127.0.0.1"/>
    <s v="Apache-HttpClient/4.5.14 (Java/21.0.11)"/>
    <d v="2026-05-24T15:23:11"/>
  </r>
  <r>
    <s v="cmpjxfsy501biw2rwtplehx0w"/>
    <x v="4"/>
    <s v="GET"/>
    <s v="/api/v1/pecas"/>
    <s v="/api/v1/pecas/"/>
    <x v="2"/>
    <x v="440"/>
    <d v="2026-05-24T15:23:11"/>
    <d v="2026-05-24T15:23:11"/>
    <s v="::ffff:127.0.0.1"/>
    <s v="Apache-HttpClient/4.5.14 (Java/21.0.11)"/>
    <d v="2026-05-24T15:23:11"/>
  </r>
  <r>
    <s v="cmpjxfsyh01bow2rw0qzjkni5"/>
    <x v="4"/>
    <s v="GET"/>
    <s v="/api/v1/pecas"/>
    <s v="/api/v1/pecas/"/>
    <x v="2"/>
    <x v="441"/>
    <d v="2026-05-24T15:23:11"/>
    <d v="2026-05-24T15:23:11"/>
    <s v="::ffff:127.0.0.1"/>
    <s v="Apache-HttpClient/4.5.14 (Java/21.0.11)"/>
    <d v="2026-05-24T15:23:11"/>
  </r>
  <r>
    <s v="cmpjxfsz401bxw2rw9c87aqt2"/>
    <x v="4"/>
    <s v="GET"/>
    <s v="/api/v1/pecas"/>
    <s v="/api/v1/pecas/"/>
    <x v="2"/>
    <x v="442"/>
    <d v="2026-05-24T15:23:11"/>
    <d v="2026-05-24T15:23:11"/>
    <s v="::ffff:127.0.0.1"/>
    <s v="Apache-HttpClient/4.5.14 (Java/21.0.11)"/>
    <d v="2026-05-24T15:23:11"/>
  </r>
  <r>
    <s v="cmpjxft0w01clw2rwadpspxpt"/>
    <x v="4"/>
    <s v="GET"/>
    <s v="/api/v1/pecas"/>
    <s v="/api/v1/pecas/"/>
    <x v="2"/>
    <x v="443"/>
    <d v="2026-05-24T15:23:11"/>
    <d v="2026-05-24T15:23:11"/>
    <s v="::ffff:127.0.0.1"/>
    <s v="Apache-HttpClient/4.5.14 (Java/21.0.11)"/>
    <d v="2026-05-24T15:23:11"/>
  </r>
  <r>
    <s v="cmpjxft2h01d2w2rwf4bqb3da"/>
    <x v="4"/>
    <s v="GET"/>
    <s v="/api/v1/pecas"/>
    <s v="/api/v1/pecas/"/>
    <x v="2"/>
    <x v="444"/>
    <d v="2026-05-24T15:23:11"/>
    <d v="2026-05-24T15:23:11"/>
    <s v="::ffff:127.0.0.1"/>
    <s v="Apache-HttpClient/4.5.14 (Java/21.0.11)"/>
    <d v="2026-05-24T15:23:11"/>
  </r>
  <r>
    <s v="cmpjxft2q01d6w2rw2eujvcx1"/>
    <x v="4"/>
    <s v="GET"/>
    <s v="/api/v1/pecas"/>
    <s v="/api/v1/pecas/"/>
    <x v="2"/>
    <x v="445"/>
    <d v="2026-05-24T15:23:11"/>
    <d v="2026-05-24T15:23:11"/>
    <s v="::ffff:127.0.0.1"/>
    <s v="Apache-HttpClient/4.5.14 (Java/21.0.11)"/>
    <d v="2026-05-24T15:23:11"/>
  </r>
  <r>
    <s v="cmpjxft2x01daw2rwe9cit3sh"/>
    <x v="4"/>
    <s v="GET"/>
    <s v="/api/v1/pecas"/>
    <s v="/api/v1/pecas/"/>
    <x v="2"/>
    <x v="446"/>
    <d v="2026-05-24T15:23:11"/>
    <d v="2026-05-24T15:23:11"/>
    <s v="::ffff:127.0.0.1"/>
    <s v="Apache-HttpClient/4.5.14 (Java/21.0.11)"/>
    <d v="2026-05-24T15:23:11"/>
  </r>
  <r>
    <s v="cmpjxft3901ddw2rwls3ki4r5"/>
    <x v="4"/>
    <s v="GET"/>
    <s v="/api/v1/pecas"/>
    <s v="/api/v1/pecas/"/>
    <x v="2"/>
    <x v="447"/>
    <d v="2026-05-24T15:23:11"/>
    <d v="2026-05-24T15:23:11"/>
    <s v="::ffff:127.0.0.1"/>
    <s v="Apache-HttpClient/4.5.14 (Java/21.0.11)"/>
    <d v="2026-05-24T15:23:11"/>
  </r>
  <r>
    <s v="cmpjxft4d01drw2rwjfjtkso7"/>
    <x v="4"/>
    <s v="GET"/>
    <s v="/api/v1/pecas"/>
    <s v="/api/v1/pecas/"/>
    <x v="2"/>
    <x v="448"/>
    <d v="2026-05-24T15:23:11"/>
    <d v="2026-05-24T15:23:11"/>
    <s v="::ffff:127.0.0.1"/>
    <s v="Apache-HttpClient/4.5.14 (Java/21.0.11)"/>
    <d v="2026-05-24T15:23:11"/>
  </r>
  <r>
    <s v="cmpjxft6101ecw2rw96jfmn1y"/>
    <x v="4"/>
    <s v="GET"/>
    <s v="/api/v1/pecas"/>
    <s v="/api/v1/pecas/"/>
    <x v="2"/>
    <x v="449"/>
    <d v="2026-05-24T15:23:11"/>
    <d v="2026-05-24T15:23:11"/>
    <s v="::ffff:127.0.0.1"/>
    <s v="Apache-HttpClient/4.5.14 (Java/21.0.11)"/>
    <d v="2026-05-24T15:23:11"/>
  </r>
  <r>
    <s v="cmpjxft7201epw2rwlldxq66u"/>
    <x v="4"/>
    <s v="GET"/>
    <s v="/api/v1/pecas"/>
    <s v="/api/v1/pecas/"/>
    <x v="2"/>
    <x v="281"/>
    <d v="2026-05-24T15:23:11"/>
    <d v="2026-05-24T15:23:11"/>
    <s v="::ffff:127.0.0.1"/>
    <s v="Apache-HttpClient/4.5.14 (Java/21.0.11)"/>
    <d v="2026-05-24T15:23:11"/>
  </r>
  <r>
    <s v="cmpjxft7a01etw2rwuhq48xqe"/>
    <x v="4"/>
    <s v="GET"/>
    <s v="/api/v1/pecas"/>
    <s v="/api/v1/pecas/"/>
    <x v="2"/>
    <x v="450"/>
    <d v="2026-05-24T15:23:11"/>
    <d v="2026-05-24T15:23:11"/>
    <s v="::ffff:127.0.0.1"/>
    <s v="Apache-HttpClient/4.5.14 (Java/21.0.11)"/>
    <d v="2026-05-24T15:23:11"/>
  </r>
  <r>
    <s v="cmpjxft7m01eww2rwjy0svodf"/>
    <x v="4"/>
    <s v="GET"/>
    <s v="/api/v1/pecas"/>
    <s v="/api/v1/pecas/"/>
    <x v="2"/>
    <x v="451"/>
    <d v="2026-05-24T15:23:11"/>
    <d v="2026-05-24T15:23:11"/>
    <s v="::ffff:127.0.0.1"/>
    <s v="Apache-HttpClient/4.5.14 (Java/21.0.11)"/>
    <d v="2026-05-24T15:23:11"/>
  </r>
  <r>
    <s v="cmpjxft8j01f9w2rw4cmw1iwt"/>
    <x v="4"/>
    <s v="GET"/>
    <s v="/api/v1/pecas"/>
    <s v="/api/v1/pecas/"/>
    <x v="2"/>
    <x v="452"/>
    <d v="2026-05-24T15:23:11"/>
    <d v="2026-05-24T15:23:11"/>
    <s v="::ffff:127.0.0.1"/>
    <s v="Apache-HttpClient/4.5.14 (Java/21.0.11)"/>
    <d v="2026-05-24T15:23:11"/>
  </r>
  <r>
    <s v="cmpjxft9o01fpw2rwr5b3603v"/>
    <x v="4"/>
    <s v="GET"/>
    <s v="/api/v1/pecas"/>
    <s v="/api/v1/pecas/"/>
    <x v="2"/>
    <x v="453"/>
    <d v="2026-05-24T15:23:11"/>
    <d v="2026-05-24T15:23:11"/>
    <s v="::ffff:127.0.0.1"/>
    <s v="Apache-HttpClient/4.5.14 (Java/21.0.11)"/>
    <d v="2026-05-24T15:23:11"/>
  </r>
  <r>
    <s v="cmpjxftai01fyw2rwfnbxeetf"/>
    <x v="4"/>
    <s v="GET"/>
    <s v="/api/v1/pecas"/>
    <s v="/api/v1/pecas/"/>
    <x v="2"/>
    <x v="454"/>
    <d v="2026-05-24T15:23:11"/>
    <d v="2026-05-24T15:23:11"/>
    <s v="::ffff:127.0.0.1"/>
    <s v="Apache-HttpClient/4.5.14 (Java/21.0.11)"/>
    <d v="2026-05-24T15:23:11"/>
  </r>
  <r>
    <s v="cmpjxftbd01gaw2rwj4kumdm6"/>
    <x v="4"/>
    <s v="GET"/>
    <s v="/api/v1/pecas"/>
    <s v="/api/v1/pecas/"/>
    <x v="2"/>
    <x v="455"/>
    <d v="2026-05-24T15:23:11"/>
    <d v="2026-05-24T15:23:11"/>
    <s v="::ffff:127.0.0.1"/>
    <s v="Apache-HttpClient/4.5.14 (Java/21.0.11)"/>
    <d v="2026-05-24T15:23:11"/>
  </r>
  <r>
    <s v="cmpjxftc401gkw2rwoy5kvb10"/>
    <x v="4"/>
    <s v="GET"/>
    <s v="/api/v1/pecas"/>
    <s v="/api/v1/pecas/"/>
    <x v="2"/>
    <x v="456"/>
    <d v="2026-05-24T15:23:11"/>
    <d v="2026-05-24T15:23:11"/>
    <s v="::ffff:127.0.0.1"/>
    <s v="Apache-HttpClient/4.5.14 (Java/21.0.11)"/>
    <d v="2026-05-24T15:23:11"/>
  </r>
  <r>
    <s v="cmpjxfr3700paw2rwz1t13pbf"/>
    <x v="5"/>
    <s v="GET"/>
    <s v="/api/v1/pecas/21"/>
    <s v="/api/v1/pecas/:id"/>
    <x v="2"/>
    <x v="457"/>
    <d v="2026-05-24T15:23:08"/>
    <d v="2026-05-24T15:23:08"/>
    <s v="::ffff:127.0.0.1"/>
    <s v="Apache-HttpClient/4.5.14 (Java/21.0.11)"/>
    <d v="2026-05-24T15:23:08"/>
  </r>
  <r>
    <s v="cmpjxfr5q00prw2rwn23pjez1"/>
    <x v="5"/>
    <s v="GET"/>
    <s v="/api/v1/pecas/21"/>
    <s v="/api/v1/pecas/:id"/>
    <x v="2"/>
    <x v="458"/>
    <d v="2026-05-24T15:23:08"/>
    <d v="2026-05-24T15:23:08"/>
    <s v="::ffff:127.0.0.1"/>
    <s v="Apache-HttpClient/4.5.14 (Java/21.0.11)"/>
    <d v="2026-05-24T15:23:08"/>
  </r>
  <r>
    <s v="cmpjxfr5w00ptw2rwdo47j685"/>
    <x v="5"/>
    <s v="GET"/>
    <s v="/api/v1/pecas/22"/>
    <s v="/api/v1/pecas/:id"/>
    <x v="2"/>
    <x v="459"/>
    <d v="2026-05-24T15:23:08"/>
    <d v="2026-05-24T15:23:08"/>
    <s v="::ffff:127.0.0.1"/>
    <s v="Apache-HttpClient/4.5.14 (Java/21.0.11)"/>
    <d v="2026-05-24T15:23:08"/>
  </r>
  <r>
    <s v="cmpjxfr8700qgw2rwj6k3l4zi"/>
    <x v="5"/>
    <s v="GET"/>
    <s v="/api/v1/pecas/ID_NAO_ENCONTRADO"/>
    <s v="/api/v1/pecas/:id"/>
    <x v="1"/>
    <x v="460"/>
    <d v="2026-05-24T15:23:08"/>
    <d v="2026-05-24T15:23:08"/>
    <s v="::ffff:127.0.0.1"/>
    <s v="Apache-HttpClient/4.5.14 (Java/21.0.11)"/>
    <d v="2026-05-24T15:23:08"/>
  </r>
  <r>
    <s v="cmpjxfr8h00qkw2rwg1oi1f2y"/>
    <x v="5"/>
    <s v="GET"/>
    <s v="/api/v1/pecas/21"/>
    <s v="/api/v1/pecas/:id"/>
    <x v="2"/>
    <x v="461"/>
    <d v="2026-05-24T15:23:08"/>
    <d v="2026-05-24T15:23:08"/>
    <s v="::ffff:127.0.0.1"/>
    <s v="Apache-HttpClient/4.5.14 (Java/21.0.11)"/>
    <d v="2026-05-24T15:23:08"/>
  </r>
  <r>
    <s v="cmpjxfr9m00quw2rwjzld1yd8"/>
    <x v="5"/>
    <s v="GET"/>
    <s v="/api/v1/pecas/22"/>
    <s v="/api/v1/pecas/:id"/>
    <x v="2"/>
    <x v="462"/>
    <d v="2026-05-24T15:23:08"/>
    <d v="2026-05-24T15:23:08"/>
    <s v="::ffff:127.0.0.1"/>
    <s v="Apache-HttpClient/4.5.14 (Java/21.0.11)"/>
    <d v="2026-05-24T15:23:08"/>
  </r>
  <r>
    <s v="cmpjxfrbc00rew2rwzhbftkk1"/>
    <x v="5"/>
    <s v="GET"/>
    <s v="/api/v1/pecas/21"/>
    <s v="/api/v1/pecas/:id"/>
    <x v="2"/>
    <x v="463"/>
    <d v="2026-05-24T15:23:08"/>
    <d v="2026-05-24T15:23:08"/>
    <s v="::ffff:127.0.0.1"/>
    <s v="Apache-HttpClient/4.5.14 (Java/21.0.11)"/>
    <d v="2026-05-24T15:23:08"/>
  </r>
  <r>
    <s v="cmpjxfrbn00rkw2rwddyyvue7"/>
    <x v="5"/>
    <s v="GET"/>
    <s v="/api/v1/pecas/22"/>
    <s v="/api/v1/pecas/:id"/>
    <x v="2"/>
    <x v="464"/>
    <d v="2026-05-24T15:23:08"/>
    <d v="2026-05-24T15:23:08"/>
    <s v="::ffff:127.0.0.1"/>
    <s v="Apache-HttpClient/4.5.14 (Java/21.0.11)"/>
    <d v="2026-05-24T15:23:08"/>
  </r>
  <r>
    <s v="cmpjxfrct00ruw2rwmacapgta"/>
    <x v="5"/>
    <s v="GET"/>
    <s v="/api/v1/pecas/ID_NAO_ENCONTRADO"/>
    <s v="/api/v1/pecas/:id"/>
    <x v="1"/>
    <x v="465"/>
    <d v="2026-05-24T15:23:08"/>
    <d v="2026-05-24T15:23:08"/>
    <s v="::ffff:127.0.0.1"/>
    <s v="Apache-HttpClient/4.5.14 (Java/21.0.11)"/>
    <d v="2026-05-24T15:23:08"/>
  </r>
  <r>
    <s v="cmpjxfrcu00rvw2rwn1mperj3"/>
    <x v="5"/>
    <s v="GET"/>
    <s v="/api/v1/pecas/23"/>
    <s v="/api/v1/pecas/:id"/>
    <x v="2"/>
    <x v="466"/>
    <d v="2026-05-24T15:23:08"/>
    <d v="2026-05-24T15:23:08"/>
    <s v="::ffff:127.0.0.1"/>
    <s v="Apache-HttpClient/4.5.14 (Java/21.0.11)"/>
    <d v="2026-05-24T15:23:08"/>
  </r>
  <r>
    <s v="cmpjxfrfl00sqw2rwe5i86kwa"/>
    <x v="5"/>
    <s v="GET"/>
    <s v="/api/v1/pecas/21"/>
    <s v="/api/v1/pecas/:id"/>
    <x v="2"/>
    <x v="467"/>
    <d v="2026-05-24T15:23:09"/>
    <d v="2026-05-24T15:23:09"/>
    <s v="::ffff:127.0.0.1"/>
    <s v="Apache-HttpClient/4.5.14 (Java/21.0.11)"/>
    <d v="2026-05-24T15:23:09"/>
  </r>
  <r>
    <s v="cmpjxfrg500sww2rwx6bc4n0s"/>
    <x v="5"/>
    <s v="GET"/>
    <s v="/api/v1/pecas/22"/>
    <s v="/api/v1/pecas/:id"/>
    <x v="2"/>
    <x v="468"/>
    <d v="2026-05-24T15:23:09"/>
    <d v="2026-05-24T15:23:09"/>
    <s v="::ffff:127.0.0.1"/>
    <s v="Apache-HttpClient/4.5.14 (Java/21.0.11)"/>
    <d v="2026-05-24T15:23:09"/>
  </r>
  <r>
    <s v="cmpjxfrgz00t5w2rwh34subah"/>
    <x v="5"/>
    <s v="GET"/>
    <s v="/api/v1/pecas/23"/>
    <s v="/api/v1/pecas/:id"/>
    <x v="2"/>
    <x v="469"/>
    <d v="2026-05-24T15:23:09"/>
    <d v="2026-05-24T15:23:09"/>
    <s v="::ffff:127.0.0.1"/>
    <s v="Apache-HttpClient/4.5.14 (Java/21.0.11)"/>
    <d v="2026-05-24T15:23:09"/>
  </r>
  <r>
    <s v="cmpjxfrhe00t9w2rwuek9rcos"/>
    <x v="5"/>
    <s v="GET"/>
    <s v="/api/v1/pecas/ID_NAO_ENCONTRADO"/>
    <s v="/api/v1/pecas/:id"/>
    <x v="1"/>
    <x v="470"/>
    <d v="2026-05-24T15:23:09"/>
    <d v="2026-05-24T15:23:09"/>
    <s v="::ffff:127.0.0.1"/>
    <s v="Apache-HttpClient/4.5.14 (Java/21.0.11)"/>
    <d v="2026-05-24T15:23:09"/>
  </r>
  <r>
    <s v="cmpjxfrhj00tcw2rwqjjpri14"/>
    <x v="5"/>
    <s v="GET"/>
    <s v="/api/v1/pecas/24"/>
    <s v="/api/v1/pecas/:id"/>
    <x v="2"/>
    <x v="322"/>
    <d v="2026-05-24T15:23:09"/>
    <d v="2026-05-24T15:23:09"/>
    <s v="::ffff:127.0.0.1"/>
    <s v="Apache-HttpClient/4.5.14 (Java/21.0.11)"/>
    <d v="2026-05-24T15:23:09"/>
  </r>
  <r>
    <s v="cmpjxfrkt00ucw2rwlnd3feh2"/>
    <x v="5"/>
    <s v="GET"/>
    <s v="/api/v1/pecas/21"/>
    <s v="/api/v1/pecas/:id"/>
    <x v="2"/>
    <x v="444"/>
    <d v="2026-05-24T15:23:09"/>
    <d v="2026-05-24T15:23:09"/>
    <s v="::ffff:127.0.0.1"/>
    <s v="Apache-HttpClient/4.5.14 (Java/21.0.11)"/>
    <d v="2026-05-24T15:23:09"/>
  </r>
  <r>
    <s v="cmpjxfrln00umw2rwyrtoutp6"/>
    <x v="5"/>
    <s v="GET"/>
    <s v="/api/v1/pecas/22"/>
    <s v="/api/v1/pecas/:id"/>
    <x v="2"/>
    <x v="471"/>
    <d v="2026-05-24T15:23:09"/>
    <d v="2026-05-24T15:23:09"/>
    <s v="::ffff:127.0.0.1"/>
    <s v="Apache-HttpClient/4.5.14 (Java/21.0.11)"/>
    <d v="2026-05-24T15:23:09"/>
  </r>
  <r>
    <s v="cmpjxfrm900utw2rw0dmpysoa"/>
    <x v="5"/>
    <s v="GET"/>
    <s v="/api/v1/pecas/23"/>
    <s v="/api/v1/pecas/:id"/>
    <x v="2"/>
    <x v="213"/>
    <d v="2026-05-24T15:23:09"/>
    <d v="2026-05-24T15:23:09"/>
    <s v="::ffff:127.0.0.1"/>
    <s v="Apache-HttpClient/4.5.14 (Java/21.0.11)"/>
    <d v="2026-05-24T15:23:09"/>
  </r>
  <r>
    <s v="cmpjxfrmw00v2w2rwsw6ya6jm"/>
    <x v="5"/>
    <s v="GET"/>
    <s v="/api/v1/pecas/ID_NAO_ENCONTRADO"/>
    <s v="/api/v1/pecas/:id"/>
    <x v="1"/>
    <x v="472"/>
    <d v="2026-05-24T15:23:09"/>
    <d v="2026-05-24T15:23:09"/>
    <s v="::ffff:127.0.0.1"/>
    <s v="Apache-HttpClient/4.5.14 (Java/21.0.11)"/>
    <d v="2026-05-24T15:23:09"/>
  </r>
  <r>
    <s v="cmpjxfrn500v5w2rw6th7r6te"/>
    <x v="5"/>
    <s v="GET"/>
    <s v="/api/v1/pecas/24"/>
    <s v="/api/v1/pecas/:id"/>
    <x v="2"/>
    <x v="473"/>
    <d v="2026-05-24T15:23:09"/>
    <d v="2026-05-24T15:23:09"/>
    <s v="::ffff:127.0.0.1"/>
    <s v="Apache-HttpClient/4.5.14 (Java/21.0.11)"/>
    <d v="2026-05-24T15:23:09"/>
  </r>
  <r>
    <s v="cmpjxfrng00v8w2rwjjompmqj"/>
    <x v="5"/>
    <s v="GET"/>
    <s v="/api/v1/pecas/ID_NAO_ENCONTRADO"/>
    <s v="/api/v1/pecas/:id"/>
    <x v="1"/>
    <x v="474"/>
    <d v="2026-05-24T15:23:09"/>
    <d v="2026-05-24T15:23:09"/>
    <s v="::ffff:127.0.0.1"/>
    <s v="Apache-HttpClient/4.5.14 (Java/21.0.11)"/>
    <d v="2026-05-24T15:23:09"/>
  </r>
  <r>
    <s v="cmpjxfrnz00vew2rwrloeq9uz"/>
    <x v="5"/>
    <s v="GET"/>
    <s v="/api/v1/pecas/25"/>
    <s v="/api/v1/pecas/:id"/>
    <x v="2"/>
    <x v="475"/>
    <d v="2026-05-24T15:23:09"/>
    <d v="2026-05-24T15:23:09"/>
    <s v="::ffff:127.0.0.1"/>
    <s v="Apache-HttpClient/4.5.14 (Java/21.0.11)"/>
    <d v="2026-05-24T15:23:09"/>
  </r>
  <r>
    <s v="cmpjxfrrt00wiw2rwyb3rnhdv"/>
    <x v="5"/>
    <s v="GET"/>
    <s v="/api/v1/pecas/21"/>
    <s v="/api/v1/pecas/:id"/>
    <x v="2"/>
    <x v="476"/>
    <d v="2026-05-24T15:23:09"/>
    <d v="2026-05-24T15:23:09"/>
    <s v="::ffff:127.0.0.1"/>
    <s v="Apache-HttpClient/4.5.14 (Java/21.0.11)"/>
    <d v="2026-05-24T15:23:09"/>
  </r>
  <r>
    <s v="cmpjxfrsm00wvw2rwwjg2z1mg"/>
    <x v="5"/>
    <s v="GET"/>
    <s v="/api/v1/pecas/22"/>
    <s v="/api/v1/pecas/:id"/>
    <x v="2"/>
    <x v="311"/>
    <d v="2026-05-24T15:23:09"/>
    <d v="2026-05-24T15:23:09"/>
    <s v="::ffff:127.0.0.1"/>
    <s v="Apache-HttpClient/4.5.14 (Java/21.0.11)"/>
    <d v="2026-05-24T15:23:09"/>
  </r>
  <r>
    <s v="cmpjxfrtj00x5w2rwyw0o0x63"/>
    <x v="5"/>
    <s v="GET"/>
    <s v="/api/v1/pecas/23"/>
    <s v="/api/v1/pecas/:id"/>
    <x v="2"/>
    <x v="477"/>
    <d v="2026-05-24T15:23:09"/>
    <d v="2026-05-24T15:23:09"/>
    <s v="::ffff:127.0.0.1"/>
    <s v="Apache-HttpClient/4.5.14 (Java/21.0.11)"/>
    <d v="2026-05-24T15:23:09"/>
  </r>
  <r>
    <s v="cmpjxfrua00xdw2rw5ujpjs45"/>
    <x v="5"/>
    <s v="GET"/>
    <s v="/api/v1/pecas/24"/>
    <s v="/api/v1/pecas/:id"/>
    <x v="2"/>
    <x v="478"/>
    <d v="2026-05-24T15:23:09"/>
    <d v="2026-05-24T15:23:09"/>
    <s v="::ffff:127.0.0.1"/>
    <s v="Apache-HttpClient/4.5.14 (Java/21.0.11)"/>
    <d v="2026-05-24T15:23:09"/>
  </r>
  <r>
    <s v="cmpjxfrux00xnw2rw8u0ab3cw"/>
    <x v="5"/>
    <s v="GET"/>
    <s v="/api/v1/pecas/ID_NAO_ENCONTRADO"/>
    <s v="/api/v1/pecas/:id"/>
    <x v="1"/>
    <x v="479"/>
    <d v="2026-05-24T15:23:09"/>
    <d v="2026-05-24T15:23:09"/>
    <s v="::ffff:127.0.0.1"/>
    <s v="Apache-HttpClient/4.5.14 (Java/21.0.11)"/>
    <d v="2026-05-24T15:23:09"/>
  </r>
  <r>
    <s v="cmpjxfruz00xpw2rwngvru3ah"/>
    <x v="5"/>
    <s v="GET"/>
    <s v="/api/v1/pecas/ID_NAO_ENCONTRADO"/>
    <s v="/api/v1/pecas/:id"/>
    <x v="1"/>
    <x v="480"/>
    <d v="2026-05-24T15:23:09"/>
    <d v="2026-05-24T15:23:09"/>
    <s v="::ffff:127.0.0.1"/>
    <s v="Apache-HttpClient/4.5.14 (Java/21.0.11)"/>
    <d v="2026-05-24T15:23:09"/>
  </r>
  <r>
    <s v="cmpjxfrv100xqw2rwnzbne8xf"/>
    <x v="5"/>
    <s v="GET"/>
    <s v="/api/v1/pecas/ID_NAO_ENCONTRADO"/>
    <s v="/api/v1/pecas/:id"/>
    <x v="1"/>
    <x v="481"/>
    <d v="2026-05-24T15:23:09"/>
    <d v="2026-05-24T15:23:09"/>
    <s v="::ffff:127.0.0.1"/>
    <s v="Apache-HttpClient/4.5.14 (Java/21.0.11)"/>
    <d v="2026-05-24T15:23:09"/>
  </r>
  <r>
    <s v="cmpjxfrv400xrw2rwn5o98d2t"/>
    <x v="5"/>
    <s v="GET"/>
    <s v="/api/v1/pecas/25"/>
    <s v="/api/v1/pecas/:id"/>
    <x v="2"/>
    <x v="482"/>
    <d v="2026-05-24T15:23:09"/>
    <d v="2026-05-24T15:23:09"/>
    <s v="::ffff:127.0.0.1"/>
    <s v="Apache-HttpClient/4.5.14 (Java/21.0.11)"/>
    <d v="2026-05-24T15:23:09"/>
  </r>
  <r>
    <s v="cmpjxfrwr00y6w2rwib3700lo"/>
    <x v="5"/>
    <s v="GET"/>
    <s v="/api/v1/pecas/26"/>
    <s v="/api/v1/pecas/:id"/>
    <x v="2"/>
    <x v="483"/>
    <d v="2026-05-24T15:23:09"/>
    <d v="2026-05-24T15:23:09"/>
    <s v="::ffff:127.0.0.1"/>
    <s v="Apache-HttpClient/4.5.14 (Java/21.0.11)"/>
    <d v="2026-05-24T15:23:09"/>
  </r>
  <r>
    <s v="cmpjxfry900ymw2rwzzd9rdpr"/>
    <x v="5"/>
    <s v="GET"/>
    <s v="/api/v1/pecas/27"/>
    <s v="/api/v1/pecas/:id"/>
    <x v="2"/>
    <x v="484"/>
    <d v="2026-05-24T15:23:09"/>
    <d v="2026-05-24T15:23:09"/>
    <s v="::ffff:127.0.0.1"/>
    <s v="Apache-HttpClient/4.5.14 (Java/21.0.11)"/>
    <d v="2026-05-24T15:23:09"/>
  </r>
  <r>
    <s v="cmpjxfs0400zcw2rwam38qo76"/>
    <x v="5"/>
    <s v="GET"/>
    <s v="/api/v1/pecas/28"/>
    <s v="/api/v1/pecas/:id"/>
    <x v="2"/>
    <x v="485"/>
    <d v="2026-05-24T15:23:09"/>
    <d v="2026-05-24T15:23:09"/>
    <s v="::ffff:127.0.0.1"/>
    <s v="Apache-HttpClient/4.5.14 (Java/21.0.11)"/>
    <d v="2026-05-24T15:23:09"/>
  </r>
  <r>
    <s v="cmpjxfs0u00znw2rwzxy4qtt7"/>
    <x v="5"/>
    <s v="GET"/>
    <s v="/api/v1/pecas/29"/>
    <s v="/api/v1/pecas/:id"/>
    <x v="2"/>
    <x v="486"/>
    <d v="2026-05-24T15:23:09"/>
    <d v="2026-05-24T15:23:09"/>
    <s v="::ffff:127.0.0.1"/>
    <s v="Apache-HttpClient/4.5.14 (Java/21.0.11)"/>
    <d v="2026-05-24T15:23:09"/>
  </r>
  <r>
    <s v="cmpjxfs210101w2rwujwb1lb9"/>
    <x v="5"/>
    <s v="GET"/>
    <s v="/api/v1/pecas/30"/>
    <s v="/api/v1/pecas/:id"/>
    <x v="2"/>
    <x v="487"/>
    <d v="2026-05-24T15:23:09"/>
    <d v="2026-05-24T15:23:09"/>
    <s v="::ffff:127.0.0.1"/>
    <s v="Apache-HttpClient/4.5.14 (Java/21.0.11)"/>
    <d v="2026-05-24T15:23:09"/>
  </r>
  <r>
    <s v="cmpjxfs2l0108w2rw0siz4bgm"/>
    <x v="5"/>
    <s v="GET"/>
    <s v="/api/v1/pecas/31"/>
    <s v="/api/v1/pecas/:id"/>
    <x v="2"/>
    <x v="473"/>
    <d v="2026-05-24T15:23:09"/>
    <d v="2026-05-24T15:23:09"/>
    <s v="::ffff:127.0.0.1"/>
    <s v="Apache-HttpClient/4.5.14 (Java/21.0.11)"/>
    <d v="2026-05-24T15:23:09"/>
  </r>
  <r>
    <s v="cmpjxfs2t010dw2rwozqflbvq"/>
    <x v="5"/>
    <s v="GET"/>
    <s v="/api/v1/pecas/ID_NAO_ENCONTRADO"/>
    <s v="/api/v1/pecas/:id"/>
    <x v="1"/>
    <x v="488"/>
    <d v="2026-05-24T15:23:09"/>
    <d v="2026-05-24T15:23:09"/>
    <s v="::ffff:127.0.0.1"/>
    <s v="Apache-HttpClient/4.5.14 (Java/21.0.11)"/>
    <d v="2026-05-24T15:23:09"/>
  </r>
  <r>
    <s v="cmpjxfs2v010ew2rw1rywrk9k"/>
    <x v="5"/>
    <s v="GET"/>
    <s v="/api/v1/pecas/ID_NAO_ENCONTRADO"/>
    <s v="/api/v1/pecas/:id"/>
    <x v="1"/>
    <x v="489"/>
    <d v="2026-05-24T15:23:09"/>
    <d v="2026-05-24T15:23:09"/>
    <s v="::ffff:127.0.0.1"/>
    <s v="Apache-HttpClient/4.5.14 (Java/21.0.11)"/>
    <d v="2026-05-24T15:23:09"/>
  </r>
  <r>
    <s v="cmpjxfs2x010fw2rwyw4g6tfm"/>
    <x v="5"/>
    <s v="GET"/>
    <s v="/api/v1/pecas/ID_NAO_ENCONTRADO"/>
    <s v="/api/v1/pecas/:id"/>
    <x v="1"/>
    <x v="490"/>
    <d v="2026-05-24T15:23:09"/>
    <d v="2026-05-24T15:23:09"/>
    <s v="::ffff:127.0.0.1"/>
    <s v="Apache-HttpClient/4.5.14 (Java/21.0.11)"/>
    <d v="2026-05-24T15:23:09"/>
  </r>
  <r>
    <s v="cmpjxfs35010iw2rwxwh8yy9i"/>
    <x v="5"/>
    <s v="GET"/>
    <s v="/api/v1/pecas/32"/>
    <s v="/api/v1/pecas/:id"/>
    <x v="2"/>
    <x v="491"/>
    <d v="2026-05-24T15:23:09"/>
    <d v="2026-05-24T15:23:09"/>
    <s v="::ffff:127.0.0.1"/>
    <s v="Apache-HttpClient/4.5.14 (Java/21.0.11)"/>
    <d v="2026-05-24T15:23:09"/>
  </r>
  <r>
    <s v="cmpjxfs5o0117w2rwq5299hlm"/>
    <x v="5"/>
    <s v="GET"/>
    <s v="/api/v1/pecas/33"/>
    <s v="/api/v1/pecas/:id"/>
    <x v="2"/>
    <x v="492"/>
    <d v="2026-05-24T15:23:09"/>
    <d v="2026-05-24T15:23:10"/>
    <s v="::ffff:127.0.0.1"/>
    <s v="Apache-HttpClient/4.5.14 (Java/21.0.11)"/>
    <d v="2026-05-24T15:23:10"/>
  </r>
  <r>
    <s v="cmpjxfs62011dw2rwy4h2as0h"/>
    <x v="5"/>
    <s v="GET"/>
    <s v="/api/v1/pecas/34"/>
    <s v="/api/v1/pecas/:id"/>
    <x v="2"/>
    <x v="493"/>
    <d v="2026-05-24T15:23:10"/>
    <d v="2026-05-24T15:23:10"/>
    <s v="::ffff:127.0.0.1"/>
    <s v="Apache-HttpClient/4.5.14 (Java/21.0.11)"/>
    <d v="2026-05-24T15:23:10"/>
  </r>
  <r>
    <s v="cmpjxfs8j0126w2rwiqmz5e0j"/>
    <x v="5"/>
    <s v="GET"/>
    <s v="/api/v1/pecas/35"/>
    <s v="/api/v1/pecas/:id"/>
    <x v="2"/>
    <x v="494"/>
    <d v="2026-05-24T15:23:10"/>
    <d v="2026-05-24T15:23:10"/>
    <s v="::ffff:127.0.0.1"/>
    <s v="Apache-HttpClient/4.5.14 (Java/21.0.11)"/>
    <d v="2026-05-24T15:23:10"/>
  </r>
  <r>
    <s v="cmpjxfs9h012hw2rwfeh8od7o"/>
    <x v="5"/>
    <s v="GET"/>
    <s v="/api/v1/pecas/36"/>
    <s v="/api/v1/pecas/:id"/>
    <x v="2"/>
    <x v="495"/>
    <d v="2026-05-24T15:23:10"/>
    <d v="2026-05-24T15:23:10"/>
    <s v="::ffff:127.0.0.1"/>
    <s v="Apache-HttpClient/4.5.14 (Java/21.0.11)"/>
    <d v="2026-05-24T15:23:10"/>
  </r>
  <r>
    <s v="cmpjxfsan012xw2rwummooane"/>
    <x v="5"/>
    <s v="GET"/>
    <s v="/api/v1/pecas/37"/>
    <s v="/api/v1/pecas/:id"/>
    <x v="2"/>
    <x v="496"/>
    <d v="2026-05-24T15:23:10"/>
    <d v="2026-05-24T15:23:10"/>
    <s v="::ffff:127.0.0.1"/>
    <s v="Apache-HttpClient/4.5.14 (Java/21.0.11)"/>
    <d v="2026-05-24T15:23:10"/>
  </r>
  <r>
    <s v="cmpjxfsau012zw2rwvq4emgj8"/>
    <x v="5"/>
    <s v="GET"/>
    <s v="/api/v1/pecas/ID_NAO_ENCONTRADO"/>
    <s v="/api/v1/pecas/:id"/>
    <x v="1"/>
    <x v="497"/>
    <d v="2026-05-24T15:23:10"/>
    <d v="2026-05-24T15:23:10"/>
    <s v="::ffff:127.0.0.1"/>
    <s v="Apache-HttpClient/4.5.14 (Java/21.0.11)"/>
    <d v="2026-05-24T15:23:10"/>
  </r>
  <r>
    <s v="cmpjxfsav0130w2rwvb7u609a"/>
    <x v="5"/>
    <s v="GET"/>
    <s v="/api/v1/pecas/ID_NAO_ENCONTRADO"/>
    <s v="/api/v1/pecas/:id"/>
    <x v="1"/>
    <x v="498"/>
    <d v="2026-05-24T15:23:10"/>
    <d v="2026-05-24T15:23:10"/>
    <s v="::ffff:127.0.0.1"/>
    <s v="Apache-HttpClient/4.5.14 (Java/21.0.11)"/>
    <d v="2026-05-24T15:23:10"/>
  </r>
  <r>
    <s v="cmpjxfsax0131w2rw5zr108tw"/>
    <x v="5"/>
    <s v="GET"/>
    <s v="/api/v1/pecas/ID_NAO_ENCONTRADO"/>
    <s v="/api/v1/pecas/:id"/>
    <x v="1"/>
    <x v="499"/>
    <d v="2026-05-24T15:23:10"/>
    <d v="2026-05-24T15:23:10"/>
    <s v="::ffff:127.0.0.1"/>
    <s v="Apache-HttpClient/4.5.14 (Java/21.0.11)"/>
    <d v="2026-05-24T15:23:10"/>
  </r>
  <r>
    <s v="cmpjxfsb90135w2rw036ww2u5"/>
    <x v="5"/>
    <s v="GET"/>
    <s v="/api/v1/pecas/38"/>
    <s v="/api/v1/pecas/:id"/>
    <x v="2"/>
    <x v="349"/>
    <d v="2026-05-24T15:23:10"/>
    <d v="2026-05-24T15:23:10"/>
    <s v="::ffff:127.0.0.1"/>
    <s v="Apache-HttpClient/4.5.14 (Java/21.0.11)"/>
    <d v="2026-05-24T15:23:10"/>
  </r>
  <r>
    <s v="cmpjxfsbn013bw2rw3zvkm53i"/>
    <x v="5"/>
    <s v="GET"/>
    <s v="/api/v1/pecas/39"/>
    <s v="/api/v1/pecas/:id"/>
    <x v="2"/>
    <x v="255"/>
    <d v="2026-05-24T15:23:10"/>
    <d v="2026-05-24T15:23:10"/>
    <s v="::ffff:127.0.0.1"/>
    <s v="Apache-HttpClient/4.5.14 (Java/21.0.11)"/>
    <d v="2026-05-24T15:23:10"/>
  </r>
  <r>
    <s v="cmpjxfsdl013ww2rwlgvoubeh"/>
    <x v="5"/>
    <s v="GET"/>
    <s v="/api/v1/pecas/40"/>
    <s v="/api/v1/pecas/:id"/>
    <x v="2"/>
    <x v="500"/>
    <d v="2026-05-24T15:23:10"/>
    <d v="2026-05-24T15:23:10"/>
    <s v="::ffff:127.0.0.1"/>
    <s v="Apache-HttpClient/4.5.14 (Java/21.0.11)"/>
    <d v="2026-05-24T15:23:10"/>
  </r>
  <r>
    <s v="cmpjxfse60145w2rwl9nkcxar"/>
    <x v="5"/>
    <s v="GET"/>
    <s v="/api/v1/pecas/41"/>
    <s v="/api/v1/pecas/:id"/>
    <x v="2"/>
    <x v="366"/>
    <d v="2026-05-24T15:23:10"/>
    <d v="2026-05-24T15:23:10"/>
    <s v="::ffff:127.0.0.1"/>
    <s v="Apache-HttpClient/4.5.14 (Java/21.0.11)"/>
    <d v="2026-05-24T15:23:10"/>
  </r>
  <r>
    <s v="cmpjxfsg1014yw2rwvhumlibs"/>
    <x v="5"/>
    <s v="GET"/>
    <s v="/api/v1/pecas/42"/>
    <s v="/api/v1/pecas/:id"/>
    <x v="2"/>
    <x v="501"/>
    <d v="2026-05-24T15:23:10"/>
    <d v="2026-05-24T15:23:10"/>
    <s v="::ffff:127.0.0.1"/>
    <s v="Apache-HttpClient/4.5.14 (Java/21.0.11)"/>
    <d v="2026-05-24T15:23:10"/>
  </r>
  <r>
    <s v="cmpjxfsgz015cw2rw2pp77dia"/>
    <x v="5"/>
    <s v="GET"/>
    <s v="/api/v1/pecas/43"/>
    <s v="/api/v1/pecas/:id"/>
    <x v="2"/>
    <x v="502"/>
    <d v="2026-05-24T15:23:10"/>
    <d v="2026-05-24T15:23:10"/>
    <s v="::ffff:127.0.0.1"/>
    <s v="Apache-HttpClient/4.5.14 (Java/21.0.11)"/>
    <d v="2026-05-24T15:23:10"/>
  </r>
  <r>
    <s v="cmpjxfshu015ow2rwdtx9es3o"/>
    <x v="5"/>
    <s v="GET"/>
    <s v="/api/v1/pecas/ID_NAO_ENCONTRADO"/>
    <s v="/api/v1/pecas/:id"/>
    <x v="1"/>
    <x v="503"/>
    <d v="2026-05-24T15:23:10"/>
    <d v="2026-05-24T15:23:10"/>
    <s v="::ffff:127.0.0.1"/>
    <s v="Apache-HttpClient/4.5.14 (Java/21.0.11)"/>
    <d v="2026-05-24T15:23:10"/>
  </r>
  <r>
    <s v="cmpjxfsi0015rw2rwcp9brgp3"/>
    <x v="5"/>
    <s v="GET"/>
    <s v="/api/v1/pecas/ID_NAO_ENCONTRADO"/>
    <s v="/api/v1/pecas/:id"/>
    <x v="1"/>
    <x v="504"/>
    <d v="2026-05-24T15:23:10"/>
    <d v="2026-05-24T15:23:10"/>
    <s v="::ffff:127.0.0.1"/>
    <s v="Apache-HttpClient/4.5.14 (Java/21.0.11)"/>
    <d v="2026-05-24T15:23:10"/>
  </r>
  <r>
    <s v="cmpjxfsi1015sw2rwuta42w6m"/>
    <x v="5"/>
    <s v="GET"/>
    <s v="/api/v1/pecas/ID_NAO_ENCONTRADO"/>
    <s v="/api/v1/pecas/:id"/>
    <x v="1"/>
    <x v="505"/>
    <d v="2026-05-24T15:23:10"/>
    <d v="2026-05-24T15:23:10"/>
    <s v="::ffff:127.0.0.1"/>
    <s v="Apache-HttpClient/4.5.14 (Java/21.0.11)"/>
    <d v="2026-05-24T15:23:10"/>
  </r>
  <r>
    <s v="cmpjxfsi2015tw2rwhjm0dyoa"/>
    <x v="5"/>
    <s v="GET"/>
    <s v="/api/v1/pecas/ID_NAO_ENCONTRADO"/>
    <s v="/api/v1/pecas/:id"/>
    <x v="1"/>
    <x v="506"/>
    <d v="2026-05-24T15:23:10"/>
    <d v="2026-05-24T15:23:10"/>
    <s v="::ffff:127.0.0.1"/>
    <s v="Apache-HttpClient/4.5.14 (Java/21.0.11)"/>
    <d v="2026-05-24T15:23:10"/>
  </r>
  <r>
    <s v="cmpjxfsi8015uw2rwdd81tmet"/>
    <x v="5"/>
    <s v="GET"/>
    <s v="/api/v1/pecas/44"/>
    <s v="/api/v1/pecas/:id"/>
    <x v="2"/>
    <x v="507"/>
    <d v="2026-05-24T15:23:10"/>
    <d v="2026-05-24T15:23:10"/>
    <s v="::ffff:127.0.0.1"/>
    <s v="Apache-HttpClient/4.5.14 (Java/21.0.11)"/>
    <d v="2026-05-24T15:23:10"/>
  </r>
  <r>
    <s v="cmpjxfsjb0167w2rwcawhqf1h"/>
    <x v="5"/>
    <s v="GET"/>
    <s v="/api/v1/pecas/45"/>
    <s v="/api/v1/pecas/:id"/>
    <x v="2"/>
    <x v="273"/>
    <d v="2026-05-24T15:23:10"/>
    <d v="2026-05-24T15:23:10"/>
    <s v="::ffff:127.0.0.1"/>
    <s v="Apache-HttpClient/4.5.14 (Java/21.0.11)"/>
    <d v="2026-05-24T15:23:10"/>
  </r>
  <r>
    <s v="cmpjxfsl1016ow2rwn573cu3u"/>
    <x v="5"/>
    <s v="GET"/>
    <s v="/api/v1/pecas/46"/>
    <s v="/api/v1/pecas/:id"/>
    <x v="2"/>
    <x v="508"/>
    <d v="2026-05-24T15:23:10"/>
    <d v="2026-05-24T15:23:10"/>
    <s v="::ffff:127.0.0.1"/>
    <s v="Apache-HttpClient/4.5.14 (Java/21.0.11)"/>
    <d v="2026-05-24T15:23:10"/>
  </r>
  <r>
    <s v="cmpjxfslk016ww2rwszocc79b"/>
    <x v="5"/>
    <s v="GET"/>
    <s v="/api/v1/pecas/47"/>
    <s v="/api/v1/pecas/:id"/>
    <x v="2"/>
    <x v="300"/>
    <d v="2026-05-24T15:23:10"/>
    <d v="2026-05-24T15:23:10"/>
    <s v="::ffff:127.0.0.1"/>
    <s v="Apache-HttpClient/4.5.14 (Java/21.0.11)"/>
    <d v="2026-05-24T15:23:10"/>
  </r>
  <r>
    <s v="cmpjxfsnd017kw2rwhxraqr0n"/>
    <x v="5"/>
    <s v="GET"/>
    <s v="/api/v1/pecas/48"/>
    <s v="/api/v1/pecas/:id"/>
    <x v="2"/>
    <x v="324"/>
    <d v="2026-05-24T15:23:10"/>
    <d v="2026-05-24T15:23:10"/>
    <s v="::ffff:127.0.0.1"/>
    <s v="Apache-HttpClient/4.5.14 (Java/21.0.11)"/>
    <d v="2026-05-24T15:23:10"/>
  </r>
  <r>
    <s v="cmpjxfsob017zw2rwk9di3c8v"/>
    <x v="5"/>
    <s v="GET"/>
    <s v="/api/v1/pecas/49"/>
    <s v="/api/v1/pecas/:id"/>
    <x v="2"/>
    <x v="509"/>
    <d v="2026-05-24T15:23:10"/>
    <d v="2026-05-24T15:23:10"/>
    <s v="::ffff:127.0.0.1"/>
    <s v="Apache-HttpClient/4.5.14 (Java/21.0.11)"/>
    <d v="2026-05-24T15:23:10"/>
  </r>
  <r>
    <s v="cmpjxfsos0185w2rwjhastxcr"/>
    <x v="5"/>
    <s v="GET"/>
    <s v="/api/v1/pecas/ID_NAO_ENCONTRADO"/>
    <s v="/api/v1/pecas/:id"/>
    <x v="1"/>
    <x v="510"/>
    <d v="2026-05-24T15:23:10"/>
    <d v="2026-05-24T15:23:10"/>
    <s v="::ffff:127.0.0.1"/>
    <s v="Apache-HttpClient/4.5.14 (Java/21.0.11)"/>
    <d v="2026-05-24T15:23:10"/>
  </r>
  <r>
    <s v="cmpjxfsov0187w2rw40ytfyb3"/>
    <x v="5"/>
    <s v="GET"/>
    <s v="/api/v1/pecas/ID_NAO_ENCONTRADO"/>
    <s v="/api/v1/pecas/:id"/>
    <x v="1"/>
    <x v="511"/>
    <d v="2026-05-24T15:23:10"/>
    <d v="2026-05-24T15:23:10"/>
    <s v="::ffff:127.0.0.1"/>
    <s v="Apache-HttpClient/4.5.14 (Java/21.0.11)"/>
    <d v="2026-05-24T15:23:10"/>
  </r>
  <r>
    <s v="cmpjxfsoy0189w2rwa3nunooz"/>
    <x v="5"/>
    <s v="GET"/>
    <s v="/api/v1/pecas/ID_NAO_ENCONTRADO"/>
    <s v="/api/v1/pecas/:id"/>
    <x v="1"/>
    <x v="512"/>
    <d v="2026-05-24T15:23:10"/>
    <d v="2026-05-24T15:23:10"/>
    <s v="::ffff:127.0.0.1"/>
    <s v="Apache-HttpClient/4.5.14 (Java/21.0.11)"/>
    <d v="2026-05-24T15:23:10"/>
  </r>
  <r>
    <s v="cmpjxfsp5018bw2rwptjdsl2e"/>
    <x v="5"/>
    <s v="GET"/>
    <s v="/api/v1/pecas/50"/>
    <s v="/api/v1/pecas/:id"/>
    <x v="2"/>
    <x v="513"/>
    <d v="2026-05-24T15:23:10"/>
    <d v="2026-05-24T15:23:10"/>
    <s v="::ffff:127.0.0.1"/>
    <s v="Apache-HttpClient/4.5.14 (Java/21.0.11)"/>
    <d v="2026-05-24T15:23:10"/>
  </r>
  <r>
    <s v="cmpjxfsqc018pw2rwasmxtv2v"/>
    <x v="5"/>
    <s v="GET"/>
    <s v="/api/v1/pecas/51"/>
    <s v="/api/v1/pecas/:id"/>
    <x v="2"/>
    <x v="514"/>
    <d v="2026-05-24T15:23:10"/>
    <d v="2026-05-24T15:23:10"/>
    <s v="::ffff:127.0.0.1"/>
    <s v="Apache-HttpClient/4.5.14 (Java/21.0.11)"/>
    <d v="2026-05-24T15:23:10"/>
  </r>
  <r>
    <s v="cmpjxfsrg0192w2rwgl1cxdso"/>
    <x v="5"/>
    <s v="GET"/>
    <s v="/api/v1/pecas/52"/>
    <s v="/api/v1/pecas/:id"/>
    <x v="2"/>
    <x v="4"/>
    <d v="2026-05-24T15:23:10"/>
    <d v="2026-05-24T15:23:10"/>
    <s v="::ffff:127.0.0.1"/>
    <s v="Apache-HttpClient/4.5.14 (Java/21.0.11)"/>
    <d v="2026-05-24T15:23:10"/>
  </r>
  <r>
    <s v="cmpjxfssf019hw2rwm0r5cw87"/>
    <x v="5"/>
    <s v="GET"/>
    <s v="/api/v1/pecas/53"/>
    <s v="/api/v1/pecas/:id"/>
    <x v="2"/>
    <x v="515"/>
    <d v="2026-05-24T15:23:10"/>
    <d v="2026-05-24T15:23:10"/>
    <s v="::ffff:127.0.0.1"/>
    <s v="Apache-HttpClient/4.5.14 (Java/21.0.11)"/>
    <d v="2026-05-24T15:23:10"/>
  </r>
  <r>
    <s v="cmpjxfstu019zw2rw6zkfkf1f"/>
    <x v="5"/>
    <s v="GET"/>
    <s v="/api/v1/pecas/54"/>
    <s v="/api/v1/pecas/:id"/>
    <x v="2"/>
    <x v="316"/>
    <d v="2026-05-24T15:23:10"/>
    <d v="2026-05-24T15:23:10"/>
    <s v="::ffff:127.0.0.1"/>
    <s v="Apache-HttpClient/4.5.14 (Java/21.0.11)"/>
    <d v="2026-05-24T15:23:10"/>
  </r>
  <r>
    <s v="cmpjxfsud01a8w2rwqnjo76cf"/>
    <x v="5"/>
    <s v="GET"/>
    <s v="/api/v1/pecas/ID_NAO_ENCONTRADO"/>
    <s v="/api/v1/pecas/:id"/>
    <x v="1"/>
    <x v="516"/>
    <d v="2026-05-24T15:23:10"/>
    <d v="2026-05-24T15:23:10"/>
    <s v="::ffff:127.0.0.1"/>
    <s v="Apache-HttpClient/4.5.14 (Java/21.0.11)"/>
    <d v="2026-05-24T15:23:10"/>
  </r>
  <r>
    <s v="cmpjxfsum01acw2rwg053h1ls"/>
    <x v="5"/>
    <s v="GET"/>
    <s v="/api/v1/pecas/55"/>
    <s v="/api/v1/pecas/:id"/>
    <x v="2"/>
    <x v="517"/>
    <d v="2026-05-24T15:23:10"/>
    <d v="2026-05-24T15:23:10"/>
    <s v="::ffff:127.0.0.1"/>
    <s v="Apache-HttpClient/4.5.14 (Java/21.0.11)"/>
    <d v="2026-05-24T15:23:10"/>
  </r>
  <r>
    <s v="cmpjxfsv301aiw2rw161y3x72"/>
    <x v="5"/>
    <s v="GET"/>
    <s v="/api/v1/pecas/ID_NAO_ENCONTRADO"/>
    <s v="/api/v1/pecas/:id"/>
    <x v="1"/>
    <x v="518"/>
    <d v="2026-05-24T15:23:10"/>
    <d v="2026-05-24T15:23:10"/>
    <s v="::ffff:127.0.0.1"/>
    <s v="Apache-HttpClient/4.5.14 (Java/21.0.11)"/>
    <d v="2026-05-24T15:23:10"/>
  </r>
  <r>
    <s v="cmpjxfsvf01alw2rw4dx29g5i"/>
    <x v="5"/>
    <s v="GET"/>
    <s v="/api/v1/pecas/56"/>
    <s v="/api/v1/pecas/:id"/>
    <x v="2"/>
    <x v="487"/>
    <d v="2026-05-24T15:23:10"/>
    <d v="2026-05-24T15:23:10"/>
    <s v="::ffff:127.0.0.1"/>
    <s v="Apache-HttpClient/4.5.14 (Java/21.0.11)"/>
    <d v="2026-05-24T15:23:10"/>
  </r>
  <r>
    <s v="cmpjxfswj01axw2rwcby1koyq"/>
    <x v="5"/>
    <s v="GET"/>
    <s v="/api/v1/pecas/57"/>
    <s v="/api/v1/pecas/:id"/>
    <x v="2"/>
    <x v="424"/>
    <d v="2026-05-24T15:23:10"/>
    <d v="2026-05-24T15:23:10"/>
    <s v="::ffff:127.0.0.1"/>
    <s v="Apache-HttpClient/4.5.14 (Java/21.0.11)"/>
    <d v="2026-05-24T15:23:10"/>
  </r>
  <r>
    <s v="cmpjxfsxp01bcw2rwp894f32t"/>
    <x v="5"/>
    <s v="GET"/>
    <s v="/api/v1/pecas/58"/>
    <s v="/api/v1/pecas/:id"/>
    <x v="2"/>
    <x v="519"/>
    <d v="2026-05-24T15:23:11"/>
    <d v="2026-05-24T15:23:11"/>
    <s v="::ffff:127.0.0.1"/>
    <s v="Apache-HttpClient/4.5.14 (Java/21.0.11)"/>
    <d v="2026-05-24T15:23:11"/>
  </r>
  <r>
    <s v="cmpjxfsyp01brw2rw2taylksw"/>
    <x v="5"/>
    <s v="GET"/>
    <s v="/api/v1/pecas/59"/>
    <s v="/api/v1/pecas/:id"/>
    <x v="2"/>
    <x v="520"/>
    <d v="2026-05-24T15:23:11"/>
    <d v="2026-05-24T15:23:11"/>
    <s v="::ffff:127.0.0.1"/>
    <s v="Apache-HttpClient/4.5.14 (Java/21.0.11)"/>
    <d v="2026-05-24T15:23:11"/>
  </r>
  <r>
    <s v="cmpjxfszu01c5w2rwuy23rnhx"/>
    <x v="5"/>
    <s v="GET"/>
    <s v="/api/v1/pecas/60"/>
    <s v="/api/v1/pecas/:id"/>
    <x v="2"/>
    <x v="521"/>
    <d v="2026-05-24T15:23:11"/>
    <d v="2026-05-24T15:23:11"/>
    <s v="::ffff:127.0.0.1"/>
    <s v="Apache-HttpClient/4.5.14 (Java/21.0.11)"/>
    <d v="2026-05-24T15:23:11"/>
  </r>
  <r>
    <s v="cmpjxft0801cbw2rwtu32xipx"/>
    <x v="5"/>
    <s v="GET"/>
    <s v="/api/v1/pecas/61"/>
    <s v="/api/v1/pecas/:id"/>
    <x v="2"/>
    <x v="522"/>
    <d v="2026-05-24T15:23:11"/>
    <d v="2026-05-24T15:23:11"/>
    <s v="::ffff:127.0.0.1"/>
    <s v="Apache-HttpClient/4.5.14 (Java/21.0.11)"/>
    <d v="2026-05-24T15:23:11"/>
  </r>
  <r>
    <s v="cmpjxft0d01cew2rw9s48m42p"/>
    <x v="5"/>
    <s v="GET"/>
    <s v="/api/v1/pecas/ID_NAO_ENCONTRADO"/>
    <s v="/api/v1/pecas/:id"/>
    <x v="1"/>
    <x v="523"/>
    <d v="2026-05-24T15:23:11"/>
    <d v="2026-05-24T15:23:11"/>
    <s v="::ffff:127.0.0.1"/>
    <s v="Apache-HttpClient/4.5.14 (Java/21.0.11)"/>
    <d v="2026-05-24T15:23:11"/>
  </r>
  <r>
    <s v="cmpjxft0j01cgw2rwpz4geopw"/>
    <x v="5"/>
    <s v="GET"/>
    <s v="/api/v1/pecas/62"/>
    <s v="/api/v1/pecas/:id"/>
    <x v="2"/>
    <x v="524"/>
    <d v="2026-05-24T15:23:11"/>
    <d v="2026-05-24T15:23:11"/>
    <s v="::ffff:127.0.0.1"/>
    <s v="Apache-HttpClient/4.5.14 (Java/21.0.11)"/>
    <d v="2026-05-24T15:23:11"/>
  </r>
  <r>
    <s v="cmpjxft1b01cow2rw9xwv4m11"/>
    <x v="5"/>
    <s v="GET"/>
    <s v="/api/v1/pecas/63"/>
    <s v="/api/v1/pecas/:id"/>
    <x v="2"/>
    <x v="525"/>
    <d v="2026-05-24T15:23:11"/>
    <d v="2026-05-24T15:23:11"/>
    <s v="::ffff:127.0.0.1"/>
    <s v="Apache-HttpClient/4.5.14 (Java/21.0.11)"/>
    <d v="2026-05-24T15:23:11"/>
  </r>
  <r>
    <s v="cmpjxft2801czw2rwlq5lp03b"/>
    <x v="5"/>
    <s v="GET"/>
    <s v="/api/v1/pecas/64"/>
    <s v="/api/v1/pecas/:id"/>
    <x v="2"/>
    <x v="526"/>
    <d v="2026-05-24T15:23:11"/>
    <d v="2026-05-24T15:23:11"/>
    <s v="::ffff:127.0.0.1"/>
    <s v="Apache-HttpClient/4.5.14 (Java/21.0.11)"/>
    <d v="2026-05-24T15:23:11"/>
  </r>
  <r>
    <s v="cmpjxft3v01dlw2rw8oxnsz4k"/>
    <x v="5"/>
    <s v="GET"/>
    <s v="/api/v1/pecas/65"/>
    <s v="/api/v1/pecas/:id"/>
    <x v="2"/>
    <x v="527"/>
    <d v="2026-05-24T15:23:11"/>
    <d v="2026-05-24T15:23:11"/>
    <s v="::ffff:127.0.0.1"/>
    <s v="Apache-HttpClient/4.5.14 (Java/21.0.11)"/>
    <d v="2026-05-24T15:23:11"/>
  </r>
  <r>
    <s v="cmpjxft4i01dtw2rwptdkrhds"/>
    <x v="5"/>
    <s v="GET"/>
    <s v="/api/v1/pecas/ID_NAO_ENCONTRADO"/>
    <s v="/api/v1/pecas/:id"/>
    <x v="1"/>
    <x v="528"/>
    <d v="2026-05-24T15:23:11"/>
    <d v="2026-05-24T15:23:11"/>
    <s v="::ffff:127.0.0.1"/>
    <s v="Apache-HttpClient/4.5.14 (Java/21.0.11)"/>
    <d v="2026-05-24T15:23:11"/>
  </r>
  <r>
    <s v="cmpjxft5601e1w2rwscknhymh"/>
    <x v="5"/>
    <s v="GET"/>
    <s v="/api/v1/pecas/66"/>
    <s v="/api/v1/pecas/:id"/>
    <x v="2"/>
    <x v="69"/>
    <d v="2026-05-24T15:23:11"/>
    <d v="2026-05-24T15:23:11"/>
    <s v="::ffff:127.0.0.1"/>
    <s v="Apache-HttpClient/4.5.14 (Java/21.0.11)"/>
    <d v="2026-05-24T15:23:11"/>
  </r>
  <r>
    <s v="cmpjxft5e01e4w2rw344df631"/>
    <x v="5"/>
    <s v="GET"/>
    <s v="/api/v1/pecas/ID_NAO_ENCONTRADO"/>
    <s v="/api/v1/pecas/:id"/>
    <x v="1"/>
    <x v="529"/>
    <d v="2026-05-24T15:23:11"/>
    <d v="2026-05-24T15:23:11"/>
    <s v="::ffff:127.0.0.1"/>
    <s v="Apache-HttpClient/4.5.14 (Java/21.0.11)"/>
    <d v="2026-05-24T15:23:11"/>
  </r>
  <r>
    <s v="cmpjxft5p01eaw2rwzz0ep6ns"/>
    <x v="5"/>
    <s v="GET"/>
    <s v="/api/v1/pecas/67"/>
    <s v="/api/v1/pecas/:id"/>
    <x v="2"/>
    <x v="530"/>
    <d v="2026-05-24T15:23:11"/>
    <d v="2026-05-24T15:23:11"/>
    <s v="::ffff:127.0.0.1"/>
    <s v="Apache-HttpClient/4.5.14 (Java/21.0.11)"/>
    <d v="2026-05-24T15:23:11"/>
  </r>
  <r>
    <s v="cmpjxft6m01eiw2rwt9l2atir"/>
    <x v="5"/>
    <s v="GET"/>
    <s v="/api/v1/pecas/68"/>
    <s v="/api/v1/pecas/:id"/>
    <x v="2"/>
    <x v="531"/>
    <d v="2026-05-24T15:23:11"/>
    <d v="2026-05-24T15:23:11"/>
    <s v="::ffff:127.0.0.1"/>
    <s v="Apache-HttpClient/4.5.14 (Java/21.0.11)"/>
    <d v="2026-05-24T15:23:11"/>
  </r>
  <r>
    <s v="cmpjxft8501f3w2rwqaeulzmr"/>
    <x v="5"/>
    <s v="GET"/>
    <s v="/api/v1/pecas/69"/>
    <s v="/api/v1/pecas/:id"/>
    <x v="2"/>
    <x v="532"/>
    <d v="2026-05-24T15:23:11"/>
    <d v="2026-05-24T15:23:11"/>
    <s v="::ffff:127.0.0.1"/>
    <s v="Apache-HttpClient/4.5.14 (Java/21.0.11)"/>
    <d v="2026-05-24T15:23:11"/>
  </r>
  <r>
    <s v="cmpjxft9001ffw2rwmksy9vu1"/>
    <x v="5"/>
    <s v="GET"/>
    <s v="/api/v1/pecas/ID_NAO_ENCONTRADO"/>
    <s v="/api/v1/pecas/:id"/>
    <x v="1"/>
    <x v="533"/>
    <d v="2026-05-24T15:23:11"/>
    <d v="2026-05-24T15:23:11"/>
    <s v="::ffff:127.0.0.1"/>
    <s v="Apache-HttpClient/4.5.14 (Java/21.0.11)"/>
    <d v="2026-05-24T15:23:11"/>
  </r>
  <r>
    <s v="cmpjxft9601fhw2rwf56ivmt4"/>
    <x v="5"/>
    <s v="GET"/>
    <s v="/api/v1/pecas/70"/>
    <s v="/api/v1/pecas/:id"/>
    <x v="2"/>
    <x v="534"/>
    <d v="2026-05-24T15:23:11"/>
    <d v="2026-05-24T15:23:11"/>
    <s v="::ffff:127.0.0.1"/>
    <s v="Apache-HttpClient/4.5.14 (Java/21.0.11)"/>
    <d v="2026-05-24T15:23:11"/>
  </r>
  <r>
    <s v="cmpjxft9h01fmw2rwubkn3uic"/>
    <x v="5"/>
    <s v="GET"/>
    <s v="/api/v1/pecas/71"/>
    <s v="/api/v1/pecas/:id"/>
    <x v="2"/>
    <x v="535"/>
    <d v="2026-05-24T15:23:11"/>
    <d v="2026-05-24T15:23:11"/>
    <s v="::ffff:127.0.0.1"/>
    <s v="Apache-HttpClient/4.5.14 (Java/21.0.11)"/>
    <d v="2026-05-24T15:23:11"/>
  </r>
  <r>
    <s v="cmpjxftac01fww2rw9iowtky6"/>
    <x v="5"/>
    <s v="GET"/>
    <s v="/api/v1/pecas/72"/>
    <s v="/api/v1/pecas/:id"/>
    <x v="2"/>
    <x v="536"/>
    <d v="2026-05-24T15:23:11"/>
    <d v="2026-05-24T15:23:11"/>
    <s v="::ffff:127.0.0.1"/>
    <s v="Apache-HttpClient/4.5.14 (Java/21.0.11)"/>
    <d v="2026-05-24T15:23:11"/>
  </r>
  <r>
    <s v="cmpjxftb101g5w2rwmq0f9myp"/>
    <x v="5"/>
    <s v="GET"/>
    <s v="/api/v1/pecas/73"/>
    <s v="/api/v1/pecas/:id"/>
    <x v="2"/>
    <x v="537"/>
    <d v="2026-05-24T15:23:11"/>
    <d v="2026-05-24T15:23:11"/>
    <s v="::ffff:127.0.0.1"/>
    <s v="Apache-HttpClient/4.5.14 (Java/21.0.11)"/>
    <d v="2026-05-24T15:23:11"/>
  </r>
  <r>
    <s v="cmpjxftbp01gew2rwvijy7r07"/>
    <x v="5"/>
    <s v="GET"/>
    <s v="/api/v1/pecas/74"/>
    <s v="/api/v1/pecas/:id"/>
    <x v="2"/>
    <x v="538"/>
    <d v="2026-05-24T15:23:11"/>
    <d v="2026-05-24T15:23:11"/>
    <s v="::ffff:127.0.0.1"/>
    <s v="Apache-HttpClient/4.5.14 (Java/21.0.11)"/>
    <d v="2026-05-24T15:23:11"/>
  </r>
  <r>
    <s v="cmpjxftcg01gow2rwcijullyh"/>
    <x v="5"/>
    <s v="GET"/>
    <s v="/api/v1/pecas/21"/>
    <s v="/api/v1/pecas/:id"/>
    <x v="2"/>
    <x v="539"/>
    <d v="2026-05-24T15:23:11"/>
    <d v="2026-05-24T15:23:11"/>
    <s v="::ffff:127.0.0.1"/>
    <s v="Apache-HttpClient/4.5.14 (Java/21.0.11)"/>
    <d v="2026-05-24T15:23:11"/>
  </r>
  <r>
    <s v="cmpjxftcy01gsw2rwvku97jrw"/>
    <x v="5"/>
    <s v="GET"/>
    <s v="/api/v1/pecas/22"/>
    <s v="/api/v1/pecas/:id"/>
    <x v="2"/>
    <x v="540"/>
    <d v="2026-05-24T15:23:11"/>
    <d v="2026-05-24T15:23:11"/>
    <s v="::ffff:127.0.0.1"/>
    <s v="Apache-HttpClient/4.5.14 (Java/21.0.11)"/>
    <d v="2026-05-24T15:23:11"/>
  </r>
  <r>
    <s v="cmpjxfr2k00p6w2rwqckofbyd"/>
    <x v="6"/>
    <s v="GET"/>
    <s v="/api/v1/relatorios"/>
    <s v="/api/v1/relatorios/"/>
    <x v="2"/>
    <x v="541"/>
    <d v="2026-05-24T15:23:08"/>
    <d v="2026-05-24T15:23:08"/>
    <s v="::ffff:127.0.0.1"/>
    <s v="Apache-HttpClient/4.5.14 (Java/21.0.11)"/>
    <d v="2026-05-24T15:23:08"/>
  </r>
  <r>
    <s v="cmpjxfr4y00pjw2rwee34ep9d"/>
    <x v="6"/>
    <s v="GET"/>
    <s v="/api/v1/relatorios"/>
    <s v="/api/v1/relatorios/"/>
    <x v="2"/>
    <x v="542"/>
    <d v="2026-05-24T15:23:08"/>
    <d v="2026-05-24T15:23:08"/>
    <s v="::ffff:127.0.0.1"/>
    <s v="Apache-HttpClient/4.5.14 (Java/21.0.11)"/>
    <d v="2026-05-24T15:23:08"/>
  </r>
  <r>
    <s v="cmpjxfr5800pmw2rwspf6fzxm"/>
    <x v="6"/>
    <s v="GET"/>
    <s v="/api/v1/relatorios"/>
    <s v="/api/v1/relatorios/"/>
    <x v="2"/>
    <x v="543"/>
    <d v="2026-05-24T15:23:08"/>
    <d v="2026-05-24T15:23:08"/>
    <s v="::ffff:127.0.0.1"/>
    <s v="Apache-HttpClient/4.5.14 (Java/21.0.11)"/>
    <d v="2026-05-24T15:23:08"/>
  </r>
  <r>
    <s v="cmpjxfr7400q4w2rw7l6ohcbm"/>
    <x v="6"/>
    <s v="GET"/>
    <s v="/api/v1/relatorios"/>
    <s v="/api/v1/relatorios/"/>
    <x v="2"/>
    <x v="544"/>
    <d v="2026-05-24T15:23:08"/>
    <d v="2026-05-24T15:23:08"/>
    <s v="::ffff:127.0.0.1"/>
    <s v="Apache-HttpClient/4.5.14 (Java/21.0.11)"/>
    <d v="2026-05-24T15:23:08"/>
  </r>
  <r>
    <s v="cmpjxfr7d00q6w2rwdwpjc21n"/>
    <x v="6"/>
    <s v="GET"/>
    <s v="/api/v1/relatorios"/>
    <s v="/api/v1/relatorios/"/>
    <x v="2"/>
    <x v="545"/>
    <d v="2026-05-24T15:23:08"/>
    <d v="2026-05-24T15:23:08"/>
    <s v="::ffff:127.0.0.1"/>
    <s v="Apache-HttpClient/4.5.14 (Java/21.0.11)"/>
    <d v="2026-05-24T15:23:08"/>
  </r>
  <r>
    <s v="cmpjxfr8600qfw2rwinvfd19z"/>
    <x v="6"/>
    <s v="GET"/>
    <s v="/api/v1/relatorios"/>
    <s v="/api/v1/relatorios/"/>
    <x v="2"/>
    <x v="546"/>
    <d v="2026-05-24T15:23:08"/>
    <d v="2026-05-24T15:23:08"/>
    <s v="::ffff:127.0.0.1"/>
    <s v="Apache-HttpClient/4.5.14 (Java/21.0.11)"/>
    <d v="2026-05-24T15:23:08"/>
  </r>
  <r>
    <s v="cmpjxfr9s00qww2rwooke8jma"/>
    <x v="6"/>
    <s v="GET"/>
    <s v="/api/v1/relatorios"/>
    <s v="/api/v1/relatorios/"/>
    <x v="2"/>
    <x v="455"/>
    <d v="2026-05-24T15:23:08"/>
    <d v="2026-05-24T15:23:08"/>
    <s v="::ffff:127.0.0.1"/>
    <s v="Apache-HttpClient/4.5.14 (Java/21.0.11)"/>
    <d v="2026-05-24T15:23:08"/>
  </r>
  <r>
    <s v="cmpjxfrab00r1w2rwkrr13xgs"/>
    <x v="6"/>
    <s v="GET"/>
    <s v="/api/v1/relatorios"/>
    <s v="/api/v1/relatorios/"/>
    <x v="2"/>
    <x v="547"/>
    <d v="2026-05-24T15:23:08"/>
    <d v="2026-05-24T15:23:08"/>
    <s v="::ffff:127.0.0.1"/>
    <s v="Apache-HttpClient/4.5.14 (Java/21.0.11)"/>
    <d v="2026-05-24T15:23:08"/>
  </r>
  <r>
    <s v="cmpjxfrb800rdw2rwg3npvga2"/>
    <x v="6"/>
    <s v="GET"/>
    <s v="/api/v1/relatorios"/>
    <s v="/api/v1/relatorios/"/>
    <x v="2"/>
    <x v="78"/>
    <d v="2026-05-24T15:23:08"/>
    <d v="2026-05-24T15:23:08"/>
    <s v="::ffff:127.0.0.1"/>
    <s v="Apache-HttpClient/4.5.14 (Java/21.0.11)"/>
    <d v="2026-05-24T15:23:08"/>
  </r>
  <r>
    <s v="cmpjxfrbe00rfw2rw6ue0jl70"/>
    <x v="6"/>
    <s v="GET"/>
    <s v="/api/v1/relatorios"/>
    <s v="/api/v1/relatorios/"/>
    <x v="2"/>
    <x v="548"/>
    <d v="2026-05-24T15:23:08"/>
    <d v="2026-05-24T15:23:08"/>
    <s v="::ffff:127.0.0.1"/>
    <s v="Apache-HttpClient/4.5.14 (Java/21.0.11)"/>
    <d v="2026-05-24T15:23:08"/>
  </r>
  <r>
    <s v="cmpjxfrdk00s2w2rwh9k9ihnr"/>
    <x v="6"/>
    <s v="GET"/>
    <s v="/api/v1/relatorios"/>
    <s v="/api/v1/relatorios/"/>
    <x v="2"/>
    <x v="295"/>
    <d v="2026-05-24T15:23:09"/>
    <d v="2026-05-24T15:23:09"/>
    <s v="::ffff:127.0.0.1"/>
    <s v="Apache-HttpClient/4.5.14 (Java/21.0.11)"/>
    <d v="2026-05-24T15:23:09"/>
  </r>
  <r>
    <s v="cmpjxfre800s9w2rw4ejscfrn"/>
    <x v="6"/>
    <s v="GET"/>
    <s v="/api/v1/relatorios"/>
    <s v="/api/v1/relatorios/"/>
    <x v="2"/>
    <x v="422"/>
    <d v="2026-05-24T15:23:09"/>
    <d v="2026-05-24T15:23:09"/>
    <s v="::ffff:127.0.0.1"/>
    <s v="Apache-HttpClient/4.5.14 (Java/21.0.11)"/>
    <d v="2026-05-24T15:23:09"/>
  </r>
  <r>
    <s v="cmpjxfres00sfw2rwym67v0uk"/>
    <x v="6"/>
    <s v="GET"/>
    <s v="/api/v1/relatorios"/>
    <s v="/api/v1/relatorios/"/>
    <x v="2"/>
    <x v="94"/>
    <d v="2026-05-24T15:23:09"/>
    <d v="2026-05-24T15:23:09"/>
    <s v="::ffff:127.0.0.1"/>
    <s v="Apache-HttpClient/4.5.14 (Java/21.0.11)"/>
    <d v="2026-05-24T15:23:09"/>
  </r>
  <r>
    <s v="cmpjxfrf500slw2rweicib3um"/>
    <x v="6"/>
    <s v="GET"/>
    <s v="/api/v1/relatorios"/>
    <s v="/api/v1/relatorios/"/>
    <x v="2"/>
    <x v="549"/>
    <d v="2026-05-24T15:23:09"/>
    <d v="2026-05-24T15:23:09"/>
    <s v="::ffff:127.0.0.1"/>
    <s v="Apache-HttpClient/4.5.14 (Java/21.0.11)"/>
    <d v="2026-05-24T15:23:09"/>
  </r>
  <r>
    <s v="cmpjxfrfd00sow2rwaku1sbmk"/>
    <x v="6"/>
    <s v="GET"/>
    <s v="/api/v1/relatorios"/>
    <s v="/api/v1/relatorios/"/>
    <x v="2"/>
    <x v="289"/>
    <d v="2026-05-24T15:23:09"/>
    <d v="2026-05-24T15:23:09"/>
    <s v="::ffff:127.0.0.1"/>
    <s v="Apache-HttpClient/4.5.14 (Java/21.0.11)"/>
    <d v="2026-05-24T15:23:09"/>
  </r>
  <r>
    <s v="cmpjxfrhw00tgw2rwt826yr8m"/>
    <x v="6"/>
    <s v="GET"/>
    <s v="/api/v1/relatorios"/>
    <s v="/api/v1/relatorios/"/>
    <x v="2"/>
    <x v="249"/>
    <d v="2026-05-24T15:23:09"/>
    <d v="2026-05-24T15:23:09"/>
    <s v="::ffff:127.0.0.1"/>
    <s v="Apache-HttpClient/4.5.14 (Java/21.0.11)"/>
    <d v="2026-05-24T15:23:09"/>
  </r>
  <r>
    <s v="cmpjxfris00tow2rww1ok42pd"/>
    <x v="6"/>
    <s v="GET"/>
    <s v="/api/v1/relatorios"/>
    <s v="/api/v1/relatorios/"/>
    <x v="2"/>
    <x v="550"/>
    <d v="2026-05-24T15:23:09"/>
    <d v="2026-05-24T15:23:09"/>
    <s v="::ffff:127.0.0.1"/>
    <s v="Apache-HttpClient/4.5.14 (Java/21.0.11)"/>
    <d v="2026-05-24T15:23:09"/>
  </r>
  <r>
    <s v="cmpjxfrjq00tvw2rwyyqqc5it"/>
    <x v="6"/>
    <s v="GET"/>
    <s v="/api/v1/relatorios"/>
    <s v="/api/v1/relatorios/"/>
    <x v="2"/>
    <x v="551"/>
    <d v="2026-05-24T15:23:09"/>
    <d v="2026-05-24T15:23:09"/>
    <s v="::ffff:127.0.0.1"/>
    <s v="Apache-HttpClient/4.5.14 (Java/21.0.11)"/>
    <d v="2026-05-24T15:23:09"/>
  </r>
  <r>
    <s v="cmpjxfrke00u5w2rwqyt8bw2h"/>
    <x v="6"/>
    <s v="GET"/>
    <s v="/api/v1/relatorios"/>
    <s v="/api/v1/relatorios/"/>
    <x v="2"/>
    <x v="552"/>
    <d v="2026-05-24T15:23:09"/>
    <d v="2026-05-24T15:23:09"/>
    <s v="::ffff:127.0.0.1"/>
    <s v="Apache-HttpClient/4.5.14 (Java/21.0.11)"/>
    <d v="2026-05-24T15:23:09"/>
  </r>
  <r>
    <s v="cmpjxfrkn00uaw2rw0atoah1z"/>
    <x v="6"/>
    <s v="GET"/>
    <s v="/api/v1/relatorios"/>
    <s v="/api/v1/relatorios/"/>
    <x v="2"/>
    <x v="553"/>
    <d v="2026-05-24T15:23:09"/>
    <d v="2026-05-24T15:23:09"/>
    <s v="::ffff:127.0.0.1"/>
    <s v="Apache-HttpClient/4.5.14 (Java/21.0.11)"/>
    <d v="2026-05-24T15:23:09"/>
  </r>
  <r>
    <s v="cmpjxfrkv00udw2rwy72fr89c"/>
    <x v="6"/>
    <s v="GET"/>
    <s v="/api/v1/relatorios"/>
    <s v="/api/v1/relatorios/"/>
    <x v="2"/>
    <x v="554"/>
    <d v="2026-05-24T15:23:09"/>
    <d v="2026-05-24T15:23:09"/>
    <s v="::ffff:127.0.0.1"/>
    <s v="Apache-HttpClient/4.5.14 (Java/21.0.11)"/>
    <d v="2026-05-24T15:23:09"/>
  </r>
  <r>
    <s v="cmpjxfrky00uew2rw378o6vku"/>
    <x v="6"/>
    <s v="GET"/>
    <s v="/api/v1/relatorios"/>
    <s v="/api/v1/relatorios/"/>
    <x v="2"/>
    <x v="333"/>
    <d v="2026-05-24T15:23:09"/>
    <d v="2026-05-24T15:23:09"/>
    <s v="::ffff:127.0.0.1"/>
    <s v="Apache-HttpClient/4.5.14 (Java/21.0.11)"/>
    <d v="2026-05-24T15:23:09"/>
  </r>
  <r>
    <s v="cmpjxfrnl00vaw2rw6ub9eouu"/>
    <x v="6"/>
    <s v="GET"/>
    <s v="/api/v1/relatorios"/>
    <s v="/api/v1/relatorios/"/>
    <x v="2"/>
    <x v="555"/>
    <d v="2026-05-24T15:23:09"/>
    <d v="2026-05-24T15:23:09"/>
    <s v="::ffff:127.0.0.1"/>
    <s v="Apache-HttpClient/4.5.14 (Java/21.0.11)"/>
    <d v="2026-05-24T15:23:09"/>
  </r>
  <r>
    <s v="cmpjxfror00vlw2rwsth0gkbg"/>
    <x v="6"/>
    <s v="GET"/>
    <s v="/api/v1/relatorios"/>
    <s v="/api/v1/relatorios/"/>
    <x v="2"/>
    <x v="556"/>
    <d v="2026-05-24T15:23:09"/>
    <d v="2026-05-24T15:23:09"/>
    <s v="::ffff:127.0.0.1"/>
    <s v="Apache-HttpClient/4.5.14 (Java/21.0.11)"/>
    <d v="2026-05-24T15:23:09"/>
  </r>
  <r>
    <s v="cmpjxfrq700vzw2rwyw6d7ff1"/>
    <x v="6"/>
    <s v="GET"/>
    <s v="/api/v1/relatorios"/>
    <s v="/api/v1/relatorios/"/>
    <x v="2"/>
    <x v="557"/>
    <d v="2026-05-24T15:23:09"/>
    <d v="2026-05-24T15:23:09"/>
    <s v="::ffff:127.0.0.1"/>
    <s v="Apache-HttpClient/4.5.14 (Java/21.0.11)"/>
    <d v="2026-05-24T15:23:09"/>
  </r>
  <r>
    <s v="cmpjxfrqs00w6w2rwdrh7rjgk"/>
    <x v="6"/>
    <s v="GET"/>
    <s v="/api/v1/relatorios"/>
    <s v="/api/v1/relatorios/"/>
    <x v="2"/>
    <x v="558"/>
    <d v="2026-05-24T15:23:09"/>
    <d v="2026-05-24T15:23:09"/>
    <s v="::ffff:127.0.0.1"/>
    <s v="Apache-HttpClient/4.5.14 (Java/21.0.11)"/>
    <d v="2026-05-24T15:23:09"/>
  </r>
  <r>
    <s v="cmpjxfrrp00whw2rwfjj6pbzb"/>
    <x v="6"/>
    <s v="GET"/>
    <s v="/api/v1/relatorios"/>
    <s v="/api/v1/relatorios/"/>
    <x v="2"/>
    <x v="559"/>
    <d v="2026-05-24T15:23:09"/>
    <d v="2026-05-24T15:23:09"/>
    <s v="::ffff:127.0.0.1"/>
    <s v="Apache-HttpClient/4.5.14 (Java/21.0.11)"/>
    <d v="2026-05-24T15:23:09"/>
  </r>
  <r>
    <s v="cmpjxfrrv00wjw2rwlxheegjc"/>
    <x v="6"/>
    <s v="GET"/>
    <s v="/api/v1/relatorios"/>
    <s v="/api/v1/relatorios/"/>
    <x v="2"/>
    <x v="500"/>
    <d v="2026-05-24T15:23:09"/>
    <d v="2026-05-24T15:23:09"/>
    <s v="::ffff:127.0.0.1"/>
    <s v="Apache-HttpClient/4.5.14 (Java/21.0.11)"/>
    <d v="2026-05-24T15:23:09"/>
  </r>
  <r>
    <s v="cmpjxfrrx00wkw2rwq8xd76d6"/>
    <x v="6"/>
    <s v="GET"/>
    <s v="/api/v1/relatorios"/>
    <s v="/api/v1/relatorios/"/>
    <x v="2"/>
    <x v="560"/>
    <d v="2026-05-24T15:23:09"/>
    <d v="2026-05-24T15:23:09"/>
    <s v="::ffff:127.0.0.1"/>
    <s v="Apache-HttpClient/4.5.14 (Java/21.0.11)"/>
    <d v="2026-05-24T15:23:09"/>
  </r>
  <r>
    <s v="cmpjxfrs000wlw2rw8qbfbwlm"/>
    <x v="6"/>
    <s v="GET"/>
    <s v="/api/v1/relatorios"/>
    <s v="/api/v1/relatorios/"/>
    <x v="2"/>
    <x v="561"/>
    <d v="2026-05-24T15:23:09"/>
    <d v="2026-05-24T15:23:09"/>
    <s v="::ffff:127.0.0.1"/>
    <s v="Apache-HttpClient/4.5.14 (Java/21.0.11)"/>
    <d v="2026-05-24T15:23:09"/>
  </r>
  <r>
    <s v="cmpjxfrsq00wxw2rwn43slyd8"/>
    <x v="6"/>
    <s v="GET"/>
    <s v="/api/v1/relatorios"/>
    <s v="/api/v1/relatorios/"/>
    <x v="2"/>
    <x v="562"/>
    <d v="2026-05-24T15:23:09"/>
    <d v="2026-05-24T15:23:09"/>
    <s v="::ffff:127.0.0.1"/>
    <s v="Apache-HttpClient/4.5.14 (Java/21.0.11)"/>
    <d v="2026-05-24T15:23:09"/>
  </r>
  <r>
    <s v="cmpjxfru200xbw2rwcz3alp93"/>
    <x v="6"/>
    <s v="GET"/>
    <s v="/api/v1/relatorios"/>
    <s v="/api/v1/relatorios/"/>
    <x v="2"/>
    <x v="563"/>
    <d v="2026-05-24T15:23:09"/>
    <d v="2026-05-24T15:23:09"/>
    <s v="::ffff:127.0.0.1"/>
    <s v="Apache-HttpClient/4.5.14 (Java/21.0.11)"/>
    <d v="2026-05-24T15:23:09"/>
  </r>
  <r>
    <s v="cmpjxfrvv00xzw2rwdut65tu9"/>
    <x v="6"/>
    <s v="GET"/>
    <s v="/api/v1/relatorios"/>
    <s v="/api/v1/relatorios/"/>
    <x v="2"/>
    <x v="564"/>
    <d v="2026-05-24T15:23:09"/>
    <d v="2026-05-24T15:23:09"/>
    <s v="::ffff:127.0.0.1"/>
    <s v="Apache-HttpClient/4.5.14 (Java/21.0.11)"/>
    <d v="2026-05-24T15:23:09"/>
  </r>
  <r>
    <s v="cmpjxfrxl00ycw2rwqgjqythf"/>
    <x v="6"/>
    <s v="GET"/>
    <s v="/api/v1/relatorios"/>
    <s v="/api/v1/relatorios/"/>
    <x v="2"/>
    <x v="565"/>
    <d v="2026-05-24T15:23:09"/>
    <d v="2026-05-24T15:23:09"/>
    <s v="::ffff:127.0.0.1"/>
    <s v="Apache-HttpClient/4.5.14 (Java/21.0.11)"/>
    <d v="2026-05-24T15:23:09"/>
  </r>
  <r>
    <s v="cmpjxfryk00yqw2rw4o2y4dh0"/>
    <x v="6"/>
    <s v="GET"/>
    <s v="/api/v1/relatorios"/>
    <s v="/api/v1/relatorios/"/>
    <x v="2"/>
    <x v="405"/>
    <d v="2026-05-24T15:23:09"/>
    <d v="2026-05-24T15:23:09"/>
    <s v="::ffff:127.0.0.1"/>
    <s v="Apache-HttpClient/4.5.14 (Java/21.0.11)"/>
    <d v="2026-05-24T15:23:09"/>
  </r>
  <r>
    <s v="cmpjxfrz700yzw2rwyv3uhc85"/>
    <x v="6"/>
    <s v="GET"/>
    <s v="/api/v1/relatorios"/>
    <s v="/api/v1/relatorios/"/>
    <x v="2"/>
    <x v="566"/>
    <d v="2026-05-24T15:23:09"/>
    <d v="2026-05-24T15:23:09"/>
    <s v="::ffff:127.0.0.1"/>
    <s v="Apache-HttpClient/4.5.14 (Java/21.0.11)"/>
    <d v="2026-05-24T15:23:09"/>
  </r>
  <r>
    <s v="cmpjxfrzs00z6w2rwkypehhd6"/>
    <x v="6"/>
    <s v="GET"/>
    <s v="/api/v1/relatorios"/>
    <s v="/api/v1/relatorios/"/>
    <x v="2"/>
    <x v="318"/>
    <d v="2026-05-24T15:23:09"/>
    <d v="2026-05-24T15:23:09"/>
    <s v="::ffff:127.0.0.1"/>
    <s v="Apache-HttpClient/4.5.14 (Java/21.0.11)"/>
    <d v="2026-05-24T15:23:09"/>
  </r>
  <r>
    <s v="cmpjxfrzz00z9w2rwlli9l62a"/>
    <x v="6"/>
    <s v="GET"/>
    <s v="/api/v1/relatorios"/>
    <s v="/api/v1/relatorios/"/>
    <x v="2"/>
    <x v="567"/>
    <d v="2026-05-24T15:23:09"/>
    <d v="2026-05-24T15:23:09"/>
    <s v="::ffff:127.0.0.1"/>
    <s v="Apache-HttpClient/4.5.14 (Java/21.0.11)"/>
    <d v="2026-05-24T15:23:09"/>
  </r>
  <r>
    <s v="cmpjxfs0000zaw2rwj4i8fbxt"/>
    <x v="6"/>
    <s v="GET"/>
    <s v="/api/v1/relatorios"/>
    <s v="/api/v1/relatorios/"/>
    <x v="2"/>
    <x v="568"/>
    <d v="2026-05-24T15:23:09"/>
    <d v="2026-05-24T15:23:09"/>
    <s v="::ffff:127.0.0.1"/>
    <s v="Apache-HttpClient/4.5.14 (Java/21.0.11)"/>
    <d v="2026-05-24T15:23:09"/>
  </r>
  <r>
    <s v="cmpjxfs0300zbw2rwhpr4vrws"/>
    <x v="6"/>
    <s v="GET"/>
    <s v="/api/v1/relatorios"/>
    <s v="/api/v1/relatorios/"/>
    <x v="2"/>
    <x v="569"/>
    <d v="2026-05-24T15:23:09"/>
    <d v="2026-05-24T15:23:09"/>
    <s v="::ffff:127.0.0.1"/>
    <s v="Apache-HttpClient/4.5.14 (Java/21.0.11)"/>
    <d v="2026-05-24T15:23:09"/>
  </r>
  <r>
    <s v="cmpjxfs1800zqw2rw23hv8zro"/>
    <x v="6"/>
    <s v="GET"/>
    <s v="/api/v1/relatorios"/>
    <s v="/api/v1/relatorios/"/>
    <x v="2"/>
    <x v="570"/>
    <d v="2026-05-24T15:23:09"/>
    <d v="2026-05-24T15:23:09"/>
    <s v="::ffff:127.0.0.1"/>
    <s v="Apache-HttpClient/4.5.14 (Java/21.0.11)"/>
    <d v="2026-05-24T15:23:09"/>
  </r>
  <r>
    <s v="cmpjxfs230102w2rww9c3age9"/>
    <x v="6"/>
    <s v="GET"/>
    <s v="/api/v1/relatorios"/>
    <s v="/api/v1/relatorios/"/>
    <x v="2"/>
    <x v="571"/>
    <d v="2026-05-24T15:23:09"/>
    <d v="2026-05-24T15:23:09"/>
    <s v="::ffff:127.0.0.1"/>
    <s v="Apache-HttpClient/4.5.14 (Java/21.0.11)"/>
    <d v="2026-05-24T15:23:09"/>
  </r>
  <r>
    <s v="cmpjxfs3x010sw2rwqctl6n1i"/>
    <x v="6"/>
    <s v="GET"/>
    <s v="/api/v1/relatorios"/>
    <s v="/api/v1/relatorios/"/>
    <x v="2"/>
    <x v="572"/>
    <d v="2026-05-24T15:23:09"/>
    <d v="2026-05-24T15:23:09"/>
    <s v="::ffff:127.0.0.1"/>
    <s v="Apache-HttpClient/4.5.14 (Java/21.0.11)"/>
    <d v="2026-05-24T15:23:09"/>
  </r>
  <r>
    <s v="cmpjxfs5l0115w2rwxogampty"/>
    <x v="6"/>
    <s v="GET"/>
    <s v="/api/v1/relatorios"/>
    <s v="/api/v1/relatorios/"/>
    <x v="2"/>
    <x v="573"/>
    <d v="2026-05-24T15:23:09"/>
    <d v="2026-05-24T15:23:10"/>
    <s v="::ffff:127.0.0.1"/>
    <s v="Apache-HttpClient/4.5.14 (Java/21.0.11)"/>
    <d v="2026-05-24T15:23:10"/>
  </r>
  <r>
    <s v="cmpjxfs6k011mw2rwbigd46dq"/>
    <x v="6"/>
    <s v="GET"/>
    <s v="/api/v1/relatorios"/>
    <s v="/api/v1/relatorios/"/>
    <x v="2"/>
    <x v="574"/>
    <d v="2026-05-24T15:23:10"/>
    <d v="2026-05-24T15:23:10"/>
    <s v="::ffff:127.0.0.1"/>
    <s v="Apache-HttpClient/4.5.14 (Java/21.0.11)"/>
    <d v="2026-05-24T15:23:10"/>
  </r>
  <r>
    <s v="cmpjxfs78011sw2rwlgufaurr"/>
    <x v="6"/>
    <s v="GET"/>
    <s v="/api/v1/relatorios"/>
    <s v="/api/v1/relatorios/"/>
    <x v="2"/>
    <x v="502"/>
    <d v="2026-05-24T15:23:10"/>
    <d v="2026-05-24T15:23:10"/>
    <s v="::ffff:127.0.0.1"/>
    <s v="Apache-HttpClient/4.5.14 (Java/21.0.11)"/>
    <d v="2026-05-24T15:23:10"/>
  </r>
  <r>
    <s v="cmpjxfs7f011vw2rwsl1qtgqs"/>
    <x v="6"/>
    <s v="GET"/>
    <s v="/api/v1/relatorios"/>
    <s v="/api/v1/relatorios/"/>
    <x v="2"/>
    <x v="575"/>
    <d v="2026-05-24T15:23:10"/>
    <d v="2026-05-24T15:23:10"/>
    <s v="::ffff:127.0.0.1"/>
    <s v="Apache-HttpClient/4.5.14 (Java/21.0.11)"/>
    <d v="2026-05-24T15:23:10"/>
  </r>
  <r>
    <s v="cmpjxfs7m011ww2rwvsddy4w5"/>
    <x v="6"/>
    <s v="GET"/>
    <s v="/api/v1/relatorios"/>
    <s v="/api/v1/relatorios/"/>
    <x v="2"/>
    <x v="150"/>
    <d v="2026-05-24T15:23:10"/>
    <d v="2026-05-24T15:23:10"/>
    <s v="::ffff:127.0.0.1"/>
    <s v="Apache-HttpClient/4.5.14 (Java/21.0.11)"/>
    <d v="2026-05-24T15:23:10"/>
  </r>
  <r>
    <s v="cmpjxfs7t011zw2rw56fjt078"/>
    <x v="6"/>
    <s v="GET"/>
    <s v="/api/v1/relatorios"/>
    <s v="/api/v1/relatorios/"/>
    <x v="2"/>
    <x v="576"/>
    <d v="2026-05-24T15:23:10"/>
    <d v="2026-05-24T15:23:10"/>
    <s v="::ffff:127.0.0.1"/>
    <s v="Apache-HttpClient/4.5.14 (Java/21.0.11)"/>
    <d v="2026-05-24T15:23:10"/>
  </r>
  <r>
    <s v="cmpjxfs8e0123w2rwovzh49os"/>
    <x v="6"/>
    <s v="GET"/>
    <s v="/api/v1/relatorios"/>
    <s v="/api/v1/relatorios/"/>
    <x v="2"/>
    <x v="577"/>
    <d v="2026-05-24T15:23:10"/>
    <d v="2026-05-24T15:23:10"/>
    <s v="::ffff:127.0.0.1"/>
    <s v="Apache-HttpClient/4.5.14 (Java/21.0.11)"/>
    <d v="2026-05-24T15:23:10"/>
  </r>
  <r>
    <s v="cmpjxfs9z012mw2rwyjh0axl9"/>
    <x v="6"/>
    <s v="GET"/>
    <s v="/api/v1/relatorios"/>
    <s v="/api/v1/relatorios/"/>
    <x v="2"/>
    <x v="561"/>
    <d v="2026-05-24T15:23:10"/>
    <d v="2026-05-24T15:23:10"/>
    <s v="::ffff:127.0.0.1"/>
    <s v="Apache-HttpClient/4.5.14 (Java/21.0.11)"/>
    <d v="2026-05-24T15:23:10"/>
  </r>
  <r>
    <s v="cmpjxfsah012uw2rw4dgoxo2q"/>
    <x v="6"/>
    <s v="GET"/>
    <s v="/api/v1/relatorios"/>
    <s v="/api/v1/relatorios/"/>
    <x v="2"/>
    <x v="404"/>
    <d v="2026-05-24T15:23:10"/>
    <d v="2026-05-24T15:23:10"/>
    <s v="::ffff:127.0.0.1"/>
    <s v="Apache-HttpClient/4.5.14 (Java/21.0.11)"/>
    <d v="2026-05-24T15:23:10"/>
  </r>
  <r>
    <s v="cmpjxfscc013iw2rw690xe563"/>
    <x v="6"/>
    <s v="GET"/>
    <s v="/api/v1/relatorios"/>
    <s v="/api/v1/relatorios/"/>
    <x v="2"/>
    <x v="227"/>
    <d v="2026-05-24T15:23:10"/>
    <d v="2026-05-24T15:23:10"/>
    <s v="::ffff:127.0.0.1"/>
    <s v="Apache-HttpClient/4.5.14 (Java/21.0.11)"/>
    <d v="2026-05-24T15:23:10"/>
  </r>
  <r>
    <s v="cmpjxfsds0140w2rws41omro3"/>
    <x v="6"/>
    <s v="GET"/>
    <s v="/api/v1/relatorios"/>
    <s v="/api/v1/relatorios/"/>
    <x v="2"/>
    <x v="578"/>
    <d v="2026-05-24T15:23:10"/>
    <d v="2026-05-24T15:23:10"/>
    <s v="::ffff:127.0.0.1"/>
    <s v="Apache-HttpClient/4.5.14 (Java/21.0.11)"/>
    <d v="2026-05-24T15:23:10"/>
  </r>
  <r>
    <s v="cmpjxfsf4014jw2rw995np90j"/>
    <x v="6"/>
    <s v="GET"/>
    <s v="/api/v1/relatorios"/>
    <s v="/api/v1/relatorios/"/>
    <x v="2"/>
    <x v="579"/>
    <d v="2026-05-24T15:23:10"/>
    <d v="2026-05-24T15:23:10"/>
    <s v="::ffff:127.0.0.1"/>
    <s v="Apache-HttpClient/4.5.14 (Java/21.0.11)"/>
    <d v="2026-05-24T15:23:10"/>
  </r>
  <r>
    <s v="cmpjxfsf6014kw2rwle0w5m8r"/>
    <x v="6"/>
    <s v="GET"/>
    <s v="/api/v1/relatorios"/>
    <s v="/api/v1/relatorios/"/>
    <x v="2"/>
    <x v="580"/>
    <d v="2026-05-24T15:23:10"/>
    <d v="2026-05-24T15:23:10"/>
    <s v="::ffff:127.0.0.1"/>
    <s v="Apache-HttpClient/4.5.14 (Java/21.0.11)"/>
    <d v="2026-05-24T15:23:10"/>
  </r>
  <r>
    <s v="cmpjxfsf7014lw2rw8r0o4bx9"/>
    <x v="6"/>
    <s v="GET"/>
    <s v="/api/v1/relatorios"/>
    <s v="/api/v1/relatorios/"/>
    <x v="2"/>
    <x v="324"/>
    <d v="2026-05-24T15:23:10"/>
    <d v="2026-05-24T15:23:10"/>
    <s v="::ffff:127.0.0.1"/>
    <s v="Apache-HttpClient/4.5.14 (Java/21.0.11)"/>
    <d v="2026-05-24T15:23:10"/>
  </r>
  <r>
    <s v="cmpjxfsf9014mw2rwoy5e8lqa"/>
    <x v="6"/>
    <s v="GET"/>
    <s v="/api/v1/relatorios"/>
    <s v="/api/v1/relatorios/"/>
    <x v="2"/>
    <x v="581"/>
    <d v="2026-05-24T15:23:10"/>
    <d v="2026-05-24T15:23:10"/>
    <s v="::ffff:127.0.0.1"/>
    <s v="Apache-HttpClient/4.5.14 (Java/21.0.11)"/>
    <d v="2026-05-24T15:23:10"/>
  </r>
  <r>
    <s v="cmpjxfsfa014nw2rwp9wccbes"/>
    <x v="6"/>
    <s v="GET"/>
    <s v="/api/v1/relatorios"/>
    <s v="/api/v1/relatorios/"/>
    <x v="2"/>
    <x v="551"/>
    <d v="2026-05-24T15:23:10"/>
    <d v="2026-05-24T15:23:10"/>
    <s v="::ffff:127.0.0.1"/>
    <s v="Apache-HttpClient/4.5.14 (Java/21.0.11)"/>
    <d v="2026-05-24T15:23:10"/>
  </r>
  <r>
    <s v="cmpjxfsg4014zw2rwyos4atad"/>
    <x v="6"/>
    <s v="GET"/>
    <s v="/api/v1/relatorios"/>
    <s v="/api/v1/relatorios/"/>
    <x v="2"/>
    <x v="582"/>
    <d v="2026-05-24T15:23:10"/>
    <d v="2026-05-24T15:23:10"/>
    <s v="::ffff:127.0.0.1"/>
    <s v="Apache-HttpClient/4.5.14 (Java/21.0.11)"/>
    <d v="2026-05-24T15:23:10"/>
  </r>
  <r>
    <s v="cmpjxfsh7015dw2rwsqechot0"/>
    <x v="6"/>
    <s v="GET"/>
    <s v="/api/v1/relatorios"/>
    <s v="/api/v1/relatorios/"/>
    <x v="2"/>
    <x v="583"/>
    <d v="2026-05-24T15:23:10"/>
    <d v="2026-05-24T15:23:10"/>
    <s v="::ffff:127.0.0.1"/>
    <s v="Apache-HttpClient/4.5.14 (Java/21.0.11)"/>
    <d v="2026-05-24T15:23:10"/>
  </r>
  <r>
    <s v="cmpjxfshz015qw2rwffeig4f4"/>
    <x v="6"/>
    <s v="GET"/>
    <s v="/api/v1/relatorios"/>
    <s v="/api/v1/relatorios/"/>
    <x v="2"/>
    <x v="584"/>
    <d v="2026-05-24T15:23:10"/>
    <d v="2026-05-24T15:23:10"/>
    <s v="::ffff:127.0.0.1"/>
    <s v="Apache-HttpClient/4.5.14 (Java/21.0.11)"/>
    <d v="2026-05-24T15:23:10"/>
  </r>
  <r>
    <s v="cmpjxfsk8016dw2rw63bkv37z"/>
    <x v="6"/>
    <s v="GET"/>
    <s v="/api/v1/relatorios"/>
    <s v="/api/v1/relatorios/"/>
    <x v="2"/>
    <x v="585"/>
    <d v="2026-05-24T15:23:10"/>
    <d v="2026-05-24T15:23:10"/>
    <s v="::ffff:127.0.0.1"/>
    <s v="Apache-HttpClient/4.5.14 (Java/21.0.11)"/>
    <d v="2026-05-24T15:23:10"/>
  </r>
  <r>
    <s v="cmpjxfsl8016sw2rwyizkup6c"/>
    <x v="6"/>
    <s v="GET"/>
    <s v="/api/v1/relatorios"/>
    <s v="/api/v1/relatorios/"/>
    <x v="2"/>
    <x v="355"/>
    <d v="2026-05-24T15:23:10"/>
    <d v="2026-05-24T15:23:10"/>
    <s v="::ffff:127.0.0.1"/>
    <s v="Apache-HttpClient/4.5.14 (Java/21.0.11)"/>
    <d v="2026-05-24T15:23:10"/>
  </r>
  <r>
    <s v="cmpjxfsm20174w2rw4b3ypoy9"/>
    <x v="6"/>
    <s v="GET"/>
    <s v="/api/v1/relatorios"/>
    <s v="/api/v1/relatorios/"/>
    <x v="2"/>
    <x v="256"/>
    <d v="2026-05-24T15:23:10"/>
    <d v="2026-05-24T15:23:10"/>
    <s v="::ffff:127.0.0.1"/>
    <s v="Apache-HttpClient/4.5.14 (Java/21.0.11)"/>
    <d v="2026-05-24T15:23:10"/>
  </r>
  <r>
    <s v="cmpjxfsm30175w2rwjlk7mzd8"/>
    <x v="6"/>
    <s v="GET"/>
    <s v="/api/v1/relatorios"/>
    <s v="/api/v1/relatorios/"/>
    <x v="2"/>
    <x v="586"/>
    <d v="2026-05-24T15:23:10"/>
    <d v="2026-05-24T15:23:10"/>
    <s v="::ffff:127.0.0.1"/>
    <s v="Apache-HttpClient/4.5.14 (Java/21.0.11)"/>
    <d v="2026-05-24T15:23:10"/>
  </r>
  <r>
    <s v="cmpjxfsma0178w2rw8m36t041"/>
    <x v="6"/>
    <s v="GET"/>
    <s v="/api/v1/relatorios"/>
    <s v="/api/v1/relatorios/"/>
    <x v="2"/>
    <x v="324"/>
    <d v="2026-05-24T15:23:10"/>
    <d v="2026-05-24T15:23:10"/>
    <s v="::ffff:127.0.0.1"/>
    <s v="Apache-HttpClient/4.5.14 (Java/21.0.11)"/>
    <d v="2026-05-24T15:23:10"/>
  </r>
  <r>
    <s v="cmpjxfsmb0179w2rw86plvb6q"/>
    <x v="6"/>
    <s v="GET"/>
    <s v="/api/v1/relatorios"/>
    <s v="/api/v1/relatorios/"/>
    <x v="2"/>
    <x v="250"/>
    <d v="2026-05-24T15:23:10"/>
    <d v="2026-05-24T15:23:10"/>
    <s v="::ffff:127.0.0.1"/>
    <s v="Apache-HttpClient/4.5.14 (Java/21.0.11)"/>
    <d v="2026-05-24T15:23:10"/>
  </r>
  <r>
    <s v="cmpjxfsne017lw2rwjo9twooj"/>
    <x v="6"/>
    <s v="GET"/>
    <s v="/api/v1/relatorios"/>
    <s v="/api/v1/relatorios/"/>
    <x v="2"/>
    <x v="355"/>
    <d v="2026-05-24T15:23:10"/>
    <d v="2026-05-24T15:23:10"/>
    <s v="::ffff:127.0.0.1"/>
    <s v="Apache-HttpClient/4.5.14 (Java/21.0.11)"/>
    <d v="2026-05-24T15:23:10"/>
  </r>
  <r>
    <s v="cmpjxfsoh0181w2rwbyo8vy7k"/>
    <x v="6"/>
    <s v="GET"/>
    <s v="/api/v1/relatorios"/>
    <s v="/api/v1/relatorios/"/>
    <x v="2"/>
    <x v="380"/>
    <d v="2026-05-24T15:23:10"/>
    <d v="2026-05-24T15:23:10"/>
    <s v="::ffff:127.0.0.1"/>
    <s v="Apache-HttpClient/4.5.14 (Java/21.0.11)"/>
    <d v="2026-05-24T15:23:10"/>
  </r>
  <r>
    <s v="cmpjxfsp7018cw2rwjhjd2syy"/>
    <x v="6"/>
    <s v="GET"/>
    <s v="/api/v1/relatorios"/>
    <s v="/api/v1/relatorios/"/>
    <x v="2"/>
    <x v="418"/>
    <d v="2026-05-24T15:23:10"/>
    <d v="2026-05-24T15:23:10"/>
    <s v="::ffff:127.0.0.1"/>
    <s v="Apache-HttpClient/4.5.14 (Java/21.0.11)"/>
    <d v="2026-05-24T15:23:10"/>
  </r>
  <r>
    <s v="cmpjxfsr1018vw2rwxq29rtq7"/>
    <x v="6"/>
    <s v="GET"/>
    <s v="/api/v1/relatorios"/>
    <s v="/api/v1/relatorios/"/>
    <x v="2"/>
    <x v="587"/>
    <d v="2026-05-24T15:23:10"/>
    <d v="2026-05-24T15:23:10"/>
    <s v="::ffff:127.0.0.1"/>
    <s v="Apache-HttpClient/4.5.14 (Java/21.0.11)"/>
    <d v="2026-05-24T15:23:10"/>
  </r>
  <r>
    <s v="cmpjxfss00199w2rw91z4x596"/>
    <x v="6"/>
    <s v="GET"/>
    <s v="/api/v1/relatorios"/>
    <s v="/api/v1/relatorios/"/>
    <x v="2"/>
    <x v="588"/>
    <d v="2026-05-24T15:23:10"/>
    <d v="2026-05-24T15:23:10"/>
    <s v="::ffff:127.0.0.1"/>
    <s v="Apache-HttpClient/4.5.14 (Java/21.0.11)"/>
    <d v="2026-05-24T15:23:10"/>
  </r>
  <r>
    <s v="cmpjxfss9019dw2rwcgb5uup7"/>
    <x v="6"/>
    <s v="GET"/>
    <s v="/api/v1/relatorios"/>
    <s v="/api/v1/relatorios/"/>
    <x v="2"/>
    <x v="589"/>
    <d v="2026-05-24T15:23:10"/>
    <d v="2026-05-24T15:23:10"/>
    <s v="::ffff:127.0.0.1"/>
    <s v="Apache-HttpClient/4.5.14 (Java/21.0.11)"/>
    <d v="2026-05-24T15:23:10"/>
  </r>
  <r>
    <s v="cmpjxfssp019jw2rw9oajrpuc"/>
    <x v="6"/>
    <s v="GET"/>
    <s v="/api/v1/relatorios"/>
    <s v="/api/v1/relatorios/"/>
    <x v="2"/>
    <x v="590"/>
    <d v="2026-05-24T15:23:10"/>
    <d v="2026-05-24T15:23:10"/>
    <s v="::ffff:127.0.0.1"/>
    <s v="Apache-HttpClient/4.5.14 (Java/21.0.11)"/>
    <d v="2026-05-24T15:23:10"/>
  </r>
  <r>
    <s v="cmpjxfssx019nw2rwpwwz1e4e"/>
    <x v="6"/>
    <s v="GET"/>
    <s v="/api/v1/relatorios"/>
    <s v="/api/v1/relatorios/"/>
    <x v="2"/>
    <x v="591"/>
    <d v="2026-05-24T15:23:10"/>
    <d v="2026-05-24T15:23:10"/>
    <s v="::ffff:127.0.0.1"/>
    <s v="Apache-HttpClient/4.5.14 (Java/21.0.11)"/>
    <d v="2026-05-24T15:23:10"/>
  </r>
  <r>
    <s v="cmpjxfsts019yw2rwfugkflmv"/>
    <x v="6"/>
    <s v="GET"/>
    <s v="/api/v1/relatorios"/>
    <s v="/api/v1/relatorios/"/>
    <x v="2"/>
    <x v="229"/>
    <d v="2026-05-24T15:23:10"/>
    <d v="2026-05-24T15:23:10"/>
    <s v="::ffff:127.0.0.1"/>
    <s v="Apache-HttpClient/4.5.14 (Java/21.0.11)"/>
    <d v="2026-05-24T15:23:10"/>
  </r>
  <r>
    <s v="cmpjxfsui01aaw2rwtg2fho61"/>
    <x v="6"/>
    <s v="GET"/>
    <s v="/api/v1/relatorios"/>
    <s v="/api/v1/relatorios/"/>
    <x v="2"/>
    <x v="47"/>
    <d v="2026-05-24T15:23:10"/>
    <d v="2026-05-24T15:23:10"/>
    <s v="::ffff:127.0.0.1"/>
    <s v="Apache-HttpClient/4.5.14 (Java/21.0.11)"/>
    <d v="2026-05-24T15:23:10"/>
  </r>
  <r>
    <s v="cmpjxfsvh01amw2rw4j0jocx0"/>
    <x v="6"/>
    <s v="GET"/>
    <s v="/api/v1/relatorios"/>
    <s v="/api/v1/relatorios/"/>
    <x v="2"/>
    <x v="592"/>
    <d v="2026-05-24T15:23:10"/>
    <d v="2026-05-24T15:23:10"/>
    <s v="::ffff:127.0.0.1"/>
    <s v="Apache-HttpClient/4.5.14 (Java/21.0.11)"/>
    <d v="2026-05-24T15:23:10"/>
  </r>
  <r>
    <s v="cmpjxfsxb01b6w2rwyuy7pd69"/>
    <x v="6"/>
    <s v="GET"/>
    <s v="/api/v1/relatorios"/>
    <s v="/api/v1/relatorios/"/>
    <x v="2"/>
    <x v="593"/>
    <d v="2026-05-24T15:23:11"/>
    <d v="2026-05-24T15:23:11"/>
    <s v="::ffff:127.0.0.1"/>
    <s v="Apache-HttpClient/4.5.14 (Java/21.0.11)"/>
    <d v="2026-05-24T15:23:11"/>
  </r>
  <r>
    <s v="cmpjxfsy201bgw2rweoknwp4y"/>
    <x v="6"/>
    <s v="GET"/>
    <s v="/api/v1/relatorios"/>
    <s v="/api/v1/relatorios/"/>
    <x v="2"/>
    <x v="594"/>
    <d v="2026-05-24T15:23:11"/>
    <d v="2026-05-24T15:23:11"/>
    <s v="::ffff:127.0.0.1"/>
    <s v="Apache-HttpClient/4.5.14 (Java/21.0.11)"/>
    <d v="2026-05-24T15:23:11"/>
  </r>
  <r>
    <s v="cmpjxfsyc01blw2rw90tt2gg4"/>
    <x v="6"/>
    <s v="GET"/>
    <s v="/api/v1/relatorios"/>
    <s v="/api/v1/relatorios/"/>
    <x v="2"/>
    <x v="595"/>
    <d v="2026-05-24T15:23:11"/>
    <d v="2026-05-24T15:23:11"/>
    <s v="::ffff:127.0.0.1"/>
    <s v="Apache-HttpClient/4.5.14 (Java/21.0.11)"/>
    <d v="2026-05-24T15:23:11"/>
  </r>
  <r>
    <s v="cmpjxfsyk01bpw2rwndrw6ce0"/>
    <x v="6"/>
    <s v="GET"/>
    <s v="/api/v1/relatorios"/>
    <s v="/api/v1/relatorios/"/>
    <x v="2"/>
    <x v="596"/>
    <d v="2026-05-24T15:23:11"/>
    <d v="2026-05-24T15:23:11"/>
    <s v="::ffff:127.0.0.1"/>
    <s v="Apache-HttpClient/4.5.14 (Java/21.0.11)"/>
    <d v="2026-05-24T15:23:11"/>
  </r>
  <r>
    <s v="cmpjxfsyv01buw2rwt5nuudgu"/>
    <x v="6"/>
    <s v="GET"/>
    <s v="/api/v1/relatorios"/>
    <s v="/api/v1/relatorios/"/>
    <x v="2"/>
    <x v="47"/>
    <d v="2026-05-24T15:23:11"/>
    <d v="2026-05-24T15:23:11"/>
    <s v="::ffff:127.0.0.1"/>
    <s v="Apache-HttpClient/4.5.14 (Java/21.0.11)"/>
    <d v="2026-05-24T15:23:11"/>
  </r>
  <r>
    <s v="cmpjxfszi01c1w2rwvrd7f4wq"/>
    <x v="6"/>
    <s v="GET"/>
    <s v="/api/v1/relatorios"/>
    <s v="/api/v1/relatorios/"/>
    <x v="2"/>
    <x v="597"/>
    <d v="2026-05-24T15:23:11"/>
    <d v="2026-05-24T15:23:11"/>
    <s v="::ffff:127.0.0.1"/>
    <s v="Apache-HttpClient/4.5.14 (Java/21.0.11)"/>
    <d v="2026-05-24T15:23:11"/>
  </r>
  <r>
    <s v="cmpjxft1d01cpw2rwltp9lg21"/>
    <x v="6"/>
    <s v="GET"/>
    <s v="/api/v1/relatorios"/>
    <s v="/api/v1/relatorios/"/>
    <x v="2"/>
    <x v="315"/>
    <d v="2026-05-24T15:23:11"/>
    <d v="2026-05-24T15:23:11"/>
    <s v="::ffff:127.0.0.1"/>
    <s v="Apache-HttpClient/4.5.14 (Java/21.0.11)"/>
    <d v="2026-05-24T15:23:11"/>
  </r>
  <r>
    <s v="cmpjxft2t01d8w2rw1xv1yep0"/>
    <x v="6"/>
    <s v="GET"/>
    <s v="/api/v1/relatorios"/>
    <s v="/api/v1/relatorios/"/>
    <x v="2"/>
    <x v="598"/>
    <d v="2026-05-24T15:23:11"/>
    <d v="2026-05-24T15:23:11"/>
    <s v="::ffff:127.0.0.1"/>
    <s v="Apache-HttpClient/4.5.14 (Java/21.0.11)"/>
    <d v="2026-05-24T15:23:11"/>
  </r>
  <r>
    <s v="cmpjxft3701dcw2rwi559pnjq"/>
    <x v="6"/>
    <s v="GET"/>
    <s v="/api/v1/relatorios"/>
    <s v="/api/v1/relatorios/"/>
    <x v="2"/>
    <x v="599"/>
    <d v="2026-05-24T15:23:11"/>
    <d v="2026-05-24T15:23:11"/>
    <s v="::ffff:127.0.0.1"/>
    <s v="Apache-HttpClient/4.5.14 (Java/21.0.11)"/>
    <d v="2026-05-24T15:23:11"/>
  </r>
  <r>
    <s v="cmpjxft3g01dfw2rwwqd88ixj"/>
    <x v="6"/>
    <s v="GET"/>
    <s v="/api/v1/relatorios"/>
    <s v="/api/v1/relatorios/"/>
    <x v="2"/>
    <x v="600"/>
    <d v="2026-05-24T15:23:11"/>
    <d v="2026-05-24T15:23:11"/>
    <s v="::ffff:127.0.0.1"/>
    <s v="Apache-HttpClient/4.5.14 (Java/21.0.11)"/>
    <d v="2026-05-24T15:23:11"/>
  </r>
  <r>
    <s v="cmpjxft3n01diw2rw9e9b3vy4"/>
    <x v="6"/>
    <s v="GET"/>
    <s v="/api/v1/relatorios"/>
    <s v="/api/v1/relatorios/"/>
    <x v="2"/>
    <x v="93"/>
    <d v="2026-05-24T15:23:11"/>
    <d v="2026-05-24T15:23:11"/>
    <s v="::ffff:127.0.0.1"/>
    <s v="Apache-HttpClient/4.5.14 (Java/21.0.11)"/>
    <d v="2026-05-24T15:23:11"/>
  </r>
  <r>
    <s v="cmpjxft4k01duw2rwf3k3e4ry"/>
    <x v="6"/>
    <s v="GET"/>
    <s v="/api/v1/relatorios"/>
    <s v="/api/v1/relatorios/"/>
    <x v="2"/>
    <x v="378"/>
    <d v="2026-05-24T15:23:11"/>
    <d v="2026-05-24T15:23:11"/>
    <s v="::ffff:127.0.0.1"/>
    <s v="Apache-HttpClient/4.5.14 (Java/21.0.11)"/>
    <d v="2026-05-24T15:23:11"/>
  </r>
  <r>
    <s v="cmpjxft6c01egw2rwb2fhoirk"/>
    <x v="6"/>
    <s v="GET"/>
    <s v="/api/v1/relatorios"/>
    <s v="/api/v1/relatorios/"/>
    <x v="2"/>
    <x v="586"/>
    <d v="2026-05-24T15:23:11"/>
    <d v="2026-05-24T15:23:11"/>
    <s v="::ffff:127.0.0.1"/>
    <s v="Apache-HttpClient/4.5.14 (Java/21.0.11)"/>
    <d v="2026-05-24T15:23:11"/>
  </r>
  <r>
    <s v="cmpjxft7b01euw2rwa0r1ho2c"/>
    <x v="6"/>
    <s v="GET"/>
    <s v="/api/v1/relatorios"/>
    <s v="/api/v1/relatorios/"/>
    <x v="2"/>
    <x v="85"/>
    <d v="2026-05-24T15:23:11"/>
    <d v="2026-05-24T15:23:11"/>
    <s v="::ffff:127.0.0.1"/>
    <s v="Apache-HttpClient/4.5.14 (Java/21.0.11)"/>
    <d v="2026-05-24T15:23:11"/>
  </r>
  <r>
    <s v="cmpjxft7o01exw2rw9qp6usam"/>
    <x v="6"/>
    <s v="GET"/>
    <s v="/api/v1/relatorios"/>
    <s v="/api/v1/relatorios/"/>
    <x v="2"/>
    <x v="326"/>
    <d v="2026-05-24T15:23:11"/>
    <d v="2026-05-24T15:23:11"/>
    <s v="::ffff:127.0.0.1"/>
    <s v="Apache-HttpClient/4.5.14 (Java/21.0.11)"/>
    <d v="2026-05-24T15:23:11"/>
  </r>
  <r>
    <s v="cmpjxft7x01f0w2rw0gaufoy6"/>
    <x v="6"/>
    <s v="GET"/>
    <s v="/api/v1/relatorios"/>
    <s v="/api/v1/relatorios/"/>
    <x v="2"/>
    <x v="601"/>
    <d v="2026-05-24T15:23:11"/>
    <d v="2026-05-24T15:23:11"/>
    <s v="::ffff:127.0.0.1"/>
    <s v="Apache-HttpClient/4.5.14 (Java/21.0.11)"/>
    <d v="2026-05-24T15:23:11"/>
  </r>
  <r>
    <s v="cmpjxft8r01fcw2rw45zjsg0o"/>
    <x v="6"/>
    <s v="GET"/>
    <s v="/api/v1/relatorios"/>
    <s v="/api/v1/relatorios/"/>
    <x v="2"/>
    <x v="602"/>
    <d v="2026-05-24T15:23:11"/>
    <d v="2026-05-24T15:23:11"/>
    <s v="::ffff:127.0.0.1"/>
    <s v="Apache-HttpClient/4.5.14 (Java/21.0.11)"/>
    <d v="2026-05-24T15:23:11"/>
  </r>
  <r>
    <s v="cmpjxfta001fsw2rw3qi0a058"/>
    <x v="6"/>
    <s v="GET"/>
    <s v="/api/v1/relatorios"/>
    <s v="/api/v1/relatorios/"/>
    <x v="2"/>
    <x v="603"/>
    <d v="2026-05-24T15:23:11"/>
    <d v="2026-05-24T15:23:11"/>
    <s v="::ffff:127.0.0.1"/>
    <s v="Apache-HttpClient/4.5.14 (Java/21.0.11)"/>
    <d v="2026-05-24T15:23:11"/>
  </r>
  <r>
    <s v="cmpjxftan01g1w2rwwzp8vv2r"/>
    <x v="6"/>
    <s v="GET"/>
    <s v="/api/v1/relatorios"/>
    <s v="/api/v1/relatorios/"/>
    <x v="2"/>
    <x v="297"/>
    <d v="2026-05-24T15:23:11"/>
    <d v="2026-05-24T15:23:11"/>
    <s v="::ffff:127.0.0.1"/>
    <s v="Apache-HttpClient/4.5.14 (Java/21.0.11)"/>
    <d v="2026-05-24T15:23:11"/>
  </r>
  <r>
    <s v="cmpjxftbm01gcw2rw6tsdcskd"/>
    <x v="6"/>
    <s v="GET"/>
    <s v="/api/v1/relatorios"/>
    <s v="/api/v1/relatorios/"/>
    <x v="2"/>
    <x v="604"/>
    <d v="2026-05-24T15:23:11"/>
    <d v="2026-05-24T15:23:11"/>
    <s v="::ffff:127.0.0.1"/>
    <s v="Apache-HttpClient/4.5.14 (Java/21.0.11)"/>
    <d v="2026-05-24T15:23:11"/>
  </r>
  <r>
    <s v="cmpjxftc801glw2rwfay7ttg3"/>
    <x v="6"/>
    <s v="GET"/>
    <s v="/api/v1/relatorios"/>
    <s v="/api/v1/relatorios/"/>
    <x v="2"/>
    <x v="605"/>
    <d v="2026-05-24T15:23:11"/>
    <d v="2026-05-24T15:23:11"/>
    <s v="::ffff:127.0.0.1"/>
    <s v="Apache-HttpClient/4.5.14 (Java/21.0.11)"/>
    <d v="2026-05-24T15:23:11"/>
  </r>
  <r>
    <s v="cmpjxfr2n00p7w2rwadnxuzao"/>
    <x v="7"/>
    <s v="GET"/>
    <s v="/api/v1/testes"/>
    <s v="/api/v1/testes/"/>
    <x v="2"/>
    <x v="290"/>
    <d v="2026-05-24T15:23:08"/>
    <d v="2026-05-24T15:23:08"/>
    <s v="::ffff:127.0.0.1"/>
    <s v="Apache-HttpClient/4.5.14 (Java/21.0.11)"/>
    <d v="2026-05-24T15:23:08"/>
  </r>
  <r>
    <s v="cmpjxfr5400plw2rwavf1ix4a"/>
    <x v="7"/>
    <s v="GET"/>
    <s v="/api/v1/testes"/>
    <s v="/api/v1/testes/"/>
    <x v="2"/>
    <x v="606"/>
    <d v="2026-05-24T15:23:08"/>
    <d v="2026-05-24T15:23:08"/>
    <s v="::ffff:127.0.0.1"/>
    <s v="Apache-HttpClient/4.5.14 (Java/21.0.11)"/>
    <d v="2026-05-24T15:23:08"/>
  </r>
  <r>
    <s v="cmpjxfr5c00pnw2rw9ftg6uza"/>
    <x v="7"/>
    <s v="GET"/>
    <s v="/api/v1/testes"/>
    <s v="/api/v1/testes/"/>
    <x v="2"/>
    <x v="537"/>
    <d v="2026-05-24T15:23:08"/>
    <d v="2026-05-24T15:23:08"/>
    <s v="::ffff:127.0.0.1"/>
    <s v="Apache-HttpClient/4.5.14 (Java/21.0.11)"/>
    <d v="2026-05-24T15:23:08"/>
  </r>
  <r>
    <s v="cmpjxfr7c00q5w2rwqk4s7kpr"/>
    <x v="7"/>
    <s v="GET"/>
    <s v="/api/v1/testes"/>
    <s v="/api/v1/testes/"/>
    <x v="2"/>
    <x v="607"/>
    <d v="2026-05-24T15:23:08"/>
    <d v="2026-05-24T15:23:08"/>
    <s v="::ffff:127.0.0.1"/>
    <s v="Apache-HttpClient/4.5.14 (Java/21.0.11)"/>
    <d v="2026-05-24T15:23:08"/>
  </r>
  <r>
    <s v="cmpjxfr7m00q8w2rw1epij6ar"/>
    <x v="7"/>
    <s v="GET"/>
    <s v="/api/v1/testes"/>
    <s v="/api/v1/testes/"/>
    <x v="2"/>
    <x v="444"/>
    <d v="2026-05-24T15:23:08"/>
    <d v="2026-05-24T15:23:08"/>
    <s v="::ffff:127.0.0.1"/>
    <s v="Apache-HttpClient/4.5.14 (Java/21.0.11)"/>
    <d v="2026-05-24T15:23:08"/>
  </r>
  <r>
    <s v="cmpjxfr8d00qiw2rwcwwf99d8"/>
    <x v="7"/>
    <s v="GET"/>
    <s v="/api/v1/testes"/>
    <s v="/api/v1/testes/"/>
    <x v="2"/>
    <x v="608"/>
    <d v="2026-05-24T15:23:08"/>
    <d v="2026-05-24T15:23:08"/>
    <s v="::ffff:127.0.0.1"/>
    <s v="Apache-HttpClient/4.5.14 (Java/21.0.11)"/>
    <d v="2026-05-24T15:23:08"/>
  </r>
  <r>
    <s v="cmpjxfra000qzw2rw57o1yw72"/>
    <x v="7"/>
    <s v="GET"/>
    <s v="/api/v1/testes"/>
    <s v="/api/v1/testes/"/>
    <x v="2"/>
    <x v="609"/>
    <d v="2026-05-24T15:23:08"/>
    <d v="2026-05-24T15:23:08"/>
    <s v="::ffff:127.0.0.1"/>
    <s v="Apache-HttpClient/4.5.14 (Java/21.0.11)"/>
    <d v="2026-05-24T15:23:08"/>
  </r>
  <r>
    <s v="cmpjxfram00r4w2rw8ebz04ea"/>
    <x v="7"/>
    <s v="GET"/>
    <s v="/api/v1/testes"/>
    <s v="/api/v1/testes/"/>
    <x v="2"/>
    <x v="610"/>
    <d v="2026-05-24T15:23:08"/>
    <d v="2026-05-24T15:23:08"/>
    <s v="::ffff:127.0.0.1"/>
    <s v="Apache-HttpClient/4.5.14 (Java/21.0.11)"/>
    <d v="2026-05-24T15:23:08"/>
  </r>
  <r>
    <s v="cmpjxfrbf00rgw2rw5am5jc6c"/>
    <x v="7"/>
    <s v="GET"/>
    <s v="/api/v1/testes"/>
    <s v="/api/v1/testes/"/>
    <x v="2"/>
    <x v="611"/>
    <d v="2026-05-24T15:23:08"/>
    <d v="2026-05-24T15:23:08"/>
    <s v="::ffff:127.0.0.1"/>
    <s v="Apache-HttpClient/4.5.14 (Java/21.0.11)"/>
    <d v="2026-05-24T15:23:08"/>
  </r>
  <r>
    <s v="cmpjxfrbl00riw2rw3m9t2u1g"/>
    <x v="7"/>
    <s v="GET"/>
    <s v="/api/v1/testes"/>
    <s v="/api/v1/testes/"/>
    <x v="2"/>
    <x v="612"/>
    <d v="2026-05-24T15:23:08"/>
    <d v="2026-05-24T15:23:08"/>
    <s v="::ffff:127.0.0.1"/>
    <s v="Apache-HttpClient/4.5.14 (Java/21.0.11)"/>
    <d v="2026-05-24T15:23:08"/>
  </r>
  <r>
    <s v="cmpjxfre300s6w2rwspz0i7jl"/>
    <x v="7"/>
    <s v="GET"/>
    <s v="/api/v1/testes"/>
    <s v="/api/v1/testes/"/>
    <x v="2"/>
    <x v="410"/>
    <d v="2026-05-24T15:23:09"/>
    <d v="2026-05-24T15:23:09"/>
    <s v="::ffff:127.0.0.1"/>
    <s v="Apache-HttpClient/4.5.14 (Java/21.0.11)"/>
    <d v="2026-05-24T15:23:09"/>
  </r>
  <r>
    <s v="cmpjxfrel00sdw2rwlpfufr1t"/>
    <x v="7"/>
    <s v="GET"/>
    <s v="/api/v1/testes"/>
    <s v="/api/v1/testes/"/>
    <x v="2"/>
    <x v="613"/>
    <d v="2026-05-24T15:23:09"/>
    <d v="2026-05-24T15:23:09"/>
    <s v="::ffff:127.0.0.1"/>
    <s v="Apache-HttpClient/4.5.14 (Java/21.0.11)"/>
    <d v="2026-05-24T15:23:09"/>
  </r>
  <r>
    <s v="cmpjxfrf100sjw2rwj2crxidi"/>
    <x v="7"/>
    <s v="GET"/>
    <s v="/api/v1/testes"/>
    <s v="/api/v1/testes/"/>
    <x v="2"/>
    <x v="614"/>
    <d v="2026-05-24T15:23:09"/>
    <d v="2026-05-24T15:23:09"/>
    <s v="::ffff:127.0.0.1"/>
    <s v="Apache-HttpClient/4.5.14 (Java/21.0.11)"/>
    <d v="2026-05-24T15:23:09"/>
  </r>
  <r>
    <s v="cmpjxfrfh00spw2rw7a5s03rz"/>
    <x v="7"/>
    <s v="GET"/>
    <s v="/api/v1/testes"/>
    <s v="/api/v1/testes/"/>
    <x v="2"/>
    <x v="615"/>
    <d v="2026-05-24T15:23:09"/>
    <d v="2026-05-24T15:23:09"/>
    <s v="::ffff:127.0.0.1"/>
    <s v="Apache-HttpClient/4.5.14 (Java/21.0.11)"/>
    <d v="2026-05-24T15:23:09"/>
  </r>
  <r>
    <s v="cmpjxfrfp00srw2rwyevu6p2q"/>
    <x v="7"/>
    <s v="GET"/>
    <s v="/api/v1/testes"/>
    <s v="/api/v1/testes/"/>
    <x v="2"/>
    <x v="616"/>
    <d v="2026-05-24T15:23:09"/>
    <d v="2026-05-24T15:23:09"/>
    <s v="::ffff:127.0.0.1"/>
    <s v="Apache-HttpClient/4.5.14 (Java/21.0.11)"/>
    <d v="2026-05-24T15:23:09"/>
  </r>
  <r>
    <s v="cmpjxfrid00tlw2rwxjodmuud"/>
    <x v="7"/>
    <s v="GET"/>
    <s v="/api/v1/testes"/>
    <s v="/api/v1/testes/"/>
    <x v="2"/>
    <x v="617"/>
    <d v="2026-05-24T15:23:09"/>
    <d v="2026-05-24T15:23:09"/>
    <s v="::ffff:127.0.0.1"/>
    <s v="Apache-HttpClient/4.5.14 (Java/21.0.11)"/>
    <d v="2026-05-24T15:23:09"/>
  </r>
  <r>
    <s v="cmpjxfrjn00ttw2rwjbjwmbhe"/>
    <x v="7"/>
    <s v="GET"/>
    <s v="/api/v1/testes"/>
    <s v="/api/v1/testes/"/>
    <x v="2"/>
    <x v="269"/>
    <d v="2026-05-24T15:23:09"/>
    <d v="2026-05-24T15:23:09"/>
    <s v="::ffff:127.0.0.1"/>
    <s v="Apache-HttpClient/4.5.14 (Java/21.0.11)"/>
    <d v="2026-05-24T15:23:09"/>
  </r>
  <r>
    <s v="cmpjxfrk500u1w2rwp58pfxdn"/>
    <x v="7"/>
    <s v="GET"/>
    <s v="/api/v1/testes"/>
    <s v="/api/v1/testes/"/>
    <x v="2"/>
    <x v="618"/>
    <d v="2026-05-24T15:23:09"/>
    <d v="2026-05-24T15:23:09"/>
    <s v="::ffff:127.0.0.1"/>
    <s v="Apache-HttpClient/4.5.14 (Java/21.0.11)"/>
    <d v="2026-05-24T15:23:09"/>
  </r>
  <r>
    <s v="cmpjxfrkr00ubw2rwadx764q7"/>
    <x v="7"/>
    <s v="GET"/>
    <s v="/api/v1/testes"/>
    <s v="/api/v1/testes/"/>
    <x v="2"/>
    <x v="609"/>
    <d v="2026-05-24T15:23:09"/>
    <d v="2026-05-24T15:23:09"/>
    <s v="::ffff:127.0.0.1"/>
    <s v="Apache-HttpClient/4.5.14 (Java/21.0.11)"/>
    <d v="2026-05-24T15:23:09"/>
  </r>
  <r>
    <s v="cmpjxfrl100ugw2rwcyyjqg7y"/>
    <x v="7"/>
    <s v="GET"/>
    <s v="/api/v1/testes"/>
    <s v="/api/v1/testes/"/>
    <x v="2"/>
    <x v="419"/>
    <d v="2026-05-24T15:23:09"/>
    <d v="2026-05-24T15:23:09"/>
    <s v="::ffff:127.0.0.1"/>
    <s v="Apache-HttpClient/4.5.14 (Java/21.0.11)"/>
    <d v="2026-05-24T15:23:09"/>
  </r>
  <r>
    <s v="cmpjxfrla00uiw2rw5wted02s"/>
    <x v="7"/>
    <s v="GET"/>
    <s v="/api/v1/testes"/>
    <s v="/api/v1/testes/"/>
    <x v="2"/>
    <x v="619"/>
    <d v="2026-05-24T15:23:09"/>
    <d v="2026-05-24T15:23:09"/>
    <s v="::ffff:127.0.0.1"/>
    <s v="Apache-HttpClient/4.5.14 (Java/21.0.11)"/>
    <d v="2026-05-24T15:23:09"/>
  </r>
  <r>
    <s v="cmpjxfrlf00ukw2rw2033nsog"/>
    <x v="7"/>
    <s v="GET"/>
    <s v="/api/v1/testes"/>
    <s v="/api/v1/testes/"/>
    <x v="2"/>
    <x v="620"/>
    <d v="2026-05-24T15:23:09"/>
    <d v="2026-05-24T15:23:09"/>
    <s v="::ffff:127.0.0.1"/>
    <s v="Apache-HttpClient/4.5.14 (Java/21.0.11)"/>
    <d v="2026-05-24T15:23:09"/>
  </r>
  <r>
    <s v="cmpjxfroc00vhw2rwmyhji6wa"/>
    <x v="7"/>
    <s v="GET"/>
    <s v="/api/v1/testes"/>
    <s v="/api/v1/testes/"/>
    <x v="2"/>
    <x v="257"/>
    <d v="2026-05-24T15:23:09"/>
    <d v="2026-05-24T15:23:09"/>
    <s v="::ffff:127.0.0.1"/>
    <s v="Apache-HttpClient/4.5.14 (Java/21.0.11)"/>
    <d v="2026-05-24T15:23:09"/>
  </r>
  <r>
    <s v="cmpjxfrpl00vsw2rw2xdrbetv"/>
    <x v="7"/>
    <s v="GET"/>
    <s v="/api/v1/testes"/>
    <s v="/api/v1/testes/"/>
    <x v="2"/>
    <x v="621"/>
    <d v="2026-05-24T15:23:09"/>
    <d v="2026-05-24T15:23:09"/>
    <s v="::ffff:127.0.0.1"/>
    <s v="Apache-HttpClient/4.5.14 (Java/21.0.11)"/>
    <d v="2026-05-24T15:23:09"/>
  </r>
  <r>
    <s v="cmpjxfrqq00w5w2rwv5jp4nzf"/>
    <x v="7"/>
    <s v="GET"/>
    <s v="/api/v1/testes"/>
    <s v="/api/v1/testes/"/>
    <x v="2"/>
    <x v="622"/>
    <d v="2026-05-24T15:23:09"/>
    <d v="2026-05-24T15:23:09"/>
    <s v="::ffff:127.0.0.1"/>
    <s v="Apache-HttpClient/4.5.14 (Java/21.0.11)"/>
    <d v="2026-05-24T15:23:09"/>
  </r>
  <r>
    <s v="cmpjxfrrh00wew2rwabz7ufnk"/>
    <x v="7"/>
    <s v="GET"/>
    <s v="/api/v1/testes"/>
    <s v="/api/v1/testes/"/>
    <x v="2"/>
    <x v="623"/>
    <d v="2026-05-24T15:23:09"/>
    <d v="2026-05-24T15:23:09"/>
    <s v="::ffff:127.0.0.1"/>
    <s v="Apache-HttpClient/4.5.14 (Java/21.0.11)"/>
    <d v="2026-05-24T15:23:09"/>
  </r>
  <r>
    <s v="cmpjxfrsa00wqw2rwtxaurh7g"/>
    <x v="7"/>
    <s v="GET"/>
    <s v="/api/v1/testes"/>
    <s v="/api/v1/testes/"/>
    <x v="2"/>
    <x v="624"/>
    <d v="2026-05-24T15:23:09"/>
    <d v="2026-05-24T15:23:09"/>
    <s v="::ffff:127.0.0.1"/>
    <s v="Apache-HttpClient/4.5.14 (Java/21.0.11)"/>
    <d v="2026-05-24T15:23:09"/>
  </r>
  <r>
    <s v="cmpjxfrsg00wsw2rwdxpuhijd"/>
    <x v="7"/>
    <s v="GET"/>
    <s v="/api/v1/testes"/>
    <s v="/api/v1/testes/"/>
    <x v="2"/>
    <x v="625"/>
    <d v="2026-05-24T15:23:09"/>
    <d v="2026-05-24T15:23:09"/>
    <s v="::ffff:127.0.0.1"/>
    <s v="Apache-HttpClient/4.5.14 (Java/21.0.11)"/>
    <d v="2026-05-24T15:23:09"/>
  </r>
  <r>
    <s v="cmpjxfrsi00wtw2rwm00mkoig"/>
    <x v="7"/>
    <s v="GET"/>
    <s v="/api/v1/testes"/>
    <s v="/api/v1/testes/"/>
    <x v="2"/>
    <x v="626"/>
    <d v="2026-05-24T15:23:09"/>
    <d v="2026-05-24T15:23:09"/>
    <s v="::ffff:127.0.0.1"/>
    <s v="Apache-HttpClient/4.5.14 (Java/21.0.11)"/>
    <d v="2026-05-24T15:23:09"/>
  </r>
  <r>
    <s v="cmpjxfrsl00wuw2rw96zhjxh0"/>
    <x v="7"/>
    <s v="GET"/>
    <s v="/api/v1/testes"/>
    <s v="/api/v1/testes/"/>
    <x v="2"/>
    <x v="627"/>
    <d v="2026-05-24T15:23:09"/>
    <d v="2026-05-24T15:23:09"/>
    <s v="::ffff:127.0.0.1"/>
    <s v="Apache-HttpClient/4.5.14 (Java/21.0.11)"/>
    <d v="2026-05-24T15:23:09"/>
  </r>
  <r>
    <s v="cmpjxfrtb00x2w2rw0jq0t5rw"/>
    <x v="7"/>
    <s v="GET"/>
    <s v="/api/v1/testes"/>
    <s v="/api/v1/testes/"/>
    <x v="2"/>
    <x v="628"/>
    <d v="2026-05-24T15:23:09"/>
    <d v="2026-05-24T15:23:09"/>
    <s v="::ffff:127.0.0.1"/>
    <s v="Apache-HttpClient/4.5.14 (Java/21.0.11)"/>
    <d v="2026-05-24T15:23:09"/>
  </r>
  <r>
    <s v="cmpjxfrup00xkw2rwmadlahi1"/>
    <x v="7"/>
    <s v="GET"/>
    <s v="/api/v1/testes"/>
    <s v="/api/v1/testes/"/>
    <x v="2"/>
    <x v="366"/>
    <d v="2026-05-24T15:23:09"/>
    <d v="2026-05-24T15:23:09"/>
    <s v="::ffff:127.0.0.1"/>
    <s v="Apache-HttpClient/4.5.14 (Java/21.0.11)"/>
    <d v="2026-05-24T15:23:09"/>
  </r>
  <r>
    <s v="cmpjxfrwq00y5w2rwnwynjzzn"/>
    <x v="7"/>
    <s v="GET"/>
    <s v="/api/v1/testes"/>
    <s v="/api/v1/testes/"/>
    <x v="2"/>
    <x v="224"/>
    <d v="2026-05-24T15:23:09"/>
    <d v="2026-05-24T15:23:09"/>
    <s v="::ffff:127.0.0.1"/>
    <s v="Apache-HttpClient/4.5.14 (Java/21.0.11)"/>
    <d v="2026-05-24T15:23:09"/>
  </r>
  <r>
    <s v="cmpjxfry300yjw2rw3b5myc06"/>
    <x v="7"/>
    <s v="GET"/>
    <s v="/api/v1/testes"/>
    <s v="/api/v1/testes/"/>
    <x v="2"/>
    <x v="419"/>
    <d v="2026-05-24T15:23:09"/>
    <d v="2026-05-24T15:23:09"/>
    <s v="::ffff:127.0.0.1"/>
    <s v="Apache-HttpClient/4.5.14 (Java/21.0.11)"/>
    <d v="2026-05-24T15:23:09"/>
  </r>
  <r>
    <s v="cmpjxfrz600yyw2rw4e4ofiit"/>
    <x v="7"/>
    <s v="GET"/>
    <s v="/api/v1/testes"/>
    <s v="/api/v1/testes/"/>
    <x v="2"/>
    <x v="355"/>
    <d v="2026-05-24T15:23:09"/>
    <d v="2026-05-24T15:23:09"/>
    <s v="::ffff:127.0.0.1"/>
    <s v="Apache-HttpClient/4.5.14 (Java/21.0.11)"/>
    <d v="2026-05-24T15:23:09"/>
  </r>
  <r>
    <s v="cmpjxfrzw00z8w2rwc5srns4u"/>
    <x v="7"/>
    <s v="GET"/>
    <s v="/api/v1/testes"/>
    <s v="/api/v1/testes/"/>
    <x v="2"/>
    <x v="629"/>
    <d v="2026-05-24T15:23:09"/>
    <d v="2026-05-24T15:23:09"/>
    <s v="::ffff:127.0.0.1"/>
    <s v="Apache-HttpClient/4.5.14 (Java/21.0.11)"/>
    <d v="2026-05-24T15:23:09"/>
  </r>
  <r>
    <s v="cmpjxfs0d00zfw2rwj3flvmw7"/>
    <x v="7"/>
    <s v="GET"/>
    <s v="/api/v1/testes"/>
    <s v="/api/v1/testes/"/>
    <x v="2"/>
    <x v="630"/>
    <d v="2026-05-24T15:23:09"/>
    <d v="2026-05-24T15:23:09"/>
    <s v="::ffff:127.0.0.1"/>
    <s v="Apache-HttpClient/4.5.14 (Java/21.0.11)"/>
    <d v="2026-05-24T15:23:09"/>
  </r>
  <r>
    <s v="cmpjxfs0h00zhw2rwthw77eh9"/>
    <x v="7"/>
    <s v="GET"/>
    <s v="/api/v1/testes"/>
    <s v="/api/v1/testes/"/>
    <x v="2"/>
    <x v="447"/>
    <d v="2026-05-24T15:23:09"/>
    <d v="2026-05-24T15:23:09"/>
    <s v="::ffff:127.0.0.1"/>
    <s v="Apache-HttpClient/4.5.14 (Java/21.0.11)"/>
    <d v="2026-05-24T15:23:09"/>
  </r>
  <r>
    <s v="cmpjxfs0i00ziw2rwtwccn6ru"/>
    <x v="7"/>
    <s v="GET"/>
    <s v="/api/v1/testes"/>
    <s v="/api/v1/testes/"/>
    <x v="2"/>
    <x v="631"/>
    <d v="2026-05-24T15:23:09"/>
    <d v="2026-05-24T15:23:09"/>
    <s v="::ffff:127.0.0.1"/>
    <s v="Apache-HttpClient/4.5.14 (Java/21.0.11)"/>
    <d v="2026-05-24T15:23:09"/>
  </r>
  <r>
    <s v="cmpjxfs0m00zkw2rwwu3zfa1k"/>
    <x v="7"/>
    <s v="GET"/>
    <s v="/api/v1/testes"/>
    <s v="/api/v1/testes/"/>
    <x v="2"/>
    <x v="246"/>
    <d v="2026-05-24T15:23:09"/>
    <d v="2026-05-24T15:23:09"/>
    <s v="::ffff:127.0.0.1"/>
    <s v="Apache-HttpClient/4.5.14 (Java/21.0.11)"/>
    <d v="2026-05-24T15:23:09"/>
  </r>
  <r>
    <s v="cmpjxfs1z0100w2rwx5lbdjwx"/>
    <x v="7"/>
    <s v="GET"/>
    <s v="/api/v1/testes"/>
    <s v="/api/v1/testes/"/>
    <x v="2"/>
    <x v="521"/>
    <d v="2026-05-24T15:23:09"/>
    <d v="2026-05-24T15:23:09"/>
    <s v="::ffff:127.0.0.1"/>
    <s v="Apache-HttpClient/4.5.14 (Java/21.0.11)"/>
    <d v="2026-05-24T15:23:09"/>
  </r>
  <r>
    <s v="cmpjxfs2p010aw2rwdtvp7p2w"/>
    <x v="7"/>
    <s v="GET"/>
    <s v="/api/v1/testes"/>
    <s v="/api/v1/testes/"/>
    <x v="2"/>
    <x v="632"/>
    <d v="2026-05-24T15:23:09"/>
    <d v="2026-05-24T15:23:09"/>
    <s v="::ffff:127.0.0.1"/>
    <s v="Apache-HttpClient/4.5.14 (Java/21.0.11)"/>
    <d v="2026-05-24T15:23:09"/>
  </r>
  <r>
    <s v="cmpjxfs510110w2rweu1xw01s"/>
    <x v="7"/>
    <s v="GET"/>
    <s v="/api/v1/testes"/>
    <s v="/api/v1/testes/"/>
    <x v="2"/>
    <x v="633"/>
    <d v="2026-05-24T15:23:09"/>
    <d v="2026-05-24T15:23:09"/>
    <s v="::ffff:127.0.0.1"/>
    <s v="Apache-HttpClient/4.5.14 (Java/21.0.11)"/>
    <d v="2026-05-24T15:23:09"/>
  </r>
  <r>
    <s v="cmpjxfs63011ew2rwfh3fzeoq"/>
    <x v="7"/>
    <s v="GET"/>
    <s v="/api/v1/testes"/>
    <s v="/api/v1/testes/"/>
    <x v="2"/>
    <x v="634"/>
    <d v="2026-05-24T15:23:10"/>
    <d v="2026-05-24T15:23:10"/>
    <s v="::ffff:127.0.0.1"/>
    <s v="Apache-HttpClient/4.5.14 (Java/21.0.11)"/>
    <d v="2026-05-24T15:23:10"/>
  </r>
  <r>
    <s v="cmpjxfs7d011uw2rwwrrrcnhj"/>
    <x v="7"/>
    <s v="GET"/>
    <s v="/api/v1/testes"/>
    <s v="/api/v1/testes/"/>
    <x v="2"/>
    <x v="635"/>
    <d v="2026-05-24T15:23:10"/>
    <d v="2026-05-24T15:23:10"/>
    <s v="::ffff:127.0.0.1"/>
    <s v="Apache-HttpClient/4.5.14 (Java/21.0.11)"/>
    <d v="2026-05-24T15:23:10"/>
  </r>
  <r>
    <s v="cmpjxfs890121w2rwnzdfdou9"/>
    <x v="7"/>
    <s v="GET"/>
    <s v="/api/v1/testes"/>
    <s v="/api/v1/testes/"/>
    <x v="2"/>
    <x v="636"/>
    <d v="2026-05-24T15:23:10"/>
    <d v="2026-05-24T15:23:10"/>
    <s v="::ffff:127.0.0.1"/>
    <s v="Apache-HttpClient/4.5.14 (Java/21.0.11)"/>
    <d v="2026-05-24T15:23:10"/>
  </r>
  <r>
    <s v="cmpjxfs8g0124w2rwfabrdy2b"/>
    <x v="7"/>
    <s v="GET"/>
    <s v="/api/v1/testes"/>
    <s v="/api/v1/testes/"/>
    <x v="2"/>
    <x v="637"/>
    <d v="2026-05-24T15:23:10"/>
    <d v="2026-05-24T15:23:10"/>
    <s v="::ffff:127.0.0.1"/>
    <s v="Apache-HttpClient/4.5.14 (Java/21.0.11)"/>
    <d v="2026-05-24T15:23:10"/>
  </r>
  <r>
    <s v="cmpjxfs8i0125w2rwu396vaj2"/>
    <x v="7"/>
    <s v="GET"/>
    <s v="/api/v1/testes"/>
    <s v="/api/v1/testes/"/>
    <x v="2"/>
    <x v="234"/>
    <d v="2026-05-24T15:23:10"/>
    <d v="2026-05-24T15:23:10"/>
    <s v="::ffff:127.0.0.1"/>
    <s v="Apache-HttpClient/4.5.14 (Java/21.0.11)"/>
    <d v="2026-05-24T15:23:10"/>
  </r>
  <r>
    <s v="cmpjxfs8m0127w2rwnzg1f993"/>
    <x v="7"/>
    <s v="GET"/>
    <s v="/api/v1/testes"/>
    <s v="/api/v1/testes/"/>
    <x v="2"/>
    <x v="638"/>
    <d v="2026-05-24T15:23:10"/>
    <d v="2026-05-24T15:23:10"/>
    <s v="::ffff:127.0.0.1"/>
    <s v="Apache-HttpClient/4.5.14 (Java/21.0.11)"/>
    <d v="2026-05-24T15:23:10"/>
  </r>
  <r>
    <s v="cmpjxfs8y012aw2rwmvbl8ro4"/>
    <x v="7"/>
    <s v="GET"/>
    <s v="/api/v1/testes"/>
    <s v="/api/v1/testes/"/>
    <x v="2"/>
    <x v="639"/>
    <d v="2026-05-24T15:23:10"/>
    <d v="2026-05-24T15:23:10"/>
    <s v="::ffff:127.0.0.1"/>
    <s v="Apache-HttpClient/4.5.14 (Java/21.0.11)"/>
    <d v="2026-05-24T15:23:10"/>
  </r>
  <r>
    <s v="cmpjxfsam012ww2rw5yhevn8k"/>
    <x v="7"/>
    <s v="GET"/>
    <s v="/api/v1/testes"/>
    <s v="/api/v1/testes/"/>
    <x v="2"/>
    <x v="627"/>
    <d v="2026-05-24T15:23:10"/>
    <d v="2026-05-24T15:23:10"/>
    <s v="::ffff:127.0.0.1"/>
    <s v="Apache-HttpClient/4.5.14 (Java/21.0.11)"/>
    <d v="2026-05-24T15:23:10"/>
  </r>
  <r>
    <s v="cmpjxfsb60134w2rwqdm7yj6x"/>
    <x v="7"/>
    <s v="GET"/>
    <s v="/api/v1/testes"/>
    <s v="/api/v1/testes/"/>
    <x v="2"/>
    <x v="640"/>
    <d v="2026-05-24T15:23:10"/>
    <d v="2026-05-24T15:23:10"/>
    <s v="::ffff:127.0.0.1"/>
    <s v="Apache-HttpClient/4.5.14 (Java/21.0.11)"/>
    <d v="2026-05-24T15:23:10"/>
  </r>
  <r>
    <s v="cmpjxfsd9013rw2rwiajrkb5o"/>
    <x v="7"/>
    <s v="GET"/>
    <s v="/api/v1/testes"/>
    <s v="/api/v1/testes/"/>
    <x v="2"/>
    <x v="641"/>
    <d v="2026-05-24T15:23:10"/>
    <d v="2026-05-24T15:23:10"/>
    <s v="::ffff:127.0.0.1"/>
    <s v="Apache-HttpClient/4.5.14 (Java/21.0.11)"/>
    <d v="2026-05-24T15:23:10"/>
  </r>
  <r>
    <s v="cmpjxfseb0148w2rwx36xnn77"/>
    <x v="7"/>
    <s v="GET"/>
    <s v="/api/v1/testes"/>
    <s v="/api/v1/testes/"/>
    <x v="2"/>
    <x v="642"/>
    <d v="2026-05-24T15:23:10"/>
    <d v="2026-05-24T15:23:10"/>
    <s v="::ffff:127.0.0.1"/>
    <s v="Apache-HttpClient/4.5.14 (Java/21.0.11)"/>
    <d v="2026-05-24T15:23:10"/>
  </r>
  <r>
    <s v="cmpjxfsfq014sw2rwycahuwaj"/>
    <x v="7"/>
    <s v="GET"/>
    <s v="/api/v1/testes"/>
    <s v="/api/v1/testes/"/>
    <x v="2"/>
    <x v="266"/>
    <d v="2026-05-24T15:23:10"/>
    <d v="2026-05-24T15:23:10"/>
    <s v="::ffff:127.0.0.1"/>
    <s v="Apache-HttpClient/4.5.14 (Java/21.0.11)"/>
    <d v="2026-05-24T15:23:10"/>
  </r>
  <r>
    <s v="cmpjxfsfu014uw2rw2cz0ruld"/>
    <x v="7"/>
    <s v="GET"/>
    <s v="/api/v1/testes"/>
    <s v="/api/v1/testes/"/>
    <x v="2"/>
    <x v="643"/>
    <d v="2026-05-24T15:23:10"/>
    <d v="2026-05-24T15:23:10"/>
    <s v="::ffff:127.0.0.1"/>
    <s v="Apache-HttpClient/4.5.14 (Java/21.0.11)"/>
    <d v="2026-05-24T15:23:10"/>
  </r>
  <r>
    <s v="cmpjxfsfv014vw2rwxxqmikvn"/>
    <x v="7"/>
    <s v="GET"/>
    <s v="/api/v1/testes"/>
    <s v="/api/v1/testes/"/>
    <x v="2"/>
    <x v="644"/>
    <d v="2026-05-24T15:23:10"/>
    <d v="2026-05-24T15:23:10"/>
    <s v="::ffff:127.0.0.1"/>
    <s v="Apache-HttpClient/4.5.14 (Java/21.0.11)"/>
    <d v="2026-05-24T15:23:10"/>
  </r>
  <r>
    <s v="cmpjxfsfx014ww2rwewx2bwql"/>
    <x v="7"/>
    <s v="GET"/>
    <s v="/api/v1/testes"/>
    <s v="/api/v1/testes/"/>
    <x v="2"/>
    <x v="645"/>
    <d v="2026-05-24T15:23:10"/>
    <d v="2026-05-24T15:23:10"/>
    <s v="::ffff:127.0.0.1"/>
    <s v="Apache-HttpClient/4.5.14 (Java/21.0.11)"/>
    <d v="2026-05-24T15:23:10"/>
  </r>
  <r>
    <s v="cmpjxfsfz014xw2rwl92zu0f8"/>
    <x v="7"/>
    <s v="GET"/>
    <s v="/api/v1/testes"/>
    <s v="/api/v1/testes/"/>
    <x v="2"/>
    <x v="646"/>
    <d v="2026-05-24T15:23:10"/>
    <d v="2026-05-24T15:23:10"/>
    <s v="::ffff:127.0.0.1"/>
    <s v="Apache-HttpClient/4.5.14 (Java/21.0.11)"/>
    <d v="2026-05-24T15:23:10"/>
  </r>
  <r>
    <s v="cmpjxfsgg0153w2rwnqdjugum"/>
    <x v="7"/>
    <s v="GET"/>
    <s v="/api/v1/testes"/>
    <s v="/api/v1/testes/"/>
    <x v="2"/>
    <x v="647"/>
    <d v="2026-05-24T15:23:10"/>
    <d v="2026-05-24T15:23:10"/>
    <s v="::ffff:127.0.0.1"/>
    <s v="Apache-HttpClient/4.5.14 (Java/21.0.11)"/>
    <d v="2026-05-24T15:23:10"/>
  </r>
  <r>
    <s v="cmpjxfsht015nw2rwzgess85l"/>
    <x v="7"/>
    <s v="GET"/>
    <s v="/api/v1/testes"/>
    <s v="/api/v1/testes/"/>
    <x v="2"/>
    <x v="648"/>
    <d v="2026-05-24T15:23:10"/>
    <d v="2026-05-24T15:23:10"/>
    <s v="::ffff:127.0.0.1"/>
    <s v="Apache-HttpClient/4.5.14 (Java/21.0.11)"/>
    <d v="2026-05-24T15:23:10"/>
  </r>
  <r>
    <s v="cmpjxfsio015zw2rwavqpurtx"/>
    <x v="7"/>
    <s v="GET"/>
    <s v="/api/v1/testes"/>
    <s v="/api/v1/testes/"/>
    <x v="2"/>
    <x v="559"/>
    <d v="2026-05-24T15:23:10"/>
    <d v="2026-05-24T15:23:10"/>
    <s v="::ffff:127.0.0.1"/>
    <s v="Apache-HttpClient/4.5.14 (Java/21.0.11)"/>
    <d v="2026-05-24T15:23:10"/>
  </r>
  <r>
    <s v="cmpjxfsko016kw2rwrx7qtnhl"/>
    <x v="7"/>
    <s v="GET"/>
    <s v="/api/v1/testes"/>
    <s v="/api/v1/testes/"/>
    <x v="2"/>
    <x v="219"/>
    <d v="2026-05-24T15:23:10"/>
    <d v="2026-05-24T15:23:10"/>
    <s v="::ffff:127.0.0.1"/>
    <s v="Apache-HttpClient/4.5.14 (Java/21.0.11)"/>
    <d v="2026-05-24T15:23:10"/>
  </r>
  <r>
    <s v="cmpjxfslq0170w2rwn6gfryj6"/>
    <x v="7"/>
    <s v="GET"/>
    <s v="/api/v1/testes"/>
    <s v="/api/v1/testes/"/>
    <x v="2"/>
    <x v="269"/>
    <d v="2026-05-24T15:23:10"/>
    <d v="2026-05-24T15:23:10"/>
    <s v="::ffff:127.0.0.1"/>
    <s v="Apache-HttpClient/4.5.14 (Java/21.0.11)"/>
    <d v="2026-05-24T15:23:10"/>
  </r>
  <r>
    <s v="cmpjxfsmp017bw2rwy4d77mq2"/>
    <x v="7"/>
    <s v="GET"/>
    <s v="/api/v1/testes"/>
    <s v="/api/v1/testes/"/>
    <x v="2"/>
    <x v="429"/>
    <d v="2026-05-24T15:23:10"/>
    <d v="2026-05-24T15:23:10"/>
    <s v="::ffff:127.0.0.1"/>
    <s v="Apache-HttpClient/4.5.14 (Java/21.0.11)"/>
    <d v="2026-05-24T15:23:10"/>
  </r>
  <r>
    <s v="cmpjxfsmq017cw2rwzuudn2cw"/>
    <x v="7"/>
    <s v="GET"/>
    <s v="/api/v1/testes"/>
    <s v="/api/v1/testes/"/>
    <x v="2"/>
    <x v="649"/>
    <d v="2026-05-24T15:23:10"/>
    <d v="2026-05-24T15:23:10"/>
    <s v="::ffff:127.0.0.1"/>
    <s v="Apache-HttpClient/4.5.14 (Java/21.0.11)"/>
    <d v="2026-05-24T15:23:10"/>
  </r>
  <r>
    <s v="cmpjxfsmy017fw2rw693jhhyo"/>
    <x v="7"/>
    <s v="GET"/>
    <s v="/api/v1/testes"/>
    <s v="/api/v1/testes/"/>
    <x v="2"/>
    <x v="650"/>
    <d v="2026-05-24T15:23:10"/>
    <d v="2026-05-24T15:23:10"/>
    <s v="::ffff:127.0.0.1"/>
    <s v="Apache-HttpClient/4.5.14 (Java/21.0.11)"/>
    <d v="2026-05-24T15:23:10"/>
  </r>
  <r>
    <s v="cmpjxfsmz017gw2rwhvsexvgf"/>
    <x v="7"/>
    <s v="GET"/>
    <s v="/api/v1/testes"/>
    <s v="/api/v1/testes/"/>
    <x v="2"/>
    <x v="651"/>
    <d v="2026-05-24T15:23:10"/>
    <d v="2026-05-24T15:23:10"/>
    <s v="::ffff:127.0.0.1"/>
    <s v="Apache-HttpClient/4.5.14 (Java/21.0.11)"/>
    <d v="2026-05-24T15:23:10"/>
  </r>
  <r>
    <s v="cmpjxfsno017ow2rwerdd980s"/>
    <x v="7"/>
    <s v="GET"/>
    <s v="/api/v1/testes"/>
    <s v="/api/v1/testes/"/>
    <x v="2"/>
    <x v="522"/>
    <d v="2026-05-24T15:23:10"/>
    <d v="2026-05-24T15:23:10"/>
    <s v="::ffff:127.0.0.1"/>
    <s v="Apache-HttpClient/4.5.14 (Java/21.0.11)"/>
    <d v="2026-05-24T15:23:10"/>
  </r>
  <r>
    <s v="cmpjxfsp1018aw2rwbgq1txba"/>
    <x v="7"/>
    <s v="GET"/>
    <s v="/api/v1/testes"/>
    <s v="/api/v1/testes/"/>
    <x v="2"/>
    <x v="258"/>
    <d v="2026-05-24T15:23:10"/>
    <d v="2026-05-24T15:23:10"/>
    <s v="::ffff:127.0.0.1"/>
    <s v="Apache-HttpClient/4.5.14 (Java/21.0.11)"/>
    <d v="2026-05-24T15:23:10"/>
  </r>
  <r>
    <s v="cmpjxfspu018kw2rw7rk62ud9"/>
    <x v="7"/>
    <s v="GET"/>
    <s v="/api/v1/testes"/>
    <s v="/api/v1/testes/"/>
    <x v="2"/>
    <x v="584"/>
    <d v="2026-05-24T15:23:10"/>
    <d v="2026-05-24T15:23:10"/>
    <s v="::ffff:127.0.0.1"/>
    <s v="Apache-HttpClient/4.5.14 (Java/21.0.11)"/>
    <d v="2026-05-24T15:23:10"/>
  </r>
  <r>
    <s v="cmpjxfsri0193w2rwjg99k4zv"/>
    <x v="7"/>
    <s v="GET"/>
    <s v="/api/v1/testes"/>
    <s v="/api/v1/testes/"/>
    <x v="2"/>
    <x v="380"/>
    <d v="2026-05-24T15:23:10"/>
    <d v="2026-05-24T15:23:10"/>
    <s v="::ffff:127.0.0.1"/>
    <s v="Apache-HttpClient/4.5.14 (Java/21.0.11)"/>
    <d v="2026-05-24T15:23:10"/>
  </r>
  <r>
    <s v="cmpjxfsse019gw2rwhx8s9ly9"/>
    <x v="7"/>
    <s v="GET"/>
    <s v="/api/v1/testes"/>
    <s v="/api/v1/testes/"/>
    <x v="2"/>
    <x v="652"/>
    <d v="2026-05-24T15:23:10"/>
    <d v="2026-05-24T15:23:10"/>
    <s v="::ffff:127.0.0.1"/>
    <s v="Apache-HttpClient/4.5.14 (Java/21.0.11)"/>
    <d v="2026-05-24T15:23:10"/>
  </r>
  <r>
    <s v="cmpjxfssu019lw2rw8utnt3ff"/>
    <x v="7"/>
    <s v="GET"/>
    <s v="/api/v1/testes"/>
    <s v="/api/v1/testes/"/>
    <x v="2"/>
    <x v="265"/>
    <d v="2026-05-24T15:23:10"/>
    <d v="2026-05-24T15:23:10"/>
    <s v="::ffff:127.0.0.1"/>
    <s v="Apache-HttpClient/4.5.14 (Java/21.0.11)"/>
    <d v="2026-05-24T15:23:10"/>
  </r>
  <r>
    <s v="cmpjxfst5019pw2rw8gssu9qh"/>
    <x v="7"/>
    <s v="GET"/>
    <s v="/api/v1/testes"/>
    <s v="/api/v1/testes/"/>
    <x v="2"/>
    <x v="653"/>
    <d v="2026-05-24T15:23:10"/>
    <d v="2026-05-24T15:23:10"/>
    <s v="::ffff:127.0.0.1"/>
    <s v="Apache-HttpClient/4.5.14 (Java/21.0.11)"/>
    <d v="2026-05-24T15:23:10"/>
  </r>
  <r>
    <s v="cmpjxfsta019sw2rwhmbawve9"/>
    <x v="7"/>
    <s v="GET"/>
    <s v="/api/v1/testes"/>
    <s v="/api/v1/testes/"/>
    <x v="2"/>
    <x v="352"/>
    <d v="2026-05-24T15:23:10"/>
    <d v="2026-05-24T15:23:10"/>
    <s v="::ffff:127.0.0.1"/>
    <s v="Apache-HttpClient/4.5.14 (Java/21.0.11)"/>
    <d v="2026-05-24T15:23:10"/>
  </r>
  <r>
    <s v="cmpjxfsu301a3w2rwp8hu0d3j"/>
    <x v="7"/>
    <s v="GET"/>
    <s v="/api/v1/testes"/>
    <s v="/api/v1/testes/"/>
    <x v="2"/>
    <x v="352"/>
    <d v="2026-05-24T15:23:10"/>
    <d v="2026-05-24T15:23:10"/>
    <s v="::ffff:127.0.0.1"/>
    <s v="Apache-HttpClient/4.5.14 (Java/21.0.11)"/>
    <d v="2026-05-24T15:23:10"/>
  </r>
  <r>
    <s v="cmpjxfsv201ahw2rwmd2b5msl"/>
    <x v="7"/>
    <s v="GET"/>
    <s v="/api/v1/testes"/>
    <s v="/api/v1/testes/"/>
    <x v="2"/>
    <x v="438"/>
    <d v="2026-05-24T15:23:10"/>
    <d v="2026-05-24T15:23:10"/>
    <s v="::ffff:127.0.0.1"/>
    <s v="Apache-HttpClient/4.5.14 (Java/21.0.11)"/>
    <d v="2026-05-24T15:23:10"/>
  </r>
  <r>
    <s v="cmpjxfsw701auw2rwb9orj9ju"/>
    <x v="7"/>
    <s v="GET"/>
    <s v="/api/v1/testes"/>
    <s v="/api/v1/testes/"/>
    <x v="2"/>
    <x v="654"/>
    <d v="2026-05-24T15:23:10"/>
    <d v="2026-05-24T15:23:10"/>
    <s v="::ffff:127.0.0.1"/>
    <s v="Apache-HttpClient/4.5.14 (Java/21.0.11)"/>
    <d v="2026-05-24T15:23:10"/>
  </r>
  <r>
    <s v="cmpjxfsxr01bdw2rwkccbd0z2"/>
    <x v="7"/>
    <s v="GET"/>
    <s v="/api/v1/testes"/>
    <s v="/api/v1/testes/"/>
    <x v="2"/>
    <x v="282"/>
    <d v="2026-05-24T15:23:11"/>
    <d v="2026-05-24T15:23:11"/>
    <s v="::ffff:127.0.0.1"/>
    <s v="Apache-HttpClient/4.5.14 (Java/21.0.11)"/>
    <d v="2026-05-24T15:23:11"/>
  </r>
  <r>
    <s v="cmpjxfsye01bmw2rwz58svjgp"/>
    <x v="7"/>
    <s v="GET"/>
    <s v="/api/v1/testes"/>
    <s v="/api/v1/testes/"/>
    <x v="2"/>
    <x v="655"/>
    <d v="2026-05-24T15:23:11"/>
    <d v="2026-05-24T15:23:11"/>
    <s v="::ffff:127.0.0.1"/>
    <s v="Apache-HttpClient/4.5.14 (Java/21.0.11)"/>
    <d v="2026-05-24T15:23:11"/>
  </r>
  <r>
    <s v="cmpjxfsyr01bsw2rwnexn774e"/>
    <x v="7"/>
    <s v="GET"/>
    <s v="/api/v1/testes"/>
    <s v="/api/v1/testes/"/>
    <x v="2"/>
    <x v="656"/>
    <d v="2026-05-24T15:23:11"/>
    <d v="2026-05-24T15:23:11"/>
    <s v="::ffff:127.0.0.1"/>
    <s v="Apache-HttpClient/4.5.14 (Java/21.0.11)"/>
    <d v="2026-05-24T15:23:11"/>
  </r>
  <r>
    <s v="cmpjxfsyy01bvw2rwxzrmgjhp"/>
    <x v="7"/>
    <s v="GET"/>
    <s v="/api/v1/testes"/>
    <s v="/api/v1/testes/"/>
    <x v="2"/>
    <x v="286"/>
    <d v="2026-05-24T15:23:11"/>
    <d v="2026-05-24T15:23:11"/>
    <s v="::ffff:127.0.0.1"/>
    <s v="Apache-HttpClient/4.5.14 (Java/21.0.11)"/>
    <d v="2026-05-24T15:23:11"/>
  </r>
  <r>
    <s v="cmpjxfsz601byw2rw5qslmop8"/>
    <x v="7"/>
    <s v="GET"/>
    <s v="/api/v1/testes"/>
    <s v="/api/v1/testes/"/>
    <x v="2"/>
    <x v="657"/>
    <d v="2026-05-24T15:23:11"/>
    <d v="2026-05-24T15:23:11"/>
    <s v="::ffff:127.0.0.1"/>
    <s v="Apache-HttpClient/4.5.14 (Java/21.0.11)"/>
    <d v="2026-05-24T15:23:11"/>
  </r>
  <r>
    <s v="cmpjxfszy01c7w2rwes5bxkcp"/>
    <x v="7"/>
    <s v="GET"/>
    <s v="/api/v1/testes"/>
    <s v="/api/v1/testes/"/>
    <x v="2"/>
    <x v="658"/>
    <d v="2026-05-24T15:23:11"/>
    <d v="2026-05-24T15:23:11"/>
    <s v="::ffff:127.0.0.1"/>
    <s v="Apache-HttpClient/4.5.14 (Java/21.0.11)"/>
    <d v="2026-05-24T15:23:11"/>
  </r>
  <r>
    <s v="cmpjxft2101cvw2rw1bw86ilb"/>
    <x v="7"/>
    <s v="GET"/>
    <s v="/api/v1/testes"/>
    <s v="/api/v1/testes/"/>
    <x v="2"/>
    <x v="659"/>
    <d v="2026-05-24T15:23:11"/>
    <d v="2026-05-24T15:23:11"/>
    <s v="::ffff:127.0.0.1"/>
    <s v="Apache-HttpClient/4.5.14 (Java/21.0.11)"/>
    <d v="2026-05-24T15:23:11"/>
  </r>
  <r>
    <s v="cmpjxft3a01dew2rwtgn6c7j1"/>
    <x v="7"/>
    <s v="GET"/>
    <s v="/api/v1/testes"/>
    <s v="/api/v1/testes/"/>
    <x v="2"/>
    <x v="660"/>
    <d v="2026-05-24T15:23:11"/>
    <d v="2026-05-24T15:23:11"/>
    <s v="::ffff:127.0.0.1"/>
    <s v="Apache-HttpClient/4.5.14 (Java/21.0.11)"/>
    <d v="2026-05-24T15:23:11"/>
  </r>
  <r>
    <s v="cmpjxft3l01dhw2rwv9nn02cg"/>
    <x v="7"/>
    <s v="GET"/>
    <s v="/api/v1/testes"/>
    <s v="/api/v1/testes/"/>
    <x v="2"/>
    <x v="661"/>
    <d v="2026-05-24T15:23:11"/>
    <d v="2026-05-24T15:23:11"/>
    <s v="::ffff:127.0.0.1"/>
    <s v="Apache-HttpClient/4.5.14 (Java/21.0.11)"/>
    <d v="2026-05-24T15:23:11"/>
  </r>
  <r>
    <s v="cmpjxft3r01dkw2rwpw57kwcy"/>
    <x v="7"/>
    <s v="GET"/>
    <s v="/api/v1/testes"/>
    <s v="/api/v1/testes/"/>
    <x v="2"/>
    <x v="662"/>
    <d v="2026-05-24T15:23:11"/>
    <d v="2026-05-24T15:23:11"/>
    <s v="::ffff:127.0.0.1"/>
    <s v="Apache-HttpClient/4.5.14 (Java/21.0.11)"/>
    <d v="2026-05-24T15:23:11"/>
  </r>
  <r>
    <s v="cmpjxft3y01dmw2rwjdrihgnu"/>
    <x v="7"/>
    <s v="GET"/>
    <s v="/api/v1/testes"/>
    <s v="/api/v1/testes/"/>
    <x v="2"/>
    <x v="663"/>
    <d v="2026-05-24T15:23:11"/>
    <d v="2026-05-24T15:23:11"/>
    <s v="::ffff:127.0.0.1"/>
    <s v="Apache-HttpClient/4.5.14 (Java/21.0.11)"/>
    <d v="2026-05-24T15:23:11"/>
  </r>
  <r>
    <s v="cmpjxft4z01dzw2rwrt5neazs"/>
    <x v="7"/>
    <s v="GET"/>
    <s v="/api/v1/testes"/>
    <s v="/api/v1/testes/"/>
    <x v="2"/>
    <x v="664"/>
    <d v="2026-05-24T15:23:11"/>
    <d v="2026-05-24T15:23:11"/>
    <s v="::ffff:127.0.0.1"/>
    <s v="Apache-HttpClient/4.5.14 (Java/21.0.11)"/>
    <d v="2026-05-24T15:23:11"/>
  </r>
  <r>
    <s v="cmpjxft6q01ekw2rwd25xvs7r"/>
    <x v="7"/>
    <s v="GET"/>
    <s v="/api/v1/testes"/>
    <s v="/api/v1/testes/"/>
    <x v="2"/>
    <x v="530"/>
    <d v="2026-05-24T15:23:11"/>
    <d v="2026-05-24T15:23:11"/>
    <s v="::ffff:127.0.0.1"/>
    <s v="Apache-HttpClient/4.5.14 (Java/21.0.11)"/>
    <d v="2026-05-24T15:23:11"/>
  </r>
  <r>
    <s v="cmpjxft7q01eyw2rw7ttb8u37"/>
    <x v="7"/>
    <s v="GET"/>
    <s v="/api/v1/testes"/>
    <s v="/api/v1/testes/"/>
    <x v="2"/>
    <x v="665"/>
    <d v="2026-05-24T15:23:11"/>
    <d v="2026-05-24T15:23:11"/>
    <s v="::ffff:127.0.0.1"/>
    <s v="Apache-HttpClient/4.5.14 (Java/21.0.11)"/>
    <d v="2026-05-24T15:23:11"/>
  </r>
  <r>
    <s v="cmpjxft7y01f1w2rwx5xcah17"/>
    <x v="7"/>
    <s v="GET"/>
    <s v="/api/v1/testes"/>
    <s v="/api/v1/testes/"/>
    <x v="2"/>
    <x v="466"/>
    <d v="2026-05-24T15:23:11"/>
    <d v="2026-05-24T15:23:11"/>
    <s v="::ffff:127.0.0.1"/>
    <s v="Apache-HttpClient/4.5.14 (Java/21.0.11)"/>
    <d v="2026-05-24T15:23:11"/>
  </r>
  <r>
    <s v="cmpjxft8701f4w2rwv9zxiekt"/>
    <x v="7"/>
    <s v="GET"/>
    <s v="/api/v1/testes"/>
    <s v="/api/v1/testes/"/>
    <x v="2"/>
    <x v="378"/>
    <d v="2026-05-24T15:23:11"/>
    <d v="2026-05-24T15:23:11"/>
    <s v="::ffff:127.0.0.1"/>
    <s v="Apache-HttpClient/4.5.14 (Java/21.0.11)"/>
    <d v="2026-05-24T15:23:11"/>
  </r>
  <r>
    <s v="cmpjxft9401fgw2rw6wu3rzb9"/>
    <x v="7"/>
    <s v="GET"/>
    <s v="/api/v1/testes"/>
    <s v="/api/v1/testes/"/>
    <x v="2"/>
    <x v="666"/>
    <d v="2026-05-24T15:23:11"/>
    <d v="2026-05-24T15:23:11"/>
    <s v="::ffff:127.0.0.1"/>
    <s v="Apache-HttpClient/4.5.14 (Java/21.0.11)"/>
    <d v="2026-05-24T15:23:11"/>
  </r>
  <r>
    <s v="cmpjxfta501ftw2rw9ax7wydi"/>
    <x v="7"/>
    <s v="GET"/>
    <s v="/api/v1/testes"/>
    <s v="/api/v1/testes/"/>
    <x v="2"/>
    <x v="667"/>
    <d v="2026-05-24T15:23:11"/>
    <d v="2026-05-24T15:23:11"/>
    <s v="::ffff:127.0.0.1"/>
    <s v="Apache-HttpClient/4.5.14 (Java/21.0.11)"/>
    <d v="2026-05-24T15:23:11"/>
  </r>
  <r>
    <s v="cmpjxftau01g2w2rwtobw4vzi"/>
    <x v="7"/>
    <s v="GET"/>
    <s v="/api/v1/testes"/>
    <s v="/api/v1/testes/"/>
    <x v="2"/>
    <x v="668"/>
    <d v="2026-05-24T15:23:11"/>
    <d v="2026-05-24T15:23:11"/>
    <s v="::ffff:127.0.0.1"/>
    <s v="Apache-HttpClient/4.5.14 (Java/21.0.11)"/>
    <d v="2026-05-24T15:23:11"/>
  </r>
  <r>
    <s v="cmpjxftbs01gfw2rw8mdbszwm"/>
    <x v="7"/>
    <s v="GET"/>
    <s v="/api/v1/testes"/>
    <s v="/api/v1/testes/"/>
    <x v="2"/>
    <x v="669"/>
    <d v="2026-05-24T15:23:11"/>
    <d v="2026-05-24T15:23:11"/>
    <s v="::ffff:127.0.0.1"/>
    <s v="Apache-HttpClient/4.5.14 (Java/21.0.11)"/>
    <d v="2026-05-24T15:23:11"/>
  </r>
  <r>
    <s v="cmpjxftcc01gnw2rwf18csjro"/>
    <x v="7"/>
    <s v="GET"/>
    <s v="/api/v1/testes"/>
    <s v="/api/v1/testes/"/>
    <x v="2"/>
    <x v="541"/>
    <d v="2026-05-24T15:23:11"/>
    <d v="2026-05-24T15:23:11"/>
    <s v="::ffff:127.0.0.1"/>
    <s v="Apache-HttpClient/4.5.14 (Java/21.0.11)"/>
    <d v="2026-05-24T15:23:11"/>
  </r>
  <r>
    <s v="cmpjxfr3400p9w2rw29p70i7v"/>
    <x v="8"/>
    <s v="PATCH"/>
    <s v="/api/v1/pecas/21"/>
    <s v="/api/v1/pecas/:id"/>
    <x v="2"/>
    <x v="509"/>
    <d v="2026-05-24T15:23:08"/>
    <d v="2026-05-24T15:23:08"/>
    <s v="::ffff:127.0.0.1"/>
    <s v="Apache-HttpClient/4.5.14 (Java/21.0.11)"/>
    <d v="2026-05-24T15:23:08"/>
  </r>
  <r>
    <s v="cmpjxfr5n00pqw2rw7yzr49mi"/>
    <x v="8"/>
    <s v="PATCH"/>
    <s v="/api/v1/pecas/21"/>
    <s v="/api/v1/pecas/:id"/>
    <x v="2"/>
    <x v="670"/>
    <d v="2026-05-24T15:23:08"/>
    <d v="2026-05-24T15:23:08"/>
    <s v="::ffff:127.0.0.1"/>
    <s v="Apache-HttpClient/4.5.14 (Java/21.0.11)"/>
    <d v="2026-05-24T15:23:08"/>
  </r>
  <r>
    <s v="cmpjxfr5t00psw2rw8sslkecg"/>
    <x v="8"/>
    <s v="PATCH"/>
    <s v="/api/v1/pecas/22"/>
    <s v="/api/v1/pecas/:id"/>
    <x v="2"/>
    <x v="244"/>
    <d v="2026-05-24T15:23:08"/>
    <d v="2026-05-24T15:23:08"/>
    <s v="::ffff:127.0.0.1"/>
    <s v="Apache-HttpClient/4.5.14 (Java/21.0.11)"/>
    <d v="2026-05-24T15:23:08"/>
  </r>
  <r>
    <s v="cmpjxfr8200qew2rwnaphrbu4"/>
    <x v="8"/>
    <s v="PATCH"/>
    <s v="/api/v1/pecas/ID_NAO_ENCONTRADO"/>
    <s v="/api/v1/pecas/:id"/>
    <x v="1"/>
    <x v="671"/>
    <d v="2026-05-24T15:23:08"/>
    <d v="2026-05-24T15:23:08"/>
    <s v="::ffff:127.0.0.1"/>
    <s v="Apache-HttpClient/4.5.14 (Java/21.0.11)"/>
    <d v="2026-05-24T15:23:08"/>
  </r>
  <r>
    <s v="cmpjxfr8800qhw2rwctskibah"/>
    <x v="8"/>
    <s v="PATCH"/>
    <s v="/api/v1/pecas/21"/>
    <s v="/api/v1/pecas/:id"/>
    <x v="2"/>
    <x v="672"/>
    <d v="2026-05-24T15:23:08"/>
    <d v="2026-05-24T15:23:08"/>
    <s v="::ffff:127.0.0.1"/>
    <s v="Apache-HttpClient/4.5.14 (Java/21.0.11)"/>
    <d v="2026-05-24T15:23:08"/>
  </r>
  <r>
    <s v="cmpjxfr9f00qrw2rw7ehpsasa"/>
    <x v="8"/>
    <s v="PATCH"/>
    <s v="/api/v1/pecas/22"/>
    <s v="/api/v1/pecas/:id"/>
    <x v="2"/>
    <x v="673"/>
    <d v="2026-05-24T15:23:08"/>
    <d v="2026-05-24T15:23:08"/>
    <s v="::ffff:127.0.0.1"/>
    <s v="Apache-HttpClient/4.5.14 (Java/21.0.11)"/>
    <d v="2026-05-24T15:23:08"/>
  </r>
  <r>
    <s v="cmpjxfrb400rbw2rw9up87cgt"/>
    <x v="8"/>
    <s v="PATCH"/>
    <s v="/api/v1/pecas/21"/>
    <s v="/api/v1/pecas/:id"/>
    <x v="2"/>
    <x v="674"/>
    <d v="2026-05-24T15:23:08"/>
    <d v="2026-05-24T15:23:08"/>
    <s v="::ffff:127.0.0.1"/>
    <s v="Apache-HttpClient/4.5.14 (Java/21.0.11)"/>
    <d v="2026-05-24T15:23:08"/>
  </r>
  <r>
    <s v="cmpjxfrbh00rhw2rwt0qwu59l"/>
    <x v="8"/>
    <s v="PATCH"/>
    <s v="/api/v1/pecas/22"/>
    <s v="/api/v1/pecas/:id"/>
    <x v="2"/>
    <x v="225"/>
    <d v="2026-05-24T15:23:08"/>
    <d v="2026-05-24T15:23:08"/>
    <s v="::ffff:127.0.0.1"/>
    <s v="Apache-HttpClient/4.5.14 (Java/21.0.11)"/>
    <d v="2026-05-24T15:23:08"/>
  </r>
  <r>
    <s v="cmpjxfrcd00rqw2rwplbul0wv"/>
    <x v="8"/>
    <s v="PATCH"/>
    <s v="/api/v1/pecas/ID_NAO_ENCONTRADO"/>
    <s v="/api/v1/pecas/:id"/>
    <x v="1"/>
    <x v="675"/>
    <d v="2026-05-24T15:23:08"/>
    <d v="2026-05-24T15:23:08"/>
    <s v="::ffff:127.0.0.1"/>
    <s v="Apache-HttpClient/4.5.14 (Java/21.0.11)"/>
    <d v="2026-05-24T15:23:08"/>
  </r>
  <r>
    <s v="cmpjxfrcl00rsw2rwwzheraav"/>
    <x v="8"/>
    <s v="PATCH"/>
    <s v="/api/v1/pecas/23"/>
    <s v="/api/v1/pecas/:id"/>
    <x v="2"/>
    <x v="676"/>
    <d v="2026-05-24T15:23:08"/>
    <d v="2026-05-24T15:23:08"/>
    <s v="::ffff:127.0.0.1"/>
    <s v="Apache-HttpClient/4.5.14 (Java/21.0.11)"/>
    <d v="2026-05-24T15:23:08"/>
  </r>
  <r>
    <s v="cmpjxfrfb00snw2rw6cukmx3f"/>
    <x v="8"/>
    <s v="PATCH"/>
    <s v="/api/v1/pecas/21"/>
    <s v="/api/v1/pecas/:id"/>
    <x v="2"/>
    <x v="677"/>
    <d v="2026-05-24T15:23:09"/>
    <d v="2026-05-24T15:23:09"/>
    <s v="::ffff:127.0.0.1"/>
    <s v="Apache-HttpClient/4.5.14 (Java/21.0.11)"/>
    <d v="2026-05-24T15:23:09"/>
  </r>
  <r>
    <s v="cmpjxfrfv00stw2rw4k7ygrxx"/>
    <x v="8"/>
    <s v="PATCH"/>
    <s v="/api/v1/pecas/22"/>
    <s v="/api/v1/pecas/:id"/>
    <x v="2"/>
    <x v="678"/>
    <d v="2026-05-24T15:23:09"/>
    <d v="2026-05-24T15:23:09"/>
    <s v="::ffff:127.0.0.1"/>
    <s v="Apache-HttpClient/4.5.14 (Java/21.0.11)"/>
    <d v="2026-05-24T15:23:09"/>
  </r>
  <r>
    <s v="cmpjxfrgh00t0w2rw11ml5rk8"/>
    <x v="8"/>
    <s v="PATCH"/>
    <s v="/api/v1/pecas/23"/>
    <s v="/api/v1/pecas/:id"/>
    <x v="2"/>
    <x v="416"/>
    <d v="2026-05-24T15:23:09"/>
    <d v="2026-05-24T15:23:09"/>
    <s v="::ffff:127.0.0.1"/>
    <s v="Apache-HttpClient/4.5.14 (Java/21.0.11)"/>
    <d v="2026-05-24T15:23:09"/>
  </r>
  <r>
    <s v="cmpjxfrgx00t4w2rwce5mnzci"/>
    <x v="8"/>
    <s v="PATCH"/>
    <s v="/api/v1/pecas/ID_NAO_ENCONTRADO"/>
    <s v="/api/v1/pecas/:id"/>
    <x v="1"/>
    <x v="679"/>
    <d v="2026-05-24T15:23:09"/>
    <d v="2026-05-24T15:23:09"/>
    <s v="::ffff:127.0.0.1"/>
    <s v="Apache-HttpClient/4.5.14 (Java/21.0.11)"/>
    <d v="2026-05-24T15:23:09"/>
  </r>
  <r>
    <s v="cmpjxfrh200t6w2rw0ytmw5af"/>
    <x v="8"/>
    <s v="PATCH"/>
    <s v="/api/v1/pecas/24"/>
    <s v="/api/v1/pecas/:id"/>
    <x v="2"/>
    <x v="680"/>
    <d v="2026-05-24T15:23:09"/>
    <d v="2026-05-24T15:23:09"/>
    <s v="::ffff:127.0.0.1"/>
    <s v="Apache-HttpClient/4.5.14 (Java/21.0.11)"/>
    <d v="2026-05-24T15:23:09"/>
  </r>
  <r>
    <s v="cmpjxfrkh00u7w2rwybtjisa5"/>
    <x v="8"/>
    <s v="PATCH"/>
    <s v="/api/v1/pecas/21"/>
    <s v="/api/v1/pecas/:id"/>
    <x v="2"/>
    <x v="681"/>
    <d v="2026-05-24T15:23:09"/>
    <d v="2026-05-24T15:23:09"/>
    <s v="::ffff:127.0.0.1"/>
    <s v="Apache-HttpClient/4.5.14 (Java/21.0.11)"/>
    <d v="2026-05-24T15:23:09"/>
  </r>
  <r>
    <s v="cmpjxfrl400uhw2rwqiuv1rmy"/>
    <x v="8"/>
    <s v="PATCH"/>
    <s v="/api/v1/pecas/22"/>
    <s v="/api/v1/pecas/:id"/>
    <x v="2"/>
    <x v="682"/>
    <d v="2026-05-24T15:23:09"/>
    <d v="2026-05-24T15:23:09"/>
    <s v="::ffff:127.0.0.1"/>
    <s v="Apache-HttpClient/4.5.14 (Java/21.0.11)"/>
    <d v="2026-05-24T15:23:09"/>
  </r>
  <r>
    <s v="cmpjxfrlr00uow2rw6gei8ljn"/>
    <x v="8"/>
    <s v="PATCH"/>
    <s v="/api/v1/pecas/23"/>
    <s v="/api/v1/pecas/:id"/>
    <x v="2"/>
    <x v="683"/>
    <d v="2026-05-24T15:23:09"/>
    <d v="2026-05-24T15:23:09"/>
    <s v="::ffff:127.0.0.1"/>
    <s v="Apache-HttpClient/4.5.14 (Java/21.0.11)"/>
    <d v="2026-05-24T15:23:09"/>
  </r>
  <r>
    <s v="cmpjxfrmf00uww2rwf9ext0np"/>
    <x v="8"/>
    <s v="PATCH"/>
    <s v="/api/v1/pecas/ID_NAO_ENCONTRADO"/>
    <s v="/api/v1/pecas/:id"/>
    <x v="1"/>
    <x v="684"/>
    <d v="2026-05-24T15:23:09"/>
    <d v="2026-05-24T15:23:09"/>
    <s v="::ffff:127.0.0.1"/>
    <s v="Apache-HttpClient/4.5.14 (Java/21.0.11)"/>
    <d v="2026-05-24T15:23:09"/>
  </r>
  <r>
    <s v="cmpjxfrmk00uyw2rw5tcex7bt"/>
    <x v="8"/>
    <s v="PATCH"/>
    <s v="/api/v1/pecas/24"/>
    <s v="/api/v1/pecas/:id"/>
    <x v="2"/>
    <x v="685"/>
    <d v="2026-05-24T15:23:09"/>
    <d v="2026-05-24T15:23:09"/>
    <s v="::ffff:127.0.0.1"/>
    <s v="Apache-HttpClient/4.5.14 (Java/21.0.11)"/>
    <d v="2026-05-24T15:23:09"/>
  </r>
  <r>
    <s v="cmpjxfrmu00v1w2rwmclm5xij"/>
    <x v="8"/>
    <s v="PATCH"/>
    <s v="/api/v1/pecas/ID_NAO_ENCONTRADO"/>
    <s v="/api/v1/pecas/:id"/>
    <x v="1"/>
    <x v="686"/>
    <d v="2026-05-24T15:23:09"/>
    <d v="2026-05-24T15:23:09"/>
    <s v="::ffff:127.0.0.1"/>
    <s v="Apache-HttpClient/4.5.14 (Java/21.0.11)"/>
    <d v="2026-05-24T15:23:09"/>
  </r>
  <r>
    <s v="cmpjxfrn800v6w2rwzz2zhwmd"/>
    <x v="8"/>
    <s v="PATCH"/>
    <s v="/api/v1/pecas/25"/>
    <s v="/api/v1/pecas/:id"/>
    <x v="2"/>
    <x v="687"/>
    <d v="2026-05-24T15:23:09"/>
    <d v="2026-05-24T15:23:09"/>
    <s v="::ffff:127.0.0.1"/>
    <s v="Apache-HttpClient/4.5.14 (Java/21.0.11)"/>
    <d v="2026-05-24T15:23:09"/>
  </r>
  <r>
    <s v="cmpjxfrr500waw2rwvnkay1eg"/>
    <x v="8"/>
    <s v="PATCH"/>
    <s v="/api/v1/pecas/21"/>
    <s v="/api/v1/pecas/:id"/>
    <x v="2"/>
    <x v="688"/>
    <d v="2026-05-24T15:23:09"/>
    <d v="2026-05-24T15:23:09"/>
    <s v="::ffff:127.0.0.1"/>
    <s v="Apache-HttpClient/4.5.14 (Java/21.0.11)"/>
    <d v="2026-05-24T15:23:09"/>
  </r>
  <r>
    <s v="cmpjxfrs200wmw2rwf0vpwepj"/>
    <x v="8"/>
    <s v="PATCH"/>
    <s v="/api/v1/pecas/22"/>
    <s v="/api/v1/pecas/:id"/>
    <x v="2"/>
    <x v="689"/>
    <d v="2026-05-24T15:23:09"/>
    <d v="2026-05-24T15:23:09"/>
    <s v="::ffff:127.0.0.1"/>
    <s v="Apache-HttpClient/4.5.14 (Java/21.0.11)"/>
    <d v="2026-05-24T15:23:09"/>
  </r>
  <r>
    <s v="cmpjxfrt000wzw2rwdayvp8v1"/>
    <x v="8"/>
    <s v="PATCH"/>
    <s v="/api/v1/pecas/23"/>
    <s v="/api/v1/pecas/:id"/>
    <x v="2"/>
    <x v="690"/>
    <d v="2026-05-24T15:23:09"/>
    <d v="2026-05-24T15:23:09"/>
    <s v="::ffff:127.0.0.1"/>
    <s v="Apache-HttpClient/4.5.14 (Java/21.0.11)"/>
    <d v="2026-05-24T15:23:09"/>
  </r>
  <r>
    <s v="cmpjxfrtl00x6w2rwwkqc8svj"/>
    <x v="8"/>
    <s v="PATCH"/>
    <s v="/api/v1/pecas/24"/>
    <s v="/api/v1/pecas/:id"/>
    <x v="2"/>
    <x v="691"/>
    <d v="2026-05-24T15:23:09"/>
    <d v="2026-05-24T15:23:09"/>
    <s v="::ffff:127.0.0.1"/>
    <s v="Apache-HttpClient/4.5.14 (Java/21.0.11)"/>
    <d v="2026-05-24T15:23:09"/>
  </r>
  <r>
    <s v="cmpjxfrud00xfw2rwvvvxrfo0"/>
    <x v="8"/>
    <s v="PATCH"/>
    <s v="/api/v1/pecas/ID_NAO_ENCONTRADO"/>
    <s v="/api/v1/pecas/:id"/>
    <x v="1"/>
    <x v="692"/>
    <d v="2026-05-24T15:23:09"/>
    <d v="2026-05-24T15:23:09"/>
    <s v="::ffff:127.0.0.1"/>
    <s v="Apache-HttpClient/4.5.14 (Java/21.0.11)"/>
    <d v="2026-05-24T15:23:09"/>
  </r>
  <r>
    <s v="cmpjxfrue00xgw2rwmtvooi85"/>
    <x v="8"/>
    <s v="PATCH"/>
    <s v="/api/v1/pecas/ID_NAO_ENCONTRADO"/>
    <s v="/api/v1/pecas/:id"/>
    <x v="1"/>
    <x v="693"/>
    <d v="2026-05-24T15:23:09"/>
    <d v="2026-05-24T15:23:09"/>
    <s v="::ffff:127.0.0.1"/>
    <s v="Apache-HttpClient/4.5.14 (Java/21.0.11)"/>
    <d v="2026-05-24T15:23:09"/>
  </r>
  <r>
    <s v="cmpjxfrug00xhw2rwwj804g2v"/>
    <x v="8"/>
    <s v="PATCH"/>
    <s v="/api/v1/pecas/ID_NAO_ENCONTRADO"/>
    <s v="/api/v1/pecas/:id"/>
    <x v="1"/>
    <x v="694"/>
    <d v="2026-05-24T15:23:09"/>
    <d v="2026-05-24T15:23:09"/>
    <s v="::ffff:127.0.0.1"/>
    <s v="Apache-HttpClient/4.5.14 (Java/21.0.11)"/>
    <d v="2026-05-24T15:23:09"/>
  </r>
  <r>
    <s v="cmpjxfrui00xiw2rwx509n3uc"/>
    <x v="8"/>
    <s v="PATCH"/>
    <s v="/api/v1/pecas/25"/>
    <s v="/api/v1/pecas/:id"/>
    <x v="2"/>
    <x v="695"/>
    <d v="2026-05-24T15:23:09"/>
    <d v="2026-05-24T15:23:09"/>
    <s v="::ffff:127.0.0.1"/>
    <s v="Apache-HttpClient/4.5.14 (Java/21.0.11)"/>
    <d v="2026-05-24T15:23:09"/>
  </r>
  <r>
    <s v="cmpjxfrvx00y0w2rwv176e4p1"/>
    <x v="8"/>
    <s v="PATCH"/>
    <s v="/api/v1/pecas/26"/>
    <s v="/api/v1/pecas/:id"/>
    <x v="2"/>
    <x v="696"/>
    <d v="2026-05-24T15:23:09"/>
    <d v="2026-05-24T15:23:09"/>
    <s v="::ffff:127.0.0.1"/>
    <s v="Apache-HttpClient/4.5.14 (Java/21.0.11)"/>
    <d v="2026-05-24T15:23:09"/>
  </r>
  <r>
    <s v="cmpjxfrxr00yew2rwhtqkv2gc"/>
    <x v="8"/>
    <s v="PATCH"/>
    <s v="/api/v1/pecas/27"/>
    <s v="/api/v1/pecas/:id"/>
    <x v="2"/>
    <x v="697"/>
    <d v="2026-05-24T15:23:09"/>
    <d v="2026-05-24T15:23:09"/>
    <s v="::ffff:127.0.0.1"/>
    <s v="Apache-HttpClient/4.5.14 (Java/21.0.11)"/>
    <d v="2026-05-24T15:23:09"/>
  </r>
  <r>
    <s v="cmpjxfrzj00z4w2rwm3q79jnk"/>
    <x v="8"/>
    <s v="PATCH"/>
    <s v="/api/v1/pecas/28"/>
    <s v="/api/v1/pecas/:id"/>
    <x v="2"/>
    <x v="576"/>
    <d v="2026-05-24T15:23:09"/>
    <d v="2026-05-24T15:23:09"/>
    <s v="::ffff:127.0.0.1"/>
    <s v="Apache-HttpClient/4.5.14 (Java/21.0.11)"/>
    <d v="2026-05-24T15:23:09"/>
  </r>
  <r>
    <s v="cmpjxfs0a00zew2rwjtkt9rdl"/>
    <x v="8"/>
    <s v="PATCH"/>
    <s v="/api/v1/pecas/29"/>
    <s v="/api/v1/pecas/:id"/>
    <x v="2"/>
    <x v="698"/>
    <d v="2026-05-24T15:23:09"/>
    <d v="2026-05-24T15:23:09"/>
    <s v="::ffff:127.0.0.1"/>
    <s v="Apache-HttpClient/4.5.14 (Java/21.0.11)"/>
    <d v="2026-05-24T15:23:09"/>
  </r>
  <r>
    <s v="cmpjxfs1e00zsw2rw9j35ozdv"/>
    <x v="8"/>
    <s v="PATCH"/>
    <s v="/api/v1/pecas/30"/>
    <s v="/api/v1/pecas/:id"/>
    <x v="2"/>
    <x v="699"/>
    <d v="2026-05-24T15:23:09"/>
    <d v="2026-05-24T15:23:09"/>
    <s v="::ffff:127.0.0.1"/>
    <s v="Apache-HttpClient/4.5.14 (Java/21.0.11)"/>
    <d v="2026-05-24T15:23:09"/>
  </r>
  <r>
    <s v="cmpjxfs1v00zzw2rwslykbvy6"/>
    <x v="8"/>
    <s v="PATCH"/>
    <s v="/api/v1/pecas/31"/>
    <s v="/api/v1/pecas/:id"/>
    <x v="2"/>
    <x v="700"/>
    <d v="2026-05-24T15:23:09"/>
    <d v="2026-05-24T15:23:09"/>
    <s v="::ffff:127.0.0.1"/>
    <s v="Apache-HttpClient/4.5.14 (Java/21.0.11)"/>
    <d v="2026-05-24T15:23:09"/>
  </r>
  <r>
    <s v="cmpjxfs280104w2rwgtmsse6m"/>
    <x v="8"/>
    <s v="PATCH"/>
    <s v="/api/v1/pecas/ID_NAO_ENCONTRADO"/>
    <s v="/api/v1/pecas/:id"/>
    <x v="1"/>
    <x v="701"/>
    <d v="2026-05-24T15:23:09"/>
    <d v="2026-05-24T15:23:09"/>
    <s v="::ffff:127.0.0.1"/>
    <s v="Apache-HttpClient/4.5.14 (Java/21.0.11)"/>
    <d v="2026-05-24T15:23:09"/>
  </r>
  <r>
    <s v="cmpjxfs2a0105w2rwit4xdglq"/>
    <x v="8"/>
    <s v="PATCH"/>
    <s v="/api/v1/pecas/ID_NAO_ENCONTRADO"/>
    <s v="/api/v1/pecas/:id"/>
    <x v="1"/>
    <x v="702"/>
    <d v="2026-05-24T15:23:09"/>
    <d v="2026-05-24T15:23:09"/>
    <s v="::ffff:127.0.0.1"/>
    <s v="Apache-HttpClient/4.5.14 (Java/21.0.11)"/>
    <d v="2026-05-24T15:23:09"/>
  </r>
  <r>
    <s v="cmpjxfs2c0106w2rwbxo0446t"/>
    <x v="8"/>
    <s v="PATCH"/>
    <s v="/api/v1/pecas/ID_NAO_ENCONTRADO"/>
    <s v="/api/v1/pecas/:id"/>
    <x v="1"/>
    <x v="703"/>
    <d v="2026-05-24T15:23:09"/>
    <d v="2026-05-24T15:23:09"/>
    <s v="::ffff:127.0.0.1"/>
    <s v="Apache-HttpClient/4.5.14 (Java/21.0.11)"/>
    <d v="2026-05-24T15:23:09"/>
  </r>
  <r>
    <s v="cmpjxfs2o0109w2rw4s26xtv1"/>
    <x v="8"/>
    <s v="PATCH"/>
    <s v="/api/v1/pecas/32"/>
    <s v="/api/v1/pecas/:id"/>
    <x v="2"/>
    <x v="704"/>
    <d v="2026-05-24T15:23:09"/>
    <d v="2026-05-24T15:23:09"/>
    <s v="::ffff:127.0.0.1"/>
    <s v="Apache-HttpClient/4.5.14 (Java/21.0.11)"/>
    <d v="2026-05-24T15:23:09"/>
  </r>
  <r>
    <s v="cmpjxfs4m010xw2rwb27fe3vw"/>
    <x v="8"/>
    <s v="PATCH"/>
    <s v="/api/v1/pecas/33"/>
    <s v="/api/v1/pecas/:id"/>
    <x v="2"/>
    <x v="705"/>
    <d v="2026-05-24T15:23:09"/>
    <d v="2026-05-24T15:23:09"/>
    <s v="::ffff:127.0.0.1"/>
    <s v="Apache-HttpClient/4.5.14 (Java/21.0.11)"/>
    <d v="2026-05-24T15:23:09"/>
  </r>
  <r>
    <s v="cmpjxfs5j0114w2rwxxqrmn4p"/>
    <x v="8"/>
    <s v="PATCH"/>
    <s v="/api/v1/pecas/34"/>
    <s v="/api/v1/pecas/:id"/>
    <x v="2"/>
    <x v="706"/>
    <d v="2026-05-24T15:23:09"/>
    <d v="2026-05-24T15:23:10"/>
    <s v="::ffff:127.0.0.1"/>
    <s v="Apache-HttpClient/4.5.14 (Java/21.0.11)"/>
    <d v="2026-05-24T15:23:10"/>
  </r>
  <r>
    <s v="cmpjxfs7o011xw2rwko328xuy"/>
    <x v="8"/>
    <s v="PATCH"/>
    <s v="/api/v1/pecas/35"/>
    <s v="/api/v1/pecas/:id"/>
    <x v="2"/>
    <x v="707"/>
    <d v="2026-05-24T15:23:10"/>
    <d v="2026-05-24T15:23:10"/>
    <s v="::ffff:127.0.0.1"/>
    <s v="Apache-HttpClient/4.5.14 (Java/21.0.11)"/>
    <d v="2026-05-24T15:23:10"/>
  </r>
  <r>
    <s v="cmpjxfs90012bw2rwtn4vg5gs"/>
    <x v="8"/>
    <s v="PATCH"/>
    <s v="/api/v1/pecas/36"/>
    <s v="/api/v1/pecas/:id"/>
    <x v="2"/>
    <x v="708"/>
    <d v="2026-05-24T15:23:10"/>
    <d v="2026-05-24T15:23:10"/>
    <s v="::ffff:127.0.0.1"/>
    <s v="Apache-HttpClient/4.5.14 (Java/21.0.11)"/>
    <d v="2026-05-24T15:23:10"/>
  </r>
  <r>
    <s v="cmpjxfsa0012nw2rwbudt4zit"/>
    <x v="8"/>
    <s v="PATCH"/>
    <s v="/api/v1/pecas/37"/>
    <s v="/api/v1/pecas/:id"/>
    <x v="2"/>
    <x v="709"/>
    <d v="2026-05-24T15:23:10"/>
    <d v="2026-05-24T15:23:10"/>
    <s v="::ffff:127.0.0.1"/>
    <s v="Apache-HttpClient/4.5.14 (Java/21.0.11)"/>
    <d v="2026-05-24T15:23:10"/>
  </r>
  <r>
    <s v="cmpjxfsa8012rw2rwdyznzueh"/>
    <x v="8"/>
    <s v="PATCH"/>
    <s v="/api/v1/pecas/ID_NAO_ENCONTRADO"/>
    <s v="/api/v1/pecas/:id"/>
    <x v="1"/>
    <x v="710"/>
    <d v="2026-05-24T15:23:10"/>
    <d v="2026-05-24T15:23:10"/>
    <s v="::ffff:127.0.0.1"/>
    <s v="Apache-HttpClient/4.5.14 (Java/21.0.11)"/>
    <d v="2026-05-24T15:23:10"/>
  </r>
  <r>
    <s v="cmpjxfsaa012sw2rw2kpmn252"/>
    <x v="8"/>
    <s v="PATCH"/>
    <s v="/api/v1/pecas/ID_NAO_ENCONTRADO"/>
    <s v="/api/v1/pecas/:id"/>
    <x v="1"/>
    <x v="710"/>
    <d v="2026-05-24T15:23:10"/>
    <d v="2026-05-24T15:23:10"/>
    <s v="::ffff:127.0.0.1"/>
    <s v="Apache-HttpClient/4.5.14 (Java/21.0.11)"/>
    <d v="2026-05-24T15:23:10"/>
  </r>
  <r>
    <s v="cmpjxfsab012tw2rwxl1s1ne5"/>
    <x v="8"/>
    <s v="PATCH"/>
    <s v="/api/v1/pecas/ID_NAO_ENCONTRADO"/>
    <s v="/api/v1/pecas/:id"/>
    <x v="1"/>
    <x v="711"/>
    <d v="2026-05-24T15:23:10"/>
    <d v="2026-05-24T15:23:10"/>
    <s v="::ffff:127.0.0.1"/>
    <s v="Apache-HttpClient/4.5.14 (Java/21.0.11)"/>
    <d v="2026-05-24T15:23:10"/>
  </r>
  <r>
    <s v="cmpjxfsak012vw2rwzcfhs3c5"/>
    <x v="8"/>
    <s v="PATCH"/>
    <s v="/api/v1/pecas/38"/>
    <s v="/api/v1/pecas/:id"/>
    <x v="2"/>
    <x v="712"/>
    <d v="2026-05-24T15:23:10"/>
    <d v="2026-05-24T15:23:10"/>
    <s v="::ffff:127.0.0.1"/>
    <s v="Apache-HttpClient/4.5.14 (Java/21.0.11)"/>
    <d v="2026-05-24T15:23:10"/>
  </r>
  <r>
    <s v="cmpjxfsb30132w2rw4wvoh95w"/>
    <x v="8"/>
    <s v="PATCH"/>
    <s v="/api/v1/pecas/39"/>
    <s v="/api/v1/pecas/:id"/>
    <x v="2"/>
    <x v="713"/>
    <d v="2026-05-24T15:23:10"/>
    <d v="2026-05-24T15:23:10"/>
    <s v="::ffff:127.0.0.1"/>
    <s v="Apache-HttpClient/4.5.14 (Java/21.0.11)"/>
    <d v="2026-05-24T15:23:10"/>
  </r>
  <r>
    <s v="cmpjxfsd3013pw2rw9xm66dra"/>
    <x v="8"/>
    <s v="PATCH"/>
    <s v="/api/v1/pecas/40"/>
    <s v="/api/v1/pecas/:id"/>
    <x v="2"/>
    <x v="714"/>
    <d v="2026-05-24T15:23:10"/>
    <d v="2026-05-24T15:23:10"/>
    <s v="::ffff:127.0.0.1"/>
    <s v="Apache-HttpClient/4.5.14 (Java/21.0.11)"/>
    <d v="2026-05-24T15:23:10"/>
  </r>
  <r>
    <s v="cmpjxfsdm013xw2rw1g0l4l4k"/>
    <x v="8"/>
    <s v="PATCH"/>
    <s v="/api/v1/pecas/41"/>
    <s v="/api/v1/pecas/:id"/>
    <x v="2"/>
    <x v="715"/>
    <d v="2026-05-24T15:23:10"/>
    <d v="2026-05-24T15:23:10"/>
    <s v="::ffff:127.0.0.1"/>
    <s v="Apache-HttpClient/4.5.14 (Java/21.0.11)"/>
    <d v="2026-05-24T15:23:10"/>
  </r>
  <r>
    <s v="cmpjxfsfb014ow2rw0a1jbl78"/>
    <x v="8"/>
    <s v="PATCH"/>
    <s v="/api/v1/pecas/42"/>
    <s v="/api/v1/pecas/:id"/>
    <x v="2"/>
    <x v="716"/>
    <d v="2026-05-24T15:23:10"/>
    <d v="2026-05-24T15:23:10"/>
    <s v="::ffff:127.0.0.1"/>
    <s v="Apache-HttpClient/4.5.14 (Java/21.0.11)"/>
    <d v="2026-05-24T15:23:10"/>
  </r>
  <r>
    <s v="cmpjxfsge0152w2rwdhkgpqd8"/>
    <x v="8"/>
    <s v="PATCH"/>
    <s v="/api/v1/pecas/43"/>
    <s v="/api/v1/pecas/:id"/>
    <x v="2"/>
    <x v="717"/>
    <d v="2026-05-24T15:23:10"/>
    <d v="2026-05-24T15:23:10"/>
    <s v="::ffff:127.0.0.1"/>
    <s v="Apache-HttpClient/4.5.14 (Java/21.0.11)"/>
    <d v="2026-05-24T15:23:10"/>
  </r>
  <r>
    <s v="cmpjxfshe015fw2rw6dlgn4pz"/>
    <x v="8"/>
    <s v="PATCH"/>
    <s v="/api/v1/pecas/ID_NAO_ENCONTRADO"/>
    <s v="/api/v1/pecas/:id"/>
    <x v="1"/>
    <x v="718"/>
    <d v="2026-05-24T15:23:10"/>
    <d v="2026-05-24T15:23:10"/>
    <s v="::ffff:127.0.0.1"/>
    <s v="Apache-HttpClient/4.5.14 (Java/21.0.11)"/>
    <d v="2026-05-24T15:23:10"/>
  </r>
  <r>
    <s v="cmpjxfshh015hw2rwikwppjb8"/>
    <x v="8"/>
    <s v="PATCH"/>
    <s v="/api/v1/pecas/ID_NAO_ENCONTRADO"/>
    <s v="/api/v1/pecas/:id"/>
    <x v="1"/>
    <x v="719"/>
    <d v="2026-05-24T15:23:10"/>
    <d v="2026-05-24T15:23:10"/>
    <s v="::ffff:127.0.0.1"/>
    <s v="Apache-HttpClient/4.5.14 (Java/21.0.11)"/>
    <d v="2026-05-24T15:23:10"/>
  </r>
  <r>
    <s v="cmpjxfshi015iw2rw0hbcc29y"/>
    <x v="8"/>
    <s v="PATCH"/>
    <s v="/api/v1/pecas/ID_NAO_ENCONTRADO"/>
    <s v="/api/v1/pecas/:id"/>
    <x v="1"/>
    <x v="720"/>
    <d v="2026-05-24T15:23:10"/>
    <d v="2026-05-24T15:23:10"/>
    <s v="::ffff:127.0.0.1"/>
    <s v="Apache-HttpClient/4.5.14 (Java/21.0.11)"/>
    <d v="2026-05-24T15:23:10"/>
  </r>
  <r>
    <s v="cmpjxfshj015jw2rwhvpq2bwy"/>
    <x v="8"/>
    <s v="PATCH"/>
    <s v="/api/v1/pecas/ID_NAO_ENCONTRADO"/>
    <s v="/api/v1/pecas/:id"/>
    <x v="1"/>
    <x v="721"/>
    <d v="2026-05-24T15:23:10"/>
    <d v="2026-05-24T15:23:10"/>
    <s v="::ffff:127.0.0.1"/>
    <s v="Apache-HttpClient/4.5.14 (Java/21.0.11)"/>
    <d v="2026-05-24T15:23:10"/>
  </r>
  <r>
    <s v="cmpjxfsho015mw2rwu2jcs1s2"/>
    <x v="8"/>
    <s v="PATCH"/>
    <s v="/api/v1/pecas/44"/>
    <s v="/api/v1/pecas/:id"/>
    <x v="2"/>
    <x v="722"/>
    <d v="2026-05-24T15:23:10"/>
    <d v="2026-05-24T15:23:10"/>
    <s v="::ffff:127.0.0.1"/>
    <s v="Apache-HttpClient/4.5.14 (Java/21.0.11)"/>
    <d v="2026-05-24T15:23:10"/>
  </r>
  <r>
    <s v="cmpjxfsim015yw2rw9cpgntue"/>
    <x v="8"/>
    <s v="PATCH"/>
    <s v="/api/v1/pecas/45"/>
    <s v="/api/v1/pecas/:id"/>
    <x v="2"/>
    <x v="723"/>
    <d v="2026-05-24T15:23:10"/>
    <d v="2026-05-24T15:23:10"/>
    <s v="::ffff:127.0.0.1"/>
    <s v="Apache-HttpClient/4.5.14 (Java/21.0.11)"/>
    <d v="2026-05-24T15:23:10"/>
  </r>
  <r>
    <s v="cmpjxfski016hw2rwpcopa9og"/>
    <x v="8"/>
    <s v="PATCH"/>
    <s v="/api/v1/pecas/46"/>
    <s v="/api/v1/pecas/:id"/>
    <x v="2"/>
    <x v="724"/>
    <d v="2026-05-24T15:23:10"/>
    <d v="2026-05-24T15:23:10"/>
    <s v="::ffff:127.0.0.1"/>
    <s v="Apache-HttpClient/4.5.14 (Java/21.0.11)"/>
    <d v="2026-05-24T15:23:10"/>
  </r>
  <r>
    <s v="cmpjxfsl5016qw2rw0f35spnc"/>
    <x v="8"/>
    <s v="PATCH"/>
    <s v="/api/v1/pecas/47"/>
    <s v="/api/v1/pecas/:id"/>
    <x v="2"/>
    <x v="725"/>
    <d v="2026-05-24T15:23:10"/>
    <d v="2026-05-24T15:23:10"/>
    <s v="::ffff:127.0.0.1"/>
    <s v="Apache-HttpClient/4.5.14 (Java/21.0.11)"/>
    <d v="2026-05-24T15:23:10"/>
  </r>
  <r>
    <s v="cmpjxfsmr017dw2rww3lvk1k7"/>
    <x v="8"/>
    <s v="PATCH"/>
    <s v="/api/v1/pecas/48"/>
    <s v="/api/v1/pecas/:id"/>
    <x v="2"/>
    <x v="726"/>
    <d v="2026-05-24T15:23:10"/>
    <d v="2026-05-24T15:23:10"/>
    <s v="::ffff:127.0.0.1"/>
    <s v="Apache-HttpClient/4.5.14 (Java/21.0.11)"/>
    <d v="2026-05-24T15:23:10"/>
  </r>
  <r>
    <s v="cmpjxfsnv017sw2rwfktwr0bx"/>
    <x v="8"/>
    <s v="PATCH"/>
    <s v="/api/v1/pecas/49"/>
    <s v="/api/v1/pecas/:id"/>
    <x v="2"/>
    <x v="727"/>
    <d v="2026-05-24T15:23:10"/>
    <d v="2026-05-24T15:23:10"/>
    <s v="::ffff:127.0.0.1"/>
    <s v="Apache-HttpClient/4.5.14 (Java/21.0.11)"/>
    <d v="2026-05-24T15:23:10"/>
  </r>
  <r>
    <s v="cmpjxfso8017xw2rwduiscgbt"/>
    <x v="8"/>
    <s v="PATCH"/>
    <s v="/api/v1/pecas/ID_NAO_ENCONTRADO"/>
    <s v="/api/v1/pecas/:id"/>
    <x v="1"/>
    <x v="3"/>
    <d v="2026-05-24T15:23:10"/>
    <d v="2026-05-24T15:23:10"/>
    <s v="::ffff:127.0.0.1"/>
    <s v="Apache-HttpClient/4.5.14 (Java/21.0.11)"/>
    <d v="2026-05-24T15:23:10"/>
  </r>
  <r>
    <s v="cmpjxfso9017yw2rwpdf2oiq8"/>
    <x v="8"/>
    <s v="PATCH"/>
    <s v="/api/v1/pecas/ID_NAO_ENCONTRADO"/>
    <s v="/api/v1/pecas/:id"/>
    <x v="1"/>
    <x v="728"/>
    <d v="2026-05-24T15:23:10"/>
    <d v="2026-05-24T15:23:10"/>
    <s v="::ffff:127.0.0.1"/>
    <s v="Apache-HttpClient/4.5.14 (Java/21.0.11)"/>
    <d v="2026-05-24T15:23:10"/>
  </r>
  <r>
    <s v="cmpjxfsoe0180w2rw40ywzv2h"/>
    <x v="8"/>
    <s v="PATCH"/>
    <s v="/api/v1/pecas/ID_NAO_ENCONTRADO"/>
    <s v="/api/v1/pecas/:id"/>
    <x v="1"/>
    <x v="729"/>
    <d v="2026-05-24T15:23:10"/>
    <d v="2026-05-24T15:23:10"/>
    <s v="::ffff:127.0.0.1"/>
    <s v="Apache-HttpClient/4.5.14 (Java/21.0.11)"/>
    <d v="2026-05-24T15:23:10"/>
  </r>
  <r>
    <s v="cmpjxfsok0182w2rwi138pfvb"/>
    <x v="8"/>
    <s v="PATCH"/>
    <s v="/api/v1/pecas/50"/>
    <s v="/api/v1/pecas/:id"/>
    <x v="2"/>
    <x v="730"/>
    <d v="2026-05-24T15:23:10"/>
    <d v="2026-05-24T15:23:10"/>
    <s v="::ffff:127.0.0.1"/>
    <s v="Apache-HttpClient/4.5.14 (Java/21.0.11)"/>
    <d v="2026-05-24T15:23:10"/>
  </r>
  <r>
    <s v="cmpjxfspn018hw2rw5pv81ivn"/>
    <x v="8"/>
    <s v="PATCH"/>
    <s v="/api/v1/pecas/51"/>
    <s v="/api/v1/pecas/:id"/>
    <x v="2"/>
    <x v="731"/>
    <d v="2026-05-24T15:23:10"/>
    <d v="2026-05-24T15:23:10"/>
    <s v="::ffff:127.0.0.1"/>
    <s v="Apache-HttpClient/4.5.14 (Java/21.0.11)"/>
    <d v="2026-05-24T15:23:10"/>
  </r>
  <r>
    <s v="cmpjxfsqz018uw2rw5s21uyqz"/>
    <x v="8"/>
    <s v="PATCH"/>
    <s v="/api/v1/pecas/52"/>
    <s v="/api/v1/pecas/:id"/>
    <x v="2"/>
    <x v="712"/>
    <d v="2026-05-24T15:23:10"/>
    <d v="2026-05-24T15:23:10"/>
    <s v="::ffff:127.0.0.1"/>
    <s v="Apache-HttpClient/4.5.14 (Java/21.0.11)"/>
    <d v="2026-05-24T15:23:10"/>
  </r>
  <r>
    <s v="cmpjxfss2019aw2rw1geg59tq"/>
    <x v="8"/>
    <s v="PATCH"/>
    <s v="/api/v1/pecas/53"/>
    <s v="/api/v1/pecas/:id"/>
    <x v="2"/>
    <x v="732"/>
    <d v="2026-05-24T15:23:10"/>
    <d v="2026-05-24T15:23:10"/>
    <s v="::ffff:127.0.0.1"/>
    <s v="Apache-HttpClient/4.5.14 (Java/21.0.11)"/>
    <d v="2026-05-24T15:23:10"/>
  </r>
  <r>
    <s v="cmpjxfstd019tw2rwihvppzmw"/>
    <x v="8"/>
    <s v="PATCH"/>
    <s v="/api/v1/pecas/54"/>
    <s v="/api/v1/pecas/:id"/>
    <x v="2"/>
    <x v="733"/>
    <d v="2026-05-24T15:23:10"/>
    <d v="2026-05-24T15:23:10"/>
    <s v="::ffff:127.0.0.1"/>
    <s v="Apache-HttpClient/4.5.14 (Java/21.0.11)"/>
    <d v="2026-05-24T15:23:10"/>
  </r>
  <r>
    <s v="cmpjxfstz01a0w2rwfgetcrgj"/>
    <x v="8"/>
    <s v="PATCH"/>
    <s v="/api/v1/pecas/ID_NAO_ENCONTRADO"/>
    <s v="/api/v1/pecas/:id"/>
    <x v="1"/>
    <x v="734"/>
    <d v="2026-05-24T15:23:10"/>
    <d v="2026-05-24T15:23:10"/>
    <s v="::ffff:127.0.0.1"/>
    <s v="Apache-HttpClient/4.5.14 (Java/21.0.11)"/>
    <d v="2026-05-24T15:23:10"/>
  </r>
  <r>
    <s v="cmpjxfsu801a6w2rwvbtpvhox"/>
    <x v="8"/>
    <s v="PATCH"/>
    <s v="/api/v1/pecas/55"/>
    <s v="/api/v1/pecas/:id"/>
    <x v="2"/>
    <x v="735"/>
    <d v="2026-05-24T15:23:10"/>
    <d v="2026-05-24T15:23:10"/>
    <s v="::ffff:127.0.0.1"/>
    <s v="Apache-HttpClient/4.5.14 (Java/21.0.11)"/>
    <d v="2026-05-24T15:23:10"/>
  </r>
  <r>
    <s v="cmpjxfsuk01abw2rwn3fvo09j"/>
    <x v="8"/>
    <s v="PATCH"/>
    <s v="/api/v1/pecas/ID_NAO_ENCONTRADO"/>
    <s v="/api/v1/pecas/:id"/>
    <x v="1"/>
    <x v="736"/>
    <d v="2026-05-24T15:23:10"/>
    <d v="2026-05-24T15:23:10"/>
    <s v="::ffff:127.0.0.1"/>
    <s v="Apache-HttpClient/4.5.14 (Java/21.0.11)"/>
    <d v="2026-05-24T15:23:10"/>
  </r>
  <r>
    <s v="cmpjxfsuu01aew2rwolxtqf5m"/>
    <x v="8"/>
    <s v="PATCH"/>
    <s v="/api/v1/pecas/56"/>
    <s v="/api/v1/pecas/:id"/>
    <x v="2"/>
    <x v="737"/>
    <d v="2026-05-24T15:23:10"/>
    <d v="2026-05-24T15:23:10"/>
    <s v="::ffff:127.0.0.1"/>
    <s v="Apache-HttpClient/4.5.14 (Java/21.0.11)"/>
    <d v="2026-05-24T15:23:10"/>
  </r>
  <r>
    <s v="cmpjxfsvx01aqw2rwvx3sm204"/>
    <x v="8"/>
    <s v="PATCH"/>
    <s v="/api/v1/pecas/57"/>
    <s v="/api/v1/pecas/:id"/>
    <x v="2"/>
    <x v="738"/>
    <d v="2026-05-24T15:23:10"/>
    <d v="2026-05-24T15:23:10"/>
    <s v="::ffff:127.0.0.1"/>
    <s v="Apache-HttpClient/4.5.14 (Java/21.0.11)"/>
    <d v="2026-05-24T15:23:10"/>
  </r>
  <r>
    <s v="cmpjxfsx801b5w2rw0oh67on5"/>
    <x v="8"/>
    <s v="PATCH"/>
    <s v="/api/v1/pecas/58"/>
    <s v="/api/v1/pecas/:id"/>
    <x v="2"/>
    <x v="739"/>
    <d v="2026-05-24T15:23:10"/>
    <d v="2026-05-24T15:23:11"/>
    <s v="::ffff:127.0.0.1"/>
    <s v="Apache-HttpClient/4.5.14 (Java/21.0.11)"/>
    <d v="2026-05-24T15:23:11"/>
  </r>
  <r>
    <s v="cmpjxfsya01bkw2rwh2sesvpk"/>
    <x v="8"/>
    <s v="PATCH"/>
    <s v="/api/v1/pecas/59"/>
    <s v="/api/v1/pecas/:id"/>
    <x v="2"/>
    <x v="740"/>
    <d v="2026-05-24T15:23:11"/>
    <d v="2026-05-24T15:23:11"/>
    <s v="::ffff:127.0.0.1"/>
    <s v="Apache-HttpClient/4.5.14 (Java/21.0.11)"/>
    <d v="2026-05-24T15:23:11"/>
  </r>
  <r>
    <s v="cmpjxfszc01c0w2rwl5hr7eiu"/>
    <x v="8"/>
    <s v="PATCH"/>
    <s v="/api/v1/pecas/60"/>
    <s v="/api/v1/pecas/:id"/>
    <x v="2"/>
    <x v="741"/>
    <d v="2026-05-24T15:23:11"/>
    <d v="2026-05-24T15:23:11"/>
    <s v="::ffff:127.0.0.1"/>
    <s v="Apache-HttpClient/4.5.14 (Java/21.0.11)"/>
    <d v="2026-05-24T15:23:11"/>
  </r>
  <r>
    <s v="cmpjxfszx01c6w2rwj4aqwhdt"/>
    <x v="8"/>
    <s v="PATCH"/>
    <s v="/api/v1/pecas/61"/>
    <s v="/api/v1/pecas/:id"/>
    <x v="2"/>
    <x v="742"/>
    <d v="2026-05-24T15:23:11"/>
    <d v="2026-05-24T15:23:11"/>
    <s v="::ffff:127.0.0.1"/>
    <s v="Apache-HttpClient/4.5.14 (Java/21.0.11)"/>
    <d v="2026-05-24T15:23:11"/>
  </r>
  <r>
    <s v="cmpjxft0201c8w2rwz1amncbk"/>
    <x v="8"/>
    <s v="PATCH"/>
    <s v="/api/v1/pecas/ID_NAO_ENCONTRADO"/>
    <s v="/api/v1/pecas/:id"/>
    <x v="1"/>
    <x v="743"/>
    <d v="2026-05-24T15:23:11"/>
    <d v="2026-05-24T15:23:11"/>
    <s v="::ffff:127.0.0.1"/>
    <s v="Apache-HttpClient/4.5.14 (Java/21.0.11)"/>
    <d v="2026-05-24T15:23:11"/>
  </r>
  <r>
    <s v="cmpjxft0901ccw2rwjpejbicw"/>
    <x v="8"/>
    <s v="PATCH"/>
    <s v="/api/v1/pecas/62"/>
    <s v="/api/v1/pecas/:id"/>
    <x v="2"/>
    <x v="744"/>
    <d v="2026-05-24T15:23:11"/>
    <d v="2026-05-24T15:23:11"/>
    <s v="::ffff:127.0.0.1"/>
    <s v="Apache-HttpClient/4.5.14 (Java/21.0.11)"/>
    <d v="2026-05-24T15:23:11"/>
  </r>
  <r>
    <s v="cmpjxft0s01ckw2rwyorj230n"/>
    <x v="8"/>
    <s v="PATCH"/>
    <s v="/api/v1/pecas/63"/>
    <s v="/api/v1/pecas/:id"/>
    <x v="2"/>
    <x v="745"/>
    <d v="2026-05-24T15:23:11"/>
    <d v="2026-05-24T15:23:11"/>
    <s v="::ffff:127.0.0.1"/>
    <s v="Apache-HttpClient/4.5.14 (Java/21.0.11)"/>
    <d v="2026-05-24T15:23:11"/>
  </r>
  <r>
    <s v="cmpjxft1r01ctw2rwfvfffhd2"/>
    <x v="8"/>
    <s v="PATCH"/>
    <s v="/api/v1/pecas/64"/>
    <s v="/api/v1/pecas/:id"/>
    <x v="2"/>
    <x v="746"/>
    <d v="2026-05-24T15:23:11"/>
    <d v="2026-05-24T15:23:11"/>
    <s v="::ffff:127.0.0.1"/>
    <s v="Apache-HttpClient/4.5.14 (Java/21.0.11)"/>
    <d v="2026-05-24T15:23:11"/>
  </r>
  <r>
    <s v="cmpjxft3j01dgw2rwcntb41l5"/>
    <x v="8"/>
    <s v="PATCH"/>
    <s v="/api/v1/pecas/65"/>
    <s v="/api/v1/pecas/:id"/>
    <x v="2"/>
    <x v="747"/>
    <d v="2026-05-24T15:23:11"/>
    <d v="2026-05-24T15:23:11"/>
    <s v="::ffff:127.0.0.1"/>
    <s v="Apache-HttpClient/4.5.14 (Java/21.0.11)"/>
    <d v="2026-05-24T15:23:11"/>
  </r>
  <r>
    <s v="cmpjxft4b01dqw2rwb6ahtlp8"/>
    <x v="8"/>
    <s v="PATCH"/>
    <s v="/api/v1/pecas/ID_NAO_ENCONTRADO"/>
    <s v="/api/v1/pecas/:id"/>
    <x v="1"/>
    <x v="748"/>
    <d v="2026-05-24T15:23:11"/>
    <d v="2026-05-24T15:23:11"/>
    <s v="::ffff:127.0.0.1"/>
    <s v="Apache-HttpClient/4.5.14 (Java/21.0.11)"/>
    <d v="2026-05-24T15:23:11"/>
  </r>
  <r>
    <s v="cmpjxft4n01dvw2rwtc6ek4zg"/>
    <x v="8"/>
    <s v="PATCH"/>
    <s v="/api/v1/pecas/66"/>
    <s v="/api/v1/pecas/:id"/>
    <x v="2"/>
    <x v="236"/>
    <d v="2026-05-24T15:23:11"/>
    <d v="2026-05-24T15:23:11"/>
    <s v="::ffff:127.0.0.1"/>
    <s v="Apache-HttpClient/4.5.14 (Java/21.0.11)"/>
    <d v="2026-05-24T15:23:11"/>
  </r>
  <r>
    <s v="cmpjxft5901e2w2rw93mrgohi"/>
    <x v="8"/>
    <s v="PATCH"/>
    <s v="/api/v1/pecas/ID_NAO_ENCONTRADO"/>
    <s v="/api/v1/pecas/:id"/>
    <x v="1"/>
    <x v="749"/>
    <d v="2026-05-24T15:23:11"/>
    <d v="2026-05-24T15:23:11"/>
    <s v="::ffff:127.0.0.1"/>
    <s v="Apache-HttpClient/4.5.14 (Java/21.0.11)"/>
    <d v="2026-05-24T15:23:11"/>
  </r>
  <r>
    <s v="cmpjxft5f01e5w2rwid7rbhwn"/>
    <x v="8"/>
    <s v="PATCH"/>
    <s v="/api/v1/pecas/67"/>
    <s v="/api/v1/pecas/:id"/>
    <x v="2"/>
    <x v="194"/>
    <d v="2026-05-24T15:23:11"/>
    <d v="2026-05-24T15:23:11"/>
    <s v="::ffff:127.0.0.1"/>
    <s v="Apache-HttpClient/4.5.14 (Java/21.0.11)"/>
    <d v="2026-05-24T15:23:11"/>
  </r>
  <r>
    <s v="cmpjxft6b01efw2rwl652kagm"/>
    <x v="8"/>
    <s v="PATCH"/>
    <s v="/api/v1/pecas/68"/>
    <s v="/api/v1/pecas/:id"/>
    <x v="2"/>
    <x v="750"/>
    <d v="2026-05-24T15:23:11"/>
    <d v="2026-05-24T15:23:11"/>
    <s v="::ffff:127.0.0.1"/>
    <s v="Apache-HttpClient/4.5.14 (Java/21.0.11)"/>
    <d v="2026-05-24T15:23:11"/>
  </r>
  <r>
    <s v="cmpjxft7v01ezw2rwfs7jo7bo"/>
    <x v="8"/>
    <s v="PATCH"/>
    <s v="/api/v1/pecas/69"/>
    <s v="/api/v1/pecas/:id"/>
    <x v="2"/>
    <x v="751"/>
    <d v="2026-05-24T15:23:11"/>
    <d v="2026-05-24T15:23:11"/>
    <s v="::ffff:127.0.0.1"/>
    <s v="Apache-HttpClient/4.5.14 (Java/21.0.11)"/>
    <d v="2026-05-24T15:23:11"/>
  </r>
  <r>
    <s v="cmpjxft8n01faw2rw009bwi7p"/>
    <x v="8"/>
    <s v="PATCH"/>
    <s v="/api/v1/pecas/ID_NAO_ENCONTRADO"/>
    <s v="/api/v1/pecas/:id"/>
    <x v="1"/>
    <x v="752"/>
    <d v="2026-05-24T15:23:11"/>
    <d v="2026-05-24T15:23:11"/>
    <s v="::ffff:127.0.0.1"/>
    <s v="Apache-HttpClient/4.5.14 (Java/21.0.11)"/>
    <d v="2026-05-24T15:23:11"/>
  </r>
  <r>
    <s v="cmpjxft8w01fdw2rw1h4x8mz2"/>
    <x v="8"/>
    <s v="PATCH"/>
    <s v="/api/v1/pecas/70"/>
    <s v="/api/v1/pecas/:id"/>
    <x v="2"/>
    <x v="753"/>
    <d v="2026-05-24T15:23:11"/>
    <d v="2026-05-24T15:23:11"/>
    <s v="::ffff:127.0.0.1"/>
    <s v="Apache-HttpClient/4.5.14 (Java/21.0.11)"/>
    <d v="2026-05-24T15:23:11"/>
  </r>
  <r>
    <s v="cmpjxft9c01fkw2rwrknajkxs"/>
    <x v="8"/>
    <s v="PATCH"/>
    <s v="/api/v1/pecas/71"/>
    <s v="/api/v1/pecas/:id"/>
    <x v="2"/>
    <x v="754"/>
    <d v="2026-05-24T15:23:11"/>
    <d v="2026-05-24T15:23:11"/>
    <s v="::ffff:127.0.0.1"/>
    <s v="Apache-HttpClient/4.5.14 (Java/21.0.11)"/>
    <d v="2026-05-24T15:23:11"/>
  </r>
  <r>
    <s v="cmpjxfta701fuw2rwlw0s8k77"/>
    <x v="8"/>
    <s v="PATCH"/>
    <s v="/api/v1/pecas/72"/>
    <s v="/api/v1/pecas/:id"/>
    <x v="2"/>
    <x v="755"/>
    <d v="2026-05-24T15:23:11"/>
    <d v="2026-05-24T15:23:11"/>
    <s v="::ffff:127.0.0.1"/>
    <s v="Apache-HttpClient/4.5.14 (Java/21.0.11)"/>
    <d v="2026-05-24T15:23:11"/>
  </r>
  <r>
    <s v="cmpjxftax01g4w2rwjkwul5km"/>
    <x v="8"/>
    <s v="PATCH"/>
    <s v="/api/v1/pecas/73"/>
    <s v="/api/v1/pecas/:id"/>
    <x v="2"/>
    <x v="756"/>
    <d v="2026-05-24T15:23:11"/>
    <d v="2026-05-24T15:23:11"/>
    <s v="::ffff:127.0.0.1"/>
    <s v="Apache-HttpClient/4.5.14 (Java/21.0.11)"/>
    <d v="2026-05-24T15:23:11"/>
  </r>
  <r>
    <s v="cmpjxftbh01gbw2rw796frkpf"/>
    <x v="8"/>
    <s v="PATCH"/>
    <s v="/api/v1/pecas/74"/>
    <s v="/api/v1/pecas/:id"/>
    <x v="2"/>
    <x v="757"/>
    <d v="2026-05-24T15:23:11"/>
    <d v="2026-05-24T15:23:11"/>
    <s v="::ffff:127.0.0.1"/>
    <s v="Apache-HttpClient/4.5.14 (Java/21.0.11)"/>
    <d v="2026-05-24T15:23:11"/>
  </r>
  <r>
    <s v="cmpjxftca01gmw2rwybpkq4ka"/>
    <x v="8"/>
    <s v="PATCH"/>
    <s v="/api/v1/pecas/21"/>
    <s v="/api/v1/pecas/:id"/>
    <x v="2"/>
    <x v="6"/>
    <d v="2026-05-24T15:23:11"/>
    <d v="2026-05-24T15:23:11"/>
    <s v="::ffff:127.0.0.1"/>
    <s v="Apache-HttpClient/4.5.14 (Java/21.0.11)"/>
    <d v="2026-05-24T15:23:11"/>
  </r>
  <r>
    <s v="cmpjxftcw01grw2rwofdd84nj"/>
    <x v="8"/>
    <s v="PATCH"/>
    <s v="/api/v1/pecas/22"/>
    <s v="/api/v1/pecas/:id"/>
    <x v="2"/>
    <x v="508"/>
    <d v="2026-05-24T15:23:11"/>
    <d v="2026-05-24T15:23:11"/>
    <s v="::ffff:127.0.0.1"/>
    <s v="Apache-HttpClient/4.5.14 (Java/21.0.11)"/>
    <d v="2026-05-24T15:23:11"/>
  </r>
  <r>
    <s v="cmpjxfr2w00p8w2rw16oblazy"/>
    <x v="9"/>
    <s v="POST"/>
    <s v="/api/v1/pecas"/>
    <s v="/api/v1/pecas/"/>
    <x v="3"/>
    <x v="659"/>
    <d v="2026-05-24T15:23:08"/>
    <d v="2026-05-24T15:23:08"/>
    <s v="::ffff:127.0.0.1"/>
    <s v="Apache-HttpClient/4.5.14 (Java/21.0.11)"/>
    <d v="2026-05-24T15:23:08"/>
  </r>
  <r>
    <s v="cmpjxfr5f00pow2rwse2an3nn"/>
    <x v="9"/>
    <s v="POST"/>
    <s v="/api/v1/pecas"/>
    <s v="/api/v1/pecas/"/>
    <x v="3"/>
    <x v="758"/>
    <d v="2026-05-24T15:23:08"/>
    <d v="2026-05-24T15:23:08"/>
    <s v="::ffff:127.0.0.1"/>
    <s v="Apache-HttpClient/4.5.14 (Java/21.0.11)"/>
    <d v="2026-05-24T15:23:08"/>
  </r>
  <r>
    <s v="cmpjxfr5k00ppw2rwcz7f5529"/>
    <x v="9"/>
    <s v="POST"/>
    <s v="/api/v1/pecas"/>
    <s v="/api/v1/pecas/"/>
    <x v="3"/>
    <x v="759"/>
    <d v="2026-05-24T15:23:08"/>
    <d v="2026-05-24T15:23:08"/>
    <s v="::ffff:127.0.0.1"/>
    <s v="Apache-HttpClient/4.5.14 (Java/21.0.11)"/>
    <d v="2026-05-24T15:23:08"/>
  </r>
  <r>
    <s v="cmpjxfr7s00qaw2rwrxr46tt7"/>
    <x v="9"/>
    <s v="POST"/>
    <s v="/api/v1/pecas"/>
    <s v="/api/v1/pecas/"/>
    <x v="3"/>
    <x v="246"/>
    <d v="2026-05-24T15:23:08"/>
    <d v="2026-05-24T15:23:08"/>
    <s v="::ffff:127.0.0.1"/>
    <s v="Apache-HttpClient/4.5.14 (Java/21.0.11)"/>
    <d v="2026-05-24T15:23:08"/>
  </r>
  <r>
    <s v="cmpjxfr7x00qcw2rwy53n2i35"/>
    <x v="9"/>
    <s v="POST"/>
    <s v="/api/v1/pecas"/>
    <s v="/api/v1/pecas/"/>
    <x v="4"/>
    <x v="316"/>
    <d v="2026-05-24T15:23:08"/>
    <d v="2026-05-24T15:23:08"/>
    <s v="::ffff:127.0.0.1"/>
    <s v="Apache-HttpClient/4.5.14 (Java/21.0.11)"/>
    <d v="2026-05-24T15:23:08"/>
  </r>
  <r>
    <s v="cmpjxfr8t00qnw2rwfpcnm9uh"/>
    <x v="9"/>
    <s v="POST"/>
    <s v="/api/v1/pecas"/>
    <s v="/api/v1/pecas/"/>
    <x v="3"/>
    <x v="760"/>
    <d v="2026-05-24T15:23:08"/>
    <d v="2026-05-24T15:23:08"/>
    <s v="::ffff:127.0.0.1"/>
    <s v="Apache-HttpClient/4.5.14 (Java/21.0.11)"/>
    <d v="2026-05-24T15:23:08"/>
  </r>
  <r>
    <s v="cmpjxfrap00r5w2rwwnvlj200"/>
    <x v="9"/>
    <s v="POST"/>
    <s v="/api/v1/pecas"/>
    <s v="/api/v1/pecas/"/>
    <x v="3"/>
    <x v="761"/>
    <d v="2026-05-24T15:23:08"/>
    <d v="2026-05-24T15:23:08"/>
    <s v="::ffff:127.0.0.1"/>
    <s v="Apache-HttpClient/4.5.14 (Java/21.0.11)"/>
    <d v="2026-05-24T15:23:08"/>
  </r>
  <r>
    <s v="cmpjxfrb200raw2rwjlyuvqon"/>
    <x v="9"/>
    <s v="POST"/>
    <s v="/api/v1/pecas"/>
    <s v="/api/v1/pecas/"/>
    <x v="3"/>
    <x v="218"/>
    <d v="2026-05-24T15:23:08"/>
    <d v="2026-05-24T15:23:08"/>
    <s v="::ffff:127.0.0.1"/>
    <s v="Apache-HttpClient/4.5.14 (Java/21.0.11)"/>
    <d v="2026-05-24T15:23:08"/>
  </r>
  <r>
    <s v="cmpjxfrbv00rlw2rw2ac7jtiq"/>
    <x v="9"/>
    <s v="POST"/>
    <s v="/api/v1/pecas"/>
    <s v="/api/v1/pecas/"/>
    <x v="3"/>
    <x v="762"/>
    <d v="2026-05-24T15:23:08"/>
    <d v="2026-05-24T15:23:08"/>
    <s v="::ffff:127.0.0.1"/>
    <s v="Apache-HttpClient/4.5.14 (Java/21.0.11)"/>
    <d v="2026-05-24T15:23:08"/>
  </r>
  <r>
    <s v="cmpjxfrc400row2rwgzke4xhf"/>
    <x v="9"/>
    <s v="POST"/>
    <s v="/api/v1/pecas"/>
    <s v="/api/v1/pecas/"/>
    <x v="4"/>
    <x v="763"/>
    <d v="2026-05-24T15:23:08"/>
    <d v="2026-05-24T15:23:08"/>
    <s v="::ffff:127.0.0.1"/>
    <s v="Apache-HttpClient/4.5.14 (Java/21.0.11)"/>
    <d v="2026-05-24T15:23:08"/>
  </r>
  <r>
    <s v="cmpjxfreu00shw2rwkku148h2"/>
    <x v="9"/>
    <s v="POST"/>
    <s v="/api/v1/pecas"/>
    <s v="/api/v1/pecas/"/>
    <x v="3"/>
    <x v="764"/>
    <d v="2026-05-24T15:23:09"/>
    <d v="2026-05-24T15:23:09"/>
    <s v="::ffff:127.0.0.1"/>
    <s v="Apache-HttpClient/4.5.14 (Java/21.0.11)"/>
    <d v="2026-05-24T15:23:09"/>
  </r>
  <r>
    <s v="cmpjxfrf900smw2rw9k7bpi5q"/>
    <x v="9"/>
    <s v="POST"/>
    <s v="/api/v1/pecas"/>
    <s v="/api/v1/pecas/"/>
    <x v="3"/>
    <x v="765"/>
    <d v="2026-05-24T15:23:09"/>
    <d v="2026-05-24T15:23:09"/>
    <s v="::ffff:127.0.0.1"/>
    <s v="Apache-HttpClient/4.5.14 (Java/21.0.11)"/>
    <d v="2026-05-24T15:23:09"/>
  </r>
  <r>
    <s v="cmpjxfrfq00ssw2rw7hsmttbl"/>
    <x v="9"/>
    <s v="POST"/>
    <s v="/api/v1/pecas"/>
    <s v="/api/v1/pecas/"/>
    <x v="3"/>
    <x v="766"/>
    <d v="2026-05-24T15:23:09"/>
    <d v="2026-05-24T15:23:09"/>
    <s v="::ffff:127.0.0.1"/>
    <s v="Apache-HttpClient/4.5.14 (Java/21.0.11)"/>
    <d v="2026-05-24T15:23:09"/>
  </r>
  <r>
    <s v="cmpjxfrg800sxw2rw5nuuitn1"/>
    <x v="9"/>
    <s v="POST"/>
    <s v="/api/v1/pecas"/>
    <s v="/api/v1/pecas/"/>
    <x v="3"/>
    <x v="767"/>
    <d v="2026-05-24T15:23:09"/>
    <d v="2026-05-24T15:23:09"/>
    <s v="::ffff:127.0.0.1"/>
    <s v="Apache-HttpClient/4.5.14 (Java/21.0.11)"/>
    <d v="2026-05-24T15:23:09"/>
  </r>
  <r>
    <s v="cmpjxfrgf00szw2rwz6ru908l"/>
    <x v="9"/>
    <s v="POST"/>
    <s v="/api/v1/pecas"/>
    <s v="/api/v1/pecas/"/>
    <x v="4"/>
    <x v="768"/>
    <d v="2026-05-24T15:23:09"/>
    <d v="2026-05-24T15:23:09"/>
    <s v="::ffff:127.0.0.1"/>
    <s v="Apache-HttpClient/4.5.14 (Java/21.0.11)"/>
    <d v="2026-05-24T15:23:09"/>
  </r>
  <r>
    <s v="cmpjxfrjw00tyw2rw8pz5ap04"/>
    <x v="9"/>
    <s v="POST"/>
    <s v="/api/v1/pecas"/>
    <s v="/api/v1/pecas/"/>
    <x v="3"/>
    <x v="769"/>
    <d v="2026-05-24T15:23:09"/>
    <d v="2026-05-24T15:23:09"/>
    <s v="::ffff:127.0.0.1"/>
    <s v="Apache-HttpClient/4.5.14 (Java/21.0.11)"/>
    <d v="2026-05-24T15:23:09"/>
  </r>
  <r>
    <s v="cmpjxfrkg00u6w2rw5bsb1vpc"/>
    <x v="9"/>
    <s v="POST"/>
    <s v="/api/v1/pecas"/>
    <s v="/api/v1/pecas/"/>
    <x v="3"/>
    <x v="770"/>
    <d v="2026-05-24T15:23:09"/>
    <d v="2026-05-24T15:23:09"/>
    <s v="::ffff:127.0.0.1"/>
    <s v="Apache-HttpClient/4.5.14 (Java/21.0.11)"/>
    <d v="2026-05-24T15:23:09"/>
  </r>
  <r>
    <s v="cmpjxfrkz00ufw2rwxf90wcxn"/>
    <x v="9"/>
    <s v="POST"/>
    <s v="/api/v1/pecas"/>
    <s v="/api/v1/pecas/"/>
    <x v="3"/>
    <x v="771"/>
    <d v="2026-05-24T15:23:09"/>
    <d v="2026-05-24T15:23:09"/>
    <s v="::ffff:127.0.0.1"/>
    <s v="Apache-HttpClient/4.5.14 (Java/21.0.11)"/>
    <d v="2026-05-24T15:23:09"/>
  </r>
  <r>
    <s v="cmpjxfrlq00unw2rwgx2xfu21"/>
    <x v="9"/>
    <s v="POST"/>
    <s v="/api/v1/pecas"/>
    <s v="/api/v1/pecas/"/>
    <x v="3"/>
    <x v="772"/>
    <d v="2026-05-24T15:23:09"/>
    <d v="2026-05-24T15:23:09"/>
    <s v="::ffff:127.0.0.1"/>
    <s v="Apache-HttpClient/4.5.14 (Java/21.0.11)"/>
    <d v="2026-05-24T15:23:09"/>
  </r>
  <r>
    <s v="cmpjxfrly00upw2rwcoheesoc"/>
    <x v="9"/>
    <s v="POST"/>
    <s v="/api/v1/pecas"/>
    <s v="/api/v1/pecas/"/>
    <x v="4"/>
    <x v="773"/>
    <d v="2026-05-24T15:23:09"/>
    <d v="2026-05-24T15:23:09"/>
    <s v="::ffff:127.0.0.1"/>
    <s v="Apache-HttpClient/4.5.14 (Java/21.0.11)"/>
    <d v="2026-05-24T15:23:09"/>
  </r>
  <r>
    <s v="cmpjxfrmb00uuw2rwgpogrx4k"/>
    <x v="9"/>
    <s v="POST"/>
    <s v="/api/v1/pecas"/>
    <s v="/api/v1/pecas/"/>
    <x v="3"/>
    <x v="774"/>
    <d v="2026-05-24T15:23:09"/>
    <d v="2026-05-24T15:23:09"/>
    <s v="::ffff:127.0.0.1"/>
    <s v="Apache-HttpClient/4.5.14 (Java/21.0.11)"/>
    <d v="2026-05-24T15:23:09"/>
  </r>
  <r>
    <s v="cmpjxfrmd00uvw2rwg67yareu"/>
    <x v="9"/>
    <s v="POST"/>
    <s v="/api/v1/pecas"/>
    <s v="/api/v1/pecas/"/>
    <x v="4"/>
    <x v="775"/>
    <d v="2026-05-24T15:23:09"/>
    <d v="2026-05-24T15:23:09"/>
    <s v="::ffff:127.0.0.1"/>
    <s v="Apache-HttpClient/4.5.14 (Java/21.0.11)"/>
    <d v="2026-05-24T15:23:09"/>
  </r>
  <r>
    <s v="cmpjxfrq300vxw2rw8jwy696i"/>
    <x v="9"/>
    <s v="POST"/>
    <s v="/api/v1/pecas"/>
    <s v="/api/v1/pecas/"/>
    <x v="3"/>
    <x v="776"/>
    <d v="2026-05-24T15:23:09"/>
    <d v="2026-05-24T15:23:09"/>
    <s v="::ffff:127.0.0.1"/>
    <s v="Apache-HttpClient/4.5.14 (Java/21.0.11)"/>
    <d v="2026-05-24T15:23:09"/>
  </r>
  <r>
    <s v="cmpjxfrqx00w8w2rwv5da3it1"/>
    <x v="9"/>
    <s v="POST"/>
    <s v="/api/v1/pecas"/>
    <s v="/api/v1/pecas/"/>
    <x v="3"/>
    <x v="777"/>
    <d v="2026-05-24T15:23:09"/>
    <d v="2026-05-24T15:23:09"/>
    <s v="::ffff:127.0.0.1"/>
    <s v="Apache-HttpClient/4.5.14 (Java/21.0.11)"/>
    <d v="2026-05-24T15:23:09"/>
  </r>
  <r>
    <s v="cmpjxfrs300wnw2rwmjqaalhh"/>
    <x v="9"/>
    <s v="POST"/>
    <s v="/api/v1/pecas"/>
    <s v="/api/v1/pecas/"/>
    <x v="3"/>
    <x v="778"/>
    <d v="2026-05-24T15:23:09"/>
    <d v="2026-05-24T15:23:09"/>
    <s v="::ffff:127.0.0.1"/>
    <s v="Apache-HttpClient/4.5.14 (Java/21.0.11)"/>
    <d v="2026-05-24T15:23:09"/>
  </r>
  <r>
    <s v="cmpjxfrso00www2rwa4p1ojye"/>
    <x v="9"/>
    <s v="POST"/>
    <s v="/api/v1/pecas"/>
    <s v="/api/v1/pecas/"/>
    <x v="3"/>
    <x v="779"/>
    <d v="2026-05-24T15:23:09"/>
    <d v="2026-05-24T15:23:09"/>
    <s v="::ffff:127.0.0.1"/>
    <s v="Apache-HttpClient/4.5.14 (Java/21.0.11)"/>
    <d v="2026-05-24T15:23:09"/>
  </r>
  <r>
    <s v="cmpjxfrth00x4w2rwu0mck5zv"/>
    <x v="9"/>
    <s v="POST"/>
    <s v="/api/v1/pecas"/>
    <s v="/api/v1/pecas/"/>
    <x v="3"/>
    <x v="780"/>
    <d v="2026-05-24T15:23:09"/>
    <d v="2026-05-24T15:23:09"/>
    <s v="::ffff:127.0.0.1"/>
    <s v="Apache-HttpClient/4.5.14 (Java/21.0.11)"/>
    <d v="2026-05-24T15:23:09"/>
  </r>
  <r>
    <s v="cmpjxfrtn00x7w2rwrwvw7qft"/>
    <x v="9"/>
    <s v="POST"/>
    <s v="/api/v1/pecas"/>
    <s v="/api/v1/pecas/"/>
    <x v="4"/>
    <x v="781"/>
    <d v="2026-05-24T15:23:09"/>
    <d v="2026-05-24T15:23:09"/>
    <s v="::ffff:127.0.0.1"/>
    <s v="Apache-HttpClient/4.5.14 (Java/21.0.11)"/>
    <d v="2026-05-24T15:23:09"/>
  </r>
  <r>
    <s v="cmpjxfrtp00x8w2rwhx1e7ebj"/>
    <x v="9"/>
    <s v="POST"/>
    <s v="/api/v1/pecas"/>
    <s v="/api/v1/pecas/"/>
    <x v="4"/>
    <x v="782"/>
    <d v="2026-05-24T15:23:09"/>
    <d v="2026-05-24T15:23:09"/>
    <s v="::ffff:127.0.0.1"/>
    <s v="Apache-HttpClient/4.5.14 (Java/21.0.11)"/>
    <d v="2026-05-24T15:23:09"/>
  </r>
  <r>
    <s v="cmpjxfrts00x9w2rwolaz1j7u"/>
    <x v="9"/>
    <s v="POST"/>
    <s v="/api/v1/pecas"/>
    <s v="/api/v1/pecas/"/>
    <x v="4"/>
    <x v="783"/>
    <d v="2026-05-24T15:23:09"/>
    <d v="2026-05-24T15:23:09"/>
    <s v="::ffff:127.0.0.1"/>
    <s v="Apache-HttpClient/4.5.14 (Java/21.0.11)"/>
    <d v="2026-05-24T15:23:09"/>
  </r>
  <r>
    <s v="cmpjxfrur00xlw2rwaae4vqm1"/>
    <x v="9"/>
    <s v="POST"/>
    <s v="/api/v1/pecas"/>
    <s v="/api/v1/pecas/"/>
    <x v="3"/>
    <x v="784"/>
    <d v="2026-05-24T15:23:09"/>
    <d v="2026-05-24T15:23:09"/>
    <s v="::ffff:127.0.0.1"/>
    <s v="Apache-HttpClient/4.5.14 (Java/21.0.11)"/>
    <d v="2026-05-24T15:23:09"/>
  </r>
  <r>
    <s v="cmpjxfrw800y3w2rwmz2le1z2"/>
    <x v="9"/>
    <s v="POST"/>
    <s v="/api/v1/pecas"/>
    <s v="/api/v1/pecas/"/>
    <x v="3"/>
    <x v="785"/>
    <d v="2026-05-24T15:23:09"/>
    <d v="2026-05-24T15:23:09"/>
    <s v="::ffff:127.0.0.1"/>
    <s v="Apache-HttpClient/4.5.14 (Java/21.0.11)"/>
    <d v="2026-05-24T15:23:09"/>
  </r>
  <r>
    <s v="cmpjxfryf00yow2rwf6dggipb"/>
    <x v="9"/>
    <s v="POST"/>
    <s v="/api/v1/pecas"/>
    <s v="/api/v1/pecas/"/>
    <x v="3"/>
    <x v="786"/>
    <d v="2026-05-24T15:23:09"/>
    <d v="2026-05-24T15:23:09"/>
    <s v="::ffff:127.0.0.1"/>
    <s v="Apache-HttpClient/4.5.14 (Java/21.0.11)"/>
    <d v="2026-05-24T15:23:09"/>
  </r>
  <r>
    <s v="cmpjxfrz900z0w2rw9xbru9j8"/>
    <x v="9"/>
    <s v="POST"/>
    <s v="/api/v1/pecas"/>
    <s v="/api/v1/pecas/"/>
    <x v="3"/>
    <x v="787"/>
    <d v="2026-05-24T15:23:09"/>
    <d v="2026-05-24T15:23:09"/>
    <s v="::ffff:127.0.0.1"/>
    <s v="Apache-HttpClient/4.5.14 (Java/21.0.11)"/>
    <d v="2026-05-24T15:23:09"/>
  </r>
  <r>
    <s v="cmpjxfs0k00zjw2rwkt99pzf6"/>
    <x v="9"/>
    <s v="POST"/>
    <s v="/api/v1/pecas"/>
    <s v="/api/v1/pecas/"/>
    <x v="3"/>
    <x v="788"/>
    <d v="2026-05-24T15:23:09"/>
    <d v="2026-05-24T15:23:09"/>
    <s v="::ffff:127.0.0.1"/>
    <s v="Apache-HttpClient/4.5.14 (Java/21.0.11)"/>
    <d v="2026-05-24T15:23:09"/>
  </r>
  <r>
    <s v="cmpjxfs0z00zpw2rwmlcnqmmh"/>
    <x v="9"/>
    <s v="POST"/>
    <s v="/api/v1/pecas"/>
    <s v="/api/v1/pecas/"/>
    <x v="3"/>
    <x v="789"/>
    <d v="2026-05-24T15:23:09"/>
    <d v="2026-05-24T15:23:09"/>
    <s v="::ffff:127.0.0.1"/>
    <s v="Apache-HttpClient/4.5.14 (Java/21.0.11)"/>
    <d v="2026-05-24T15:23:09"/>
  </r>
  <r>
    <s v="cmpjxfs1j00zvw2rw41avfrqr"/>
    <x v="9"/>
    <s v="POST"/>
    <s v="/api/v1/pecas"/>
    <s v="/api/v1/pecas/"/>
    <x v="3"/>
    <x v="790"/>
    <d v="2026-05-24T15:23:09"/>
    <d v="2026-05-24T15:23:09"/>
    <s v="::ffff:127.0.0.1"/>
    <s v="Apache-HttpClient/4.5.14 (Java/21.0.11)"/>
    <d v="2026-05-24T15:23:09"/>
  </r>
  <r>
    <s v="cmpjxfs1m00zww2rw1jktujr8"/>
    <x v="9"/>
    <s v="POST"/>
    <s v="/api/v1/pecas"/>
    <s v="/api/v1/pecas/"/>
    <x v="4"/>
    <x v="791"/>
    <d v="2026-05-24T15:23:09"/>
    <d v="2026-05-24T15:23:09"/>
    <s v="::ffff:127.0.0.1"/>
    <s v="Apache-HttpClient/4.5.14 (Java/21.0.11)"/>
    <d v="2026-05-24T15:23:09"/>
  </r>
  <r>
    <s v="cmpjxfs1o00zxw2rwhh77p5je"/>
    <x v="9"/>
    <s v="POST"/>
    <s v="/api/v1/pecas"/>
    <s v="/api/v1/pecas/"/>
    <x v="4"/>
    <x v="792"/>
    <d v="2026-05-24T15:23:09"/>
    <d v="2026-05-24T15:23:09"/>
    <s v="::ffff:127.0.0.1"/>
    <s v="Apache-HttpClient/4.5.14 (Java/21.0.11)"/>
    <d v="2026-05-24T15:23:09"/>
  </r>
  <r>
    <s v="cmpjxfs1q00zyw2rw21lnwx0i"/>
    <x v="9"/>
    <s v="POST"/>
    <s v="/api/v1/pecas"/>
    <s v="/api/v1/pecas/"/>
    <x v="4"/>
    <x v="793"/>
    <d v="2026-05-24T15:23:09"/>
    <d v="2026-05-24T15:23:09"/>
    <s v="::ffff:127.0.0.1"/>
    <s v="Apache-HttpClient/4.5.14 (Java/21.0.11)"/>
    <d v="2026-05-24T15:23:09"/>
  </r>
  <r>
    <s v="cmpjxfs39010kw2rwb52iml1w"/>
    <x v="9"/>
    <s v="POST"/>
    <s v="/api/v1/pecas"/>
    <s v="/api/v1/pecas/"/>
    <x v="3"/>
    <x v="794"/>
    <d v="2026-05-24T15:23:09"/>
    <d v="2026-05-24T15:23:09"/>
    <s v="::ffff:127.0.0.1"/>
    <s v="Apache-HttpClient/4.5.14 (Java/21.0.11)"/>
    <d v="2026-05-24T15:23:09"/>
  </r>
  <r>
    <s v="cmpjxfs3v010rw2rwhskyfmw6"/>
    <x v="9"/>
    <s v="POST"/>
    <s v="/api/v1/pecas"/>
    <s v="/api/v1/pecas/"/>
    <x v="3"/>
    <x v="795"/>
    <d v="2026-05-24T15:23:09"/>
    <d v="2026-05-24T15:23:09"/>
    <s v="::ffff:127.0.0.1"/>
    <s v="Apache-HttpClient/4.5.14 (Java/21.0.11)"/>
    <d v="2026-05-24T15:23:09"/>
  </r>
  <r>
    <s v="cmpjxfs6b011jw2rwdxtr1hde"/>
    <x v="9"/>
    <s v="POST"/>
    <s v="/api/v1/pecas"/>
    <s v="/api/v1/pecas/"/>
    <x v="3"/>
    <x v="796"/>
    <d v="2026-05-24T15:23:10"/>
    <d v="2026-05-24T15:23:10"/>
    <s v="::ffff:127.0.0.1"/>
    <s v="Apache-HttpClient/4.5.14 (Java/21.0.11)"/>
    <d v="2026-05-24T15:23:10"/>
  </r>
  <r>
    <s v="cmpjxfs7q011yw2rwk3w9ym3m"/>
    <x v="9"/>
    <s v="POST"/>
    <s v="/api/v1/pecas"/>
    <s v="/api/v1/pecas/"/>
    <x v="3"/>
    <x v="797"/>
    <d v="2026-05-24T15:23:10"/>
    <d v="2026-05-24T15:23:10"/>
    <s v="::ffff:127.0.0.1"/>
    <s v="Apache-HttpClient/4.5.14 (Java/21.0.11)"/>
    <d v="2026-05-24T15:23:10"/>
  </r>
  <r>
    <s v="cmpjxfs94012cw2rwo40rliv6"/>
    <x v="9"/>
    <s v="POST"/>
    <s v="/api/v1/pecas"/>
    <s v="/api/v1/pecas/"/>
    <x v="3"/>
    <x v="798"/>
    <d v="2026-05-24T15:23:10"/>
    <d v="2026-05-24T15:23:10"/>
    <s v="::ffff:127.0.0.1"/>
    <s v="Apache-HttpClient/4.5.14 (Java/21.0.11)"/>
    <d v="2026-05-24T15:23:10"/>
  </r>
  <r>
    <s v="cmpjxfs9g012gw2rwj3n0nwmo"/>
    <x v="9"/>
    <s v="POST"/>
    <s v="/api/v1/pecas"/>
    <s v="/api/v1/pecas/"/>
    <x v="3"/>
    <x v="799"/>
    <d v="2026-05-24T15:23:10"/>
    <d v="2026-05-24T15:23:10"/>
    <s v="::ffff:127.0.0.1"/>
    <s v="Apache-HttpClient/4.5.14 (Java/21.0.11)"/>
    <d v="2026-05-24T15:23:10"/>
  </r>
  <r>
    <s v="cmpjxfs9k012iw2rwtdknw102"/>
    <x v="9"/>
    <s v="POST"/>
    <s v="/api/v1/pecas"/>
    <s v="/api/v1/pecas/"/>
    <x v="4"/>
    <x v="800"/>
    <d v="2026-05-24T15:23:10"/>
    <d v="2026-05-24T15:23:10"/>
    <s v="::ffff:127.0.0.1"/>
    <s v="Apache-HttpClient/4.5.14 (Java/21.0.11)"/>
    <d v="2026-05-24T15:23:10"/>
  </r>
  <r>
    <s v="cmpjxfs9m012jw2rwb0eght0a"/>
    <x v="9"/>
    <s v="POST"/>
    <s v="/api/v1/pecas"/>
    <s v="/api/v1/pecas/"/>
    <x v="4"/>
    <x v="801"/>
    <d v="2026-05-24T15:23:10"/>
    <d v="2026-05-24T15:23:10"/>
    <s v="::ffff:127.0.0.1"/>
    <s v="Apache-HttpClient/4.5.14 (Java/21.0.11)"/>
    <d v="2026-05-24T15:23:10"/>
  </r>
  <r>
    <s v="cmpjxfs9p012kw2rwzlbrr5nf"/>
    <x v="9"/>
    <s v="POST"/>
    <s v="/api/v1/pecas"/>
    <s v="/api/v1/pecas/"/>
    <x v="4"/>
    <x v="802"/>
    <d v="2026-05-24T15:23:10"/>
    <d v="2026-05-24T15:23:10"/>
    <s v="::ffff:127.0.0.1"/>
    <s v="Apache-HttpClient/4.5.14 (Java/21.0.11)"/>
    <d v="2026-05-24T15:23:10"/>
  </r>
  <r>
    <s v="cmpjxfsa6012pw2rwnbkjdpxe"/>
    <x v="9"/>
    <s v="POST"/>
    <s v="/api/v1/pecas"/>
    <s v="/api/v1/pecas/"/>
    <x v="3"/>
    <x v="803"/>
    <d v="2026-05-24T15:23:10"/>
    <d v="2026-05-24T15:23:10"/>
    <s v="::ffff:127.0.0.1"/>
    <s v="Apache-HttpClient/4.5.14 (Java/21.0.11)"/>
    <d v="2026-05-24T15:23:10"/>
  </r>
  <r>
    <s v="cmpjxfsbu013fw2rweulzwo35"/>
    <x v="9"/>
    <s v="POST"/>
    <s v="/api/v1/pecas"/>
    <s v="/api/v1/pecas/"/>
    <x v="3"/>
    <x v="804"/>
    <d v="2026-05-24T15:23:10"/>
    <d v="2026-05-24T15:23:10"/>
    <s v="::ffff:127.0.0.1"/>
    <s v="Apache-HttpClient/4.5.14 (Java/21.0.11)"/>
    <d v="2026-05-24T15:23:10"/>
  </r>
  <r>
    <s v="cmpjxfsc6013hw2rwjnvm6x9u"/>
    <x v="9"/>
    <s v="POST"/>
    <s v="/api/v1/pecas"/>
    <s v="/api/v1/pecas/"/>
    <x v="3"/>
    <x v="805"/>
    <d v="2026-05-24T15:23:10"/>
    <d v="2026-05-24T15:23:10"/>
    <s v="::ffff:127.0.0.1"/>
    <s v="Apache-HttpClient/4.5.14 (Java/21.0.11)"/>
    <d v="2026-05-24T15:23:10"/>
  </r>
  <r>
    <s v="cmpjxfsef014aw2rwiug653j0"/>
    <x v="9"/>
    <s v="POST"/>
    <s v="/api/v1/pecas"/>
    <s v="/api/v1/pecas/"/>
    <x v="3"/>
    <x v="806"/>
    <d v="2026-05-24T15:23:10"/>
    <d v="2026-05-24T15:23:10"/>
    <s v="::ffff:127.0.0.1"/>
    <s v="Apache-HttpClient/4.5.14 (Java/21.0.11)"/>
    <d v="2026-05-24T15:23:10"/>
  </r>
  <r>
    <s v="cmpjxfsfj014qw2rw0wv93uio"/>
    <x v="9"/>
    <s v="POST"/>
    <s v="/api/v1/pecas"/>
    <s v="/api/v1/pecas/"/>
    <x v="3"/>
    <x v="807"/>
    <d v="2026-05-24T15:23:10"/>
    <d v="2026-05-24T15:23:10"/>
    <s v="::ffff:127.0.0.1"/>
    <s v="Apache-HttpClient/4.5.14 (Java/21.0.11)"/>
    <d v="2026-05-24T15:23:10"/>
  </r>
  <r>
    <s v="cmpjxfsgo0156w2rwj254ki65"/>
    <x v="9"/>
    <s v="POST"/>
    <s v="/api/v1/pecas"/>
    <s v="/api/v1/pecas/"/>
    <x v="3"/>
    <x v="808"/>
    <d v="2026-05-24T15:23:10"/>
    <d v="2026-05-24T15:23:10"/>
    <s v="::ffff:127.0.0.1"/>
    <s v="Apache-HttpClient/4.5.14 (Java/21.0.11)"/>
    <d v="2026-05-24T15:23:10"/>
  </r>
  <r>
    <s v="cmpjxfsgq0157w2rw62dgw3js"/>
    <x v="9"/>
    <s v="POST"/>
    <s v="/api/v1/pecas"/>
    <s v="/api/v1/pecas/"/>
    <x v="4"/>
    <x v="809"/>
    <d v="2026-05-24T15:23:10"/>
    <d v="2026-05-24T15:23:10"/>
    <s v="::ffff:127.0.0.1"/>
    <s v="Apache-HttpClient/4.5.14 (Java/21.0.11)"/>
    <d v="2026-05-24T15:23:10"/>
  </r>
  <r>
    <s v="cmpjxfsgt0159w2rw5s3xalqt"/>
    <x v="9"/>
    <s v="POST"/>
    <s v="/api/v1/pecas"/>
    <s v="/api/v1/pecas/"/>
    <x v="4"/>
    <x v="810"/>
    <d v="2026-05-24T15:23:10"/>
    <d v="2026-05-24T15:23:10"/>
    <s v="::ffff:127.0.0.1"/>
    <s v="Apache-HttpClient/4.5.14 (Java/21.0.11)"/>
    <d v="2026-05-24T15:23:10"/>
  </r>
  <r>
    <s v="cmpjxfsgv015aw2rwy9z90oe6"/>
    <x v="9"/>
    <s v="POST"/>
    <s v="/api/v1/pecas"/>
    <s v="/api/v1/pecas/"/>
    <x v="4"/>
    <x v="811"/>
    <d v="2026-05-24T15:23:10"/>
    <d v="2026-05-24T15:23:10"/>
    <s v="::ffff:127.0.0.1"/>
    <s v="Apache-HttpClient/4.5.14 (Java/21.0.11)"/>
    <d v="2026-05-24T15:23:10"/>
  </r>
  <r>
    <s v="cmpjxfsgy015bw2rwtqe8iivw"/>
    <x v="9"/>
    <s v="POST"/>
    <s v="/api/v1/pecas"/>
    <s v="/api/v1/pecas/"/>
    <x v="4"/>
    <x v="812"/>
    <d v="2026-05-24T15:23:10"/>
    <d v="2026-05-24T15:23:10"/>
    <s v="::ffff:127.0.0.1"/>
    <s v="Apache-HttpClient/4.5.14 (Java/21.0.11)"/>
    <d v="2026-05-24T15:23:10"/>
  </r>
  <r>
    <s v="cmpjxfshm015lw2rwv4mqbcek"/>
    <x v="9"/>
    <s v="POST"/>
    <s v="/api/v1/pecas"/>
    <s v="/api/v1/pecas/"/>
    <x v="3"/>
    <x v="813"/>
    <d v="2026-05-24T15:23:10"/>
    <d v="2026-05-24T15:23:10"/>
    <s v="::ffff:127.0.0.1"/>
    <s v="Apache-HttpClient/4.5.14 (Java/21.0.11)"/>
    <d v="2026-05-24T15:23:10"/>
  </r>
  <r>
    <s v="cmpjxfsja0166w2rwf3si1n0k"/>
    <x v="9"/>
    <s v="POST"/>
    <s v="/api/v1/pecas"/>
    <s v="/api/v1/pecas/"/>
    <x v="3"/>
    <x v="814"/>
    <d v="2026-05-24T15:23:10"/>
    <d v="2026-05-24T15:23:10"/>
    <s v="::ffff:127.0.0.1"/>
    <s v="Apache-HttpClient/4.5.14 (Java/21.0.11)"/>
    <d v="2026-05-24T15:23:10"/>
  </r>
  <r>
    <s v="cmpjxfska016ew2rw7dcx5aiv"/>
    <x v="9"/>
    <s v="POST"/>
    <s v="/api/v1/pecas"/>
    <s v="/api/v1/pecas/"/>
    <x v="3"/>
    <x v="815"/>
    <d v="2026-05-24T15:23:10"/>
    <d v="2026-05-24T15:23:10"/>
    <s v="::ffff:127.0.0.1"/>
    <s v="Apache-HttpClient/4.5.14 (Java/21.0.11)"/>
    <d v="2026-05-24T15:23:10"/>
  </r>
  <r>
    <s v="cmpjxfslv0173w2rwioufwopu"/>
    <x v="9"/>
    <s v="POST"/>
    <s v="/api/v1/pecas"/>
    <s v="/api/v1/pecas/"/>
    <x v="3"/>
    <x v="816"/>
    <d v="2026-05-24T15:23:10"/>
    <d v="2026-05-24T15:23:10"/>
    <s v="::ffff:127.0.0.1"/>
    <s v="Apache-HttpClient/4.5.14 (Java/21.0.11)"/>
    <d v="2026-05-24T15:23:10"/>
  </r>
  <r>
    <s v="cmpjxfsn0017hw2rwa6xq593g"/>
    <x v="9"/>
    <s v="POST"/>
    <s v="/api/v1/pecas"/>
    <s v="/api/v1/pecas/"/>
    <x v="3"/>
    <x v="817"/>
    <d v="2026-05-24T15:23:10"/>
    <d v="2026-05-24T15:23:10"/>
    <s v="::ffff:127.0.0.1"/>
    <s v="Apache-HttpClient/4.5.14 (Java/21.0.11)"/>
    <d v="2026-05-24T15:23:10"/>
  </r>
  <r>
    <s v="cmpjxfsnp017pw2rweno4kchb"/>
    <x v="9"/>
    <s v="POST"/>
    <s v="/api/v1/pecas"/>
    <s v="/api/v1/pecas/"/>
    <x v="3"/>
    <x v="818"/>
    <d v="2026-05-24T15:23:10"/>
    <d v="2026-05-24T15:23:10"/>
    <s v="::ffff:127.0.0.1"/>
    <s v="Apache-HttpClient/4.5.14 (Java/21.0.11)"/>
    <d v="2026-05-24T15:23:10"/>
  </r>
  <r>
    <s v="cmpjxfsns017qw2rwzp2zt81w"/>
    <x v="9"/>
    <s v="POST"/>
    <s v="/api/v1/pecas"/>
    <s v="/api/v1/pecas/"/>
    <x v="4"/>
    <x v="819"/>
    <d v="2026-05-24T15:23:10"/>
    <d v="2026-05-24T15:23:10"/>
    <s v="::ffff:127.0.0.1"/>
    <s v="Apache-HttpClient/4.5.14 (Java/21.0.11)"/>
    <d v="2026-05-24T15:23:10"/>
  </r>
  <r>
    <s v="cmpjxfsnu017rw2rwqweybj4e"/>
    <x v="9"/>
    <s v="POST"/>
    <s v="/api/v1/pecas"/>
    <s v="/api/v1/pecas/"/>
    <x v="4"/>
    <x v="820"/>
    <d v="2026-05-24T15:23:10"/>
    <d v="2026-05-24T15:23:10"/>
    <s v="::ffff:127.0.0.1"/>
    <s v="Apache-HttpClient/4.5.14 (Java/21.0.11)"/>
    <d v="2026-05-24T15:23:10"/>
  </r>
  <r>
    <s v="cmpjxfsny017uw2rwmxfuz8nd"/>
    <x v="9"/>
    <s v="POST"/>
    <s v="/api/v1/pecas"/>
    <s v="/api/v1/pecas/"/>
    <x v="4"/>
    <x v="821"/>
    <d v="2026-05-24T15:23:10"/>
    <d v="2026-05-24T15:23:10"/>
    <s v="::ffff:127.0.0.1"/>
    <s v="Apache-HttpClient/4.5.14 (Java/21.0.11)"/>
    <d v="2026-05-24T15:23:10"/>
  </r>
  <r>
    <s v="cmpjxfsou0186w2rwm11rutb0"/>
    <x v="9"/>
    <s v="POST"/>
    <s v="/api/v1/pecas"/>
    <s v="/api/v1/pecas/"/>
    <x v="3"/>
    <x v="822"/>
    <d v="2026-05-24T15:23:10"/>
    <d v="2026-05-24T15:23:10"/>
    <s v="::ffff:127.0.0.1"/>
    <s v="Apache-HttpClient/4.5.14 (Java/21.0.11)"/>
    <d v="2026-05-24T15:23:10"/>
  </r>
  <r>
    <s v="cmpjxfsq2018mw2rwcuwsbr5i"/>
    <x v="9"/>
    <s v="POST"/>
    <s v="/api/v1/pecas"/>
    <s v="/api/v1/pecas/"/>
    <x v="3"/>
    <x v="823"/>
    <d v="2026-05-24T15:23:10"/>
    <d v="2026-05-24T15:23:10"/>
    <s v="::ffff:127.0.0.1"/>
    <s v="Apache-HttpClient/4.5.14 (Java/21.0.11)"/>
    <d v="2026-05-24T15:23:10"/>
  </r>
  <r>
    <s v="cmpjxfsr6018yw2rwtsz94nan"/>
    <x v="9"/>
    <s v="POST"/>
    <s v="/api/v1/pecas"/>
    <s v="/api/v1/pecas/"/>
    <x v="3"/>
    <x v="824"/>
    <d v="2026-05-24T15:23:10"/>
    <d v="2026-05-24T15:23:10"/>
    <s v="::ffff:127.0.0.1"/>
    <s v="Apache-HttpClient/4.5.14 (Java/21.0.11)"/>
    <d v="2026-05-24T15:23:10"/>
  </r>
  <r>
    <s v="cmpjxfssj019iw2rw2faaaeui"/>
    <x v="9"/>
    <s v="POST"/>
    <s v="/api/v1/pecas"/>
    <s v="/api/v1/pecas/"/>
    <x v="3"/>
    <x v="825"/>
    <d v="2026-05-24T15:23:10"/>
    <d v="2026-05-24T15:23:10"/>
    <s v="::ffff:127.0.0.1"/>
    <s v="Apache-HttpClient/4.5.14 (Java/21.0.11)"/>
    <d v="2026-05-24T15:23:10"/>
  </r>
  <r>
    <s v="cmpjxfstf019uw2rw2yskczyg"/>
    <x v="9"/>
    <s v="POST"/>
    <s v="/api/v1/pecas"/>
    <s v="/api/v1/pecas/"/>
    <x v="3"/>
    <x v="826"/>
    <d v="2026-05-24T15:23:10"/>
    <d v="2026-05-24T15:23:10"/>
    <s v="::ffff:127.0.0.1"/>
    <s v="Apache-HttpClient/4.5.14 (Java/21.0.11)"/>
    <d v="2026-05-24T15:23:10"/>
  </r>
  <r>
    <s v="cmpjxfstp019ww2rwzg11sp8g"/>
    <x v="9"/>
    <s v="POST"/>
    <s v="/api/v1/pecas"/>
    <s v="/api/v1/pecas/"/>
    <x v="4"/>
    <x v="827"/>
    <d v="2026-05-24T15:23:10"/>
    <d v="2026-05-24T15:23:10"/>
    <s v="::ffff:127.0.0.1"/>
    <s v="Apache-HttpClient/4.5.14 (Java/21.0.11)"/>
    <d v="2026-05-24T15:23:10"/>
  </r>
  <r>
    <s v="cmpjxfsu501a4w2rw0f4qy3n1"/>
    <x v="9"/>
    <s v="POST"/>
    <s v="/api/v1/pecas"/>
    <s v="/api/v1/pecas/"/>
    <x v="3"/>
    <x v="828"/>
    <d v="2026-05-24T15:23:10"/>
    <d v="2026-05-24T15:23:10"/>
    <s v="::ffff:127.0.0.1"/>
    <s v="Apache-HttpClient/4.5.14 (Java/21.0.11)"/>
    <d v="2026-05-24T15:23:10"/>
  </r>
  <r>
    <s v="cmpjxfsu701a5w2rwqzcg0szc"/>
    <x v="9"/>
    <s v="POST"/>
    <s v="/api/v1/pecas"/>
    <s v="/api/v1/pecas/"/>
    <x v="4"/>
    <x v="829"/>
    <d v="2026-05-24T15:23:10"/>
    <d v="2026-05-24T15:23:10"/>
    <s v="::ffff:127.0.0.1"/>
    <s v="Apache-HttpClient/4.5.14 (Java/21.0.11)"/>
    <d v="2026-05-24T15:23:10"/>
  </r>
  <r>
    <s v="cmpjxfsv401ajw2rw46xs8z4r"/>
    <x v="9"/>
    <s v="POST"/>
    <s v="/api/v1/pecas"/>
    <s v="/api/v1/pecas/"/>
    <x v="3"/>
    <x v="830"/>
    <d v="2026-05-24T15:23:10"/>
    <d v="2026-05-24T15:23:10"/>
    <s v="::ffff:127.0.0.1"/>
    <s v="Apache-HttpClient/4.5.14 (Java/21.0.11)"/>
    <d v="2026-05-24T15:23:10"/>
  </r>
  <r>
    <s v="cmpjxfswb01avw2rwuzw2x2c6"/>
    <x v="9"/>
    <s v="POST"/>
    <s v="/api/v1/pecas"/>
    <s v="/api/v1/pecas/"/>
    <x v="3"/>
    <x v="831"/>
    <d v="2026-05-24T15:23:10"/>
    <d v="2026-05-24T15:23:10"/>
    <s v="::ffff:127.0.0.1"/>
    <s v="Apache-HttpClient/4.5.14 (Java/21.0.11)"/>
    <d v="2026-05-24T15:23:10"/>
  </r>
  <r>
    <s v="cmpjxfsxe01b8w2rwcqu27ne4"/>
    <x v="9"/>
    <s v="POST"/>
    <s v="/api/v1/pecas"/>
    <s v="/api/v1/pecas/"/>
    <x v="3"/>
    <x v="803"/>
    <d v="2026-05-24T15:23:10"/>
    <d v="2026-05-24T15:23:11"/>
    <s v="::ffff:127.0.0.1"/>
    <s v="Apache-HttpClient/4.5.14 (Java/21.0.11)"/>
    <d v="2026-05-24T15:23:11"/>
  </r>
  <r>
    <s v="cmpjxfsyn01bqw2rwx885xh2g"/>
    <x v="9"/>
    <s v="POST"/>
    <s v="/api/v1/pecas"/>
    <s v="/api/v1/pecas/"/>
    <x v="3"/>
    <x v="691"/>
    <d v="2026-05-24T15:23:11"/>
    <d v="2026-05-24T15:23:11"/>
    <s v="::ffff:127.0.0.1"/>
    <s v="Apache-HttpClient/4.5.14 (Java/21.0.11)"/>
    <d v="2026-05-24T15:23:11"/>
  </r>
  <r>
    <s v="cmpjxfsz701bzw2rwb6gq9rp8"/>
    <x v="9"/>
    <s v="POST"/>
    <s v="/api/v1/pecas"/>
    <s v="/api/v1/pecas/"/>
    <x v="3"/>
    <x v="832"/>
    <d v="2026-05-24T15:23:11"/>
    <d v="2026-05-24T15:23:11"/>
    <s v="::ffff:127.0.0.1"/>
    <s v="Apache-HttpClient/4.5.14 (Java/21.0.11)"/>
    <d v="2026-05-24T15:23:11"/>
  </r>
  <r>
    <s v="cmpjxfszj01c2w2rwqlj9yx08"/>
    <x v="9"/>
    <s v="POST"/>
    <s v="/api/v1/pecas"/>
    <s v="/api/v1/pecas/"/>
    <x v="3"/>
    <x v="183"/>
    <d v="2026-05-24T15:23:11"/>
    <d v="2026-05-24T15:23:11"/>
    <s v="::ffff:127.0.0.1"/>
    <s v="Apache-HttpClient/4.5.14 (Java/21.0.11)"/>
    <d v="2026-05-24T15:23:11"/>
  </r>
  <r>
    <s v="cmpjxfszm01c3w2rwiiww2069"/>
    <x v="9"/>
    <s v="POST"/>
    <s v="/api/v1/pecas"/>
    <s v="/api/v1/pecas/"/>
    <x v="4"/>
    <x v="130"/>
    <d v="2026-05-24T15:23:11"/>
    <d v="2026-05-24T15:23:11"/>
    <s v="::ffff:127.0.0.1"/>
    <s v="Apache-HttpClient/4.5.14 (Java/21.0.11)"/>
    <d v="2026-05-24T15:23:11"/>
  </r>
  <r>
    <s v="cmpjxft0401c9w2rwuueww8bm"/>
    <x v="9"/>
    <s v="POST"/>
    <s v="/api/v1/pecas"/>
    <s v="/api/v1/pecas/"/>
    <x v="3"/>
    <x v="833"/>
    <d v="2026-05-24T15:23:11"/>
    <d v="2026-05-24T15:23:11"/>
    <s v="::ffff:127.0.0.1"/>
    <s v="Apache-HttpClient/4.5.14 (Java/21.0.11)"/>
    <d v="2026-05-24T15:23:11"/>
  </r>
  <r>
    <s v="cmpjxft0n01ciw2rwxwfv52s4"/>
    <x v="9"/>
    <s v="POST"/>
    <s v="/api/v1/pecas"/>
    <s v="/api/v1/pecas/"/>
    <x v="3"/>
    <x v="834"/>
    <d v="2026-05-24T15:23:11"/>
    <d v="2026-05-24T15:23:11"/>
    <s v="::ffff:127.0.0.1"/>
    <s v="Apache-HttpClient/4.5.14 (Java/21.0.11)"/>
    <d v="2026-05-24T15:23:11"/>
  </r>
  <r>
    <s v="cmpjxft2u01d9w2rwhn2pkr9m"/>
    <x v="9"/>
    <s v="POST"/>
    <s v="/api/v1/pecas"/>
    <s v="/api/v1/pecas/"/>
    <x v="3"/>
    <x v="835"/>
    <d v="2026-05-24T15:23:11"/>
    <d v="2026-05-24T15:23:11"/>
    <s v="::ffff:127.0.0.1"/>
    <s v="Apache-HttpClient/4.5.14 (Java/21.0.11)"/>
    <d v="2026-05-24T15:23:11"/>
  </r>
  <r>
    <s v="cmpjxft4101dow2rw9kuannwd"/>
    <x v="9"/>
    <s v="POST"/>
    <s v="/api/v1/pecas"/>
    <s v="/api/v1/pecas/"/>
    <x v="3"/>
    <x v="836"/>
    <d v="2026-05-24T15:23:11"/>
    <d v="2026-05-24T15:23:11"/>
    <s v="::ffff:127.0.0.1"/>
    <s v="Apache-HttpClient/4.5.14 (Java/21.0.11)"/>
    <d v="2026-05-24T15:23:11"/>
  </r>
  <r>
    <s v="cmpjxft4301dpw2rw2r56us7u"/>
    <x v="9"/>
    <s v="POST"/>
    <s v="/api/v1/pecas"/>
    <s v="/api/v1/pecas/"/>
    <x v="4"/>
    <x v="837"/>
    <d v="2026-05-24T15:23:11"/>
    <d v="2026-05-24T15:23:11"/>
    <s v="::ffff:127.0.0.1"/>
    <s v="Apache-HttpClient/4.5.14 (Java/21.0.11)"/>
    <d v="2026-05-24T15:23:11"/>
  </r>
  <r>
    <s v="cmpjxft4q01dww2rw8jse2cyw"/>
    <x v="9"/>
    <s v="POST"/>
    <s v="/api/v1/pecas"/>
    <s v="/api/v1/pecas/"/>
    <x v="3"/>
    <x v="751"/>
    <d v="2026-05-24T15:23:11"/>
    <d v="2026-05-24T15:23:11"/>
    <s v="::ffff:127.0.0.1"/>
    <s v="Apache-HttpClient/4.5.14 (Java/21.0.11)"/>
    <d v="2026-05-24T15:23:11"/>
  </r>
  <r>
    <s v="cmpjxft4s01dxw2rwkjwoke8x"/>
    <x v="9"/>
    <s v="POST"/>
    <s v="/api/v1/pecas"/>
    <s v="/api/v1/pecas/"/>
    <x v="4"/>
    <x v="838"/>
    <d v="2026-05-24T15:23:11"/>
    <d v="2026-05-24T15:23:11"/>
    <s v="::ffff:127.0.0.1"/>
    <s v="Apache-HttpClient/4.5.14 (Java/21.0.11)"/>
    <d v="2026-05-24T15:23:11"/>
  </r>
  <r>
    <s v="cmpjxft5k01e7w2rwrewfjhu1"/>
    <x v="9"/>
    <s v="POST"/>
    <s v="/api/v1/pecas"/>
    <s v="/api/v1/pecas/"/>
    <x v="3"/>
    <x v="31"/>
    <d v="2026-05-24T15:23:11"/>
    <d v="2026-05-24T15:23:11"/>
    <s v="::ffff:127.0.0.1"/>
    <s v="Apache-HttpClient/4.5.14 (Java/21.0.11)"/>
    <d v="2026-05-24T15:23:11"/>
  </r>
  <r>
    <s v="cmpjxft7701erw2rwhkzqwah9"/>
    <x v="9"/>
    <s v="POST"/>
    <s v="/api/v1/pecas"/>
    <s v="/api/v1/pecas/"/>
    <x v="3"/>
    <x v="14"/>
    <d v="2026-05-24T15:23:11"/>
    <d v="2026-05-24T15:23:11"/>
    <s v="::ffff:127.0.0.1"/>
    <s v="Apache-HttpClient/4.5.14 (Java/21.0.11)"/>
    <d v="2026-05-24T15:23:11"/>
  </r>
  <r>
    <s v="cmpjxft8c01f6w2rwfnackxty"/>
    <x v="9"/>
    <s v="POST"/>
    <s v="/api/v1/pecas"/>
    <s v="/api/v1/pecas/"/>
    <x v="3"/>
    <x v="839"/>
    <d v="2026-05-24T15:23:11"/>
    <d v="2026-05-24T15:23:11"/>
    <s v="::ffff:127.0.0.1"/>
    <s v="Apache-HttpClient/4.5.14 (Java/21.0.11)"/>
    <d v="2026-05-24T15:23:11"/>
  </r>
  <r>
    <s v="cmpjxft8f01f7w2rwy3vv6fvr"/>
    <x v="9"/>
    <s v="POST"/>
    <s v="/api/v1/pecas"/>
    <s v="/api/v1/pecas/"/>
    <x v="4"/>
    <x v="840"/>
    <d v="2026-05-24T15:23:11"/>
    <d v="2026-05-24T15:23:11"/>
    <s v="::ffff:127.0.0.1"/>
    <s v="Apache-HttpClient/4.5.14 (Java/21.0.11)"/>
    <d v="2026-05-24T15:23:11"/>
  </r>
  <r>
    <s v="cmpjxft8q01fbw2rwukdiih45"/>
    <x v="9"/>
    <s v="POST"/>
    <s v="/api/v1/pecas"/>
    <s v="/api/v1/pecas/"/>
    <x v="3"/>
    <x v="841"/>
    <d v="2026-05-24T15:23:11"/>
    <d v="2026-05-24T15:23:11"/>
    <s v="::ffff:127.0.0.1"/>
    <s v="Apache-HttpClient/4.5.14 (Java/21.0.11)"/>
    <d v="2026-05-24T15:23:11"/>
  </r>
  <r>
    <s v="cmpjxft9m01fow2rwyi93qel5"/>
    <x v="9"/>
    <s v="POST"/>
    <s v="/api/v1/pecas"/>
    <s v="/api/v1/pecas/"/>
    <x v="3"/>
    <x v="250"/>
    <d v="2026-05-24T15:23:11"/>
    <d v="2026-05-24T15:23:11"/>
    <s v="::ffff:127.0.0.1"/>
    <s v="Apache-HttpClient/4.5.14 (Java/21.0.11)"/>
    <d v="2026-05-24T15:23:11"/>
  </r>
  <r>
    <s v="cmpjxftaj01fzw2rwfsaqjjqv"/>
    <x v="9"/>
    <s v="POST"/>
    <s v="/api/v1/pecas"/>
    <s v="/api/v1/pecas/"/>
    <x v="3"/>
    <x v="842"/>
    <d v="2026-05-24T15:23:11"/>
    <d v="2026-05-24T15:23:11"/>
    <s v="::ffff:127.0.0.1"/>
    <s v="Apache-HttpClient/4.5.14 (Java/21.0.11)"/>
    <d v="2026-05-24T15:23:11"/>
  </r>
  <r>
    <s v="cmpjxftb601g7w2rw8ywdv5pr"/>
    <x v="9"/>
    <s v="POST"/>
    <s v="/api/v1/pecas"/>
    <s v="/api/v1/pecas/"/>
    <x v="3"/>
    <x v="214"/>
    <d v="2026-05-24T15:23:11"/>
    <d v="2026-05-24T15:23:11"/>
    <s v="::ffff:127.0.0.1"/>
    <s v="Apache-HttpClient/4.5.14 (Java/21.0.11)"/>
    <d v="2026-05-24T15:23:11"/>
  </r>
  <r>
    <s v="cmpjxftc201gjw2rwfi5bnwhp"/>
    <x v="9"/>
    <s v="POST"/>
    <s v="/api/v1/pecas"/>
    <s v="/api/v1/pecas/"/>
    <x v="3"/>
    <x v="592"/>
    <d v="2026-05-24T15:23:11"/>
    <d v="2026-05-24T15:23:11"/>
    <s v="::ffff:127.0.0.1"/>
    <s v="Apache-HttpClient/4.5.14 (Java/21.0.11)"/>
    <d v="2026-05-24T15:23:11"/>
  </r>
  <r>
    <s v="cmpjxftco01gqw2rwptdfb42j"/>
    <x v="9"/>
    <s v="POST"/>
    <s v="/api/v1/pecas"/>
    <s v="/api/v1/pecas/"/>
    <x v="3"/>
    <x v="843"/>
    <d v="2026-05-24T15:23:11"/>
    <d v="2026-05-24T15:23:11"/>
    <s v="::ffff:127.0.0.1"/>
    <s v="Apache-HttpClient/4.5.14 (Java/21.0.11)"/>
    <d v="2026-05-24T15:23: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A2B82-FD10-4CB0-B97D-72275A3123AA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quisição">
  <location ref="H4:L15" firstHeaderRow="0" firstDataRow="1" firstDataCol="1"/>
  <pivotFields count="12">
    <pivotField showAll="0"/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dataField="1" showAll="0"/>
    <pivotField numFmtId="22" showAll="0"/>
    <pivotField numFmtId="22" showAll="0"/>
    <pivotField showAll="0"/>
    <pivotField showAll="0"/>
    <pivotField numFmtId="22" showAll="0"/>
  </pivotFields>
  <rowFields count="2">
    <field x="1"/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uantidade de Amostras (n)" fld="6" subtotal="count" baseField="0" baseItem="0"/>
    <dataField name="Média de Duração (ms)" fld="6" subtotal="average" baseField="1" baseItem="0"/>
    <dataField name="Mín. de Duração (ms)" fld="6" subtotal="min" baseField="1" baseItem="0"/>
    <dataField name="Máx. de Duração (ms)" fld="6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2CAF8-7AD9-4E00-AD93-E934952716F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quisição">
  <location ref="B4:F15" firstHeaderRow="0" firstDataRow="1" firstDataCol="1"/>
  <pivotFields count="12">
    <pivotField showAll="0"/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>
      <items count="99">
        <item x="57"/>
        <item x="53"/>
        <item x="54"/>
        <item x="55"/>
        <item x="52"/>
        <item x="76"/>
        <item x="50"/>
        <item x="58"/>
        <item x="51"/>
        <item x="38"/>
        <item x="37"/>
        <item x="72"/>
        <item x="33"/>
        <item x="71"/>
        <item x="42"/>
        <item x="65"/>
        <item x="34"/>
        <item x="56"/>
        <item x="70"/>
        <item x="32"/>
        <item x="48"/>
        <item x="36"/>
        <item x="30"/>
        <item x="39"/>
        <item x="40"/>
        <item x="41"/>
        <item x="35"/>
        <item x="69"/>
        <item x="73"/>
        <item x="77"/>
        <item x="43"/>
        <item x="64"/>
        <item x="60"/>
        <item x="74"/>
        <item x="31"/>
        <item x="63"/>
        <item x="75"/>
        <item x="67"/>
        <item x="47"/>
        <item x="45"/>
        <item x="68"/>
        <item x="44"/>
        <item x="62"/>
        <item x="66"/>
        <item x="59"/>
        <item x="61"/>
        <item x="24"/>
        <item x="0"/>
        <item x="46"/>
        <item x="2"/>
        <item x="28"/>
        <item x="23"/>
        <item x="5"/>
        <item x="9"/>
        <item x="8"/>
        <item x="22"/>
        <item x="21"/>
        <item x="4"/>
        <item x="7"/>
        <item x="1"/>
        <item x="6"/>
        <item x="29"/>
        <item x="25"/>
        <item x="20"/>
        <item x="3"/>
        <item x="84"/>
        <item x="26"/>
        <item x="90"/>
        <item x="82"/>
        <item x="83"/>
        <item x="80"/>
        <item x="94"/>
        <item x="87"/>
        <item x="96"/>
        <item x="27"/>
        <item x="93"/>
        <item x="85"/>
        <item x="97"/>
        <item x="92"/>
        <item x="95"/>
        <item x="86"/>
        <item x="79"/>
        <item x="81"/>
        <item x="89"/>
        <item x="91"/>
        <item x="78"/>
        <item x="12"/>
        <item x="18"/>
        <item x="13"/>
        <item x="10"/>
        <item x="19"/>
        <item x="16"/>
        <item x="14"/>
        <item x="15"/>
        <item x="11"/>
        <item x="88"/>
        <item x="17"/>
        <item x="49"/>
        <item t="default"/>
      </items>
    </pivotField>
    <pivotField numFmtId="22" showAll="0"/>
    <pivotField numFmtId="22" showAll="0"/>
    <pivotField showAll="0"/>
    <pivotField showAll="0"/>
    <pivotField numFmtId="22" showAll="0"/>
  </pivotFields>
  <rowFields count="2">
    <field x="1"/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uantidade de Amostras (n)" fld="6" subtotal="count" baseField="0" baseItem="0"/>
    <dataField name="Média de Duração (ms)" fld="6" subtotal="average" baseField="1" baseItem="0"/>
    <dataField name="Mín. de Duração (ms)" fld="6" subtotal="min" baseField="1" baseItem="0"/>
    <dataField name="Máx. de Duração (ms)" fld="6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AF5DC-37A6-4D2A-8810-1EDC4DA70BE4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4:R15" firstHeaderRow="0" firstDataRow="1" firstDataCol="1"/>
  <pivotFields count="12">
    <pivotField showAll="0"/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sd="0" x="0"/>
        <item x="4"/>
        <item sd="0" x="1"/>
        <item t="default"/>
      </items>
    </pivotField>
    <pivotField dataField="1" showAll="0">
      <items count="845">
        <item x="536"/>
        <item x="540"/>
        <item x="537"/>
        <item x="457"/>
        <item x="458"/>
        <item x="292"/>
        <item x="294"/>
        <item x="297"/>
        <item x="370"/>
        <item x="669"/>
        <item x="368"/>
        <item x="605"/>
        <item x="459"/>
        <item x="454"/>
        <item x="535"/>
        <item x="369"/>
        <item x="371"/>
        <item x="376"/>
        <item x="363"/>
        <item x="290"/>
        <item x="463"/>
        <item x="456"/>
        <item x="612"/>
        <item x="372"/>
        <item x="467"/>
        <item x="667"/>
        <item x="601"/>
        <item x="96"/>
        <item x="298"/>
        <item x="541"/>
        <item x="364"/>
        <item x="539"/>
        <item x="295"/>
        <item x="546"/>
        <item x="367"/>
        <item x="543"/>
        <item x="548"/>
        <item x="299"/>
        <item x="375"/>
        <item x="455"/>
        <item x="614"/>
        <item x="199"/>
        <item x="607"/>
        <item x="468"/>
        <item x="284"/>
        <item x="374"/>
        <item x="464"/>
        <item x="538"/>
        <item x="532"/>
        <item x="542"/>
        <item x="608"/>
        <item x="611"/>
        <item x="97"/>
        <item x="466"/>
        <item x="201"/>
        <item x="531"/>
        <item x="668"/>
        <item x="606"/>
        <item x="378"/>
        <item x="663"/>
        <item x="661"/>
        <item x="442"/>
        <item x="524"/>
        <item x="197"/>
        <item x="304"/>
        <item x="534"/>
        <item x="448"/>
        <item x="435"/>
        <item x="445"/>
        <item x="281"/>
        <item x="365"/>
        <item x="666"/>
        <item x="384"/>
        <item x="657"/>
        <item x="198"/>
        <item x="361"/>
        <item x="293"/>
        <item x="288"/>
        <item x="289"/>
        <item x="329"/>
        <item x="552"/>
        <item x="291"/>
        <item x="589"/>
        <item x="202"/>
        <item x="544"/>
        <item x="444"/>
        <item x="373"/>
        <item x="527"/>
        <item x="453"/>
        <item x="300"/>
        <item x="598"/>
        <item x="653"/>
        <item x="377"/>
        <item x="450"/>
        <item x="91"/>
        <item x="549"/>
        <item x="94"/>
        <item x="522"/>
        <item x="95"/>
        <item x="383"/>
        <item x="296"/>
        <item x="462"/>
        <item x="6"/>
        <item x="609"/>
        <item x="204"/>
        <item x="93"/>
        <item x="618"/>
        <item x="387"/>
        <item x="382"/>
        <item x="647"/>
        <item x="616"/>
        <item x="554"/>
        <item x="206"/>
        <item x="602"/>
        <item x="308"/>
        <item x="545"/>
        <item x="461"/>
        <item x="656"/>
        <item x="508"/>
        <item x="426"/>
        <item x="303"/>
        <item x="452"/>
        <item x="272"/>
        <item x="437"/>
        <item x="1"/>
        <item x="415"/>
        <item x="346"/>
        <item x="306"/>
        <item x="379"/>
        <item x="604"/>
        <item x="85"/>
        <item x="670"/>
        <item x="388"/>
        <item x="427"/>
        <item x="264"/>
        <item x="615"/>
        <item x="5"/>
        <item x="208"/>
        <item x="271"/>
        <item x="399"/>
        <item x="389"/>
        <item x="76"/>
        <item x="509"/>
        <item x="309"/>
        <item x="655"/>
        <item x="210"/>
        <item x="2"/>
        <item x="530"/>
        <item x="517"/>
        <item x="207"/>
        <item x="232"/>
        <item x="451"/>
        <item x="586"/>
        <item x="285"/>
        <item x="352"/>
        <item x="314"/>
        <item x="270"/>
        <item x="277"/>
        <item x="287"/>
        <item x="338"/>
        <item x="619"/>
        <item x="350"/>
        <item x="520"/>
        <item x="47"/>
        <item x="212"/>
        <item x="280"/>
        <item x="491"/>
        <item x="83"/>
        <item x="244"/>
        <item x="320"/>
        <item x="436"/>
        <item x="89"/>
        <item x="662"/>
        <item x="583"/>
        <item x="321"/>
        <item x="356"/>
        <item x="390"/>
        <item x="286"/>
        <item x="759"/>
        <item x="659"/>
        <item x="325"/>
        <item x="333"/>
        <item x="432"/>
        <item x="603"/>
        <item x="495"/>
        <item x="610"/>
        <item x="439"/>
        <item x="418"/>
        <item x="570"/>
        <item x="409"/>
        <item x="342"/>
        <item x="613"/>
        <item x="407"/>
        <item x="469"/>
        <item x="413"/>
        <item x="256"/>
        <item x="652"/>
        <item x="449"/>
        <item x="326"/>
        <item x="408"/>
        <item x="423"/>
        <item x="593"/>
        <item x="514"/>
        <item x="574"/>
        <item x="425"/>
        <item x="381"/>
        <item x="78"/>
        <item x="525"/>
        <item x="339"/>
        <item x="214"/>
        <item x="260"/>
        <item x="334"/>
        <item x="315"/>
        <item x="405"/>
        <item x="209"/>
        <item x="553"/>
        <item x="337"/>
        <item x="343"/>
        <item x="203"/>
        <item x="200"/>
        <item x="757"/>
        <item x="353"/>
        <item x="359"/>
        <item x="493"/>
        <item x="590"/>
        <item x="599"/>
        <item x="104"/>
        <item x="259"/>
        <item x="515"/>
        <item x="205"/>
        <item x="82"/>
        <item x="547"/>
        <item x="81"/>
        <item x="386"/>
        <item x="258"/>
        <item x="419"/>
        <item x="592"/>
        <item x="446"/>
        <item x="617"/>
        <item x="88"/>
        <item x="340"/>
        <item x="335"/>
        <item x="268"/>
        <item x="648"/>
        <item x="620"/>
        <item x="658"/>
        <item x="417"/>
        <item x="665"/>
        <item x="357"/>
        <item x="597"/>
        <item x="75"/>
        <item x="391"/>
        <item x="211"/>
        <item x="59"/>
        <item x="630"/>
        <item x="239"/>
        <item x="634"/>
        <item x="513"/>
        <item x="362"/>
        <item x="276"/>
        <item x="34"/>
        <item x="424"/>
        <item x="4"/>
        <item x="487"/>
        <item x="486"/>
        <item x="195"/>
        <item x="380"/>
        <item x="584"/>
        <item x="639"/>
        <item x="441"/>
        <item x="403"/>
        <item x="316"/>
        <item x="842"/>
        <item x="477"/>
        <item x="758"/>
        <item x="580"/>
        <item x="51"/>
        <item x="561"/>
        <item x="560"/>
        <item x="322"/>
        <item x="596"/>
        <item x="447"/>
        <item x="102"/>
        <item x="219"/>
        <item x="341"/>
        <item x="420"/>
        <item x="213"/>
        <item x="255"/>
        <item x="626"/>
        <item x="237"/>
        <item x="674"/>
        <item x="282"/>
        <item x="87"/>
        <item x="347"/>
        <item x="410"/>
        <item x="664"/>
        <item x="351"/>
        <item x="307"/>
        <item x="15"/>
        <item x="641"/>
        <item x="627"/>
        <item x="366"/>
        <item x="500"/>
        <item x="262"/>
        <item x="269"/>
        <item x="275"/>
        <item x="625"/>
        <item x="302"/>
        <item x="434"/>
        <item x="579"/>
        <item x="311"/>
        <item x="324"/>
        <item x="265"/>
        <item x="74"/>
        <item x="476"/>
        <item x="843"/>
        <item x="358"/>
        <item x="327"/>
        <item x="837"/>
        <item x="330"/>
        <item x="571"/>
        <item x="323"/>
        <item x="40"/>
        <item x="257"/>
        <item x="519"/>
        <item x="588"/>
        <item x="249"/>
        <item x="354"/>
        <item x="14"/>
        <item x="551"/>
        <item x="283"/>
        <item x="331"/>
        <item x="631"/>
        <item x="521"/>
        <item x="77"/>
        <item x="555"/>
        <item x="433"/>
        <item x="273"/>
        <item x="562"/>
        <item x="496"/>
        <item x="526"/>
        <item x="404"/>
        <item x="318"/>
        <item x="660"/>
        <item x="422"/>
        <item x="10"/>
        <item x="66"/>
        <item x="428"/>
        <item x="622"/>
        <item x="756"/>
        <item x="621"/>
        <item x="251"/>
        <item x="421"/>
        <item x="248"/>
        <item x="12"/>
        <item x="305"/>
        <item x="344"/>
        <item x="355"/>
        <item x="760"/>
        <item x="563"/>
        <item x="250"/>
        <item x="11"/>
        <item x="471"/>
        <item x="229"/>
        <item x="101"/>
        <item x="360"/>
        <item x="632"/>
        <item x="108"/>
        <item x="482"/>
        <item x="581"/>
        <item x="225"/>
        <item x="49"/>
        <item x="628"/>
        <item x="642"/>
        <item x="252"/>
        <item x="400"/>
        <item x="246"/>
        <item x="336"/>
        <item x="7"/>
        <item x="29"/>
        <item x="332"/>
        <item x="624"/>
        <item x="594"/>
        <item x="60"/>
        <item x="263"/>
        <item x="221"/>
        <item x="443"/>
        <item x="217"/>
        <item x="473"/>
        <item x="70"/>
        <item x="92"/>
        <item x="236"/>
        <item x="431"/>
        <item x="348"/>
        <item x="485"/>
        <item x="16"/>
        <item x="266"/>
        <item x="247"/>
        <item x="840"/>
        <item x="223"/>
        <item x="395"/>
        <item x="629"/>
        <item x="233"/>
        <item x="396"/>
        <item x="429"/>
        <item x="762"/>
        <item x="478"/>
        <item x="100"/>
        <item x="591"/>
        <item x="196"/>
        <item x="69"/>
        <item x="301"/>
        <item x="22"/>
        <item x="21"/>
        <item x="677"/>
        <item x="566"/>
        <item x="80"/>
        <item x="402"/>
        <item x="30"/>
        <item x="438"/>
        <item x="440"/>
        <item x="38"/>
        <item x="414"/>
        <item x="411"/>
        <item x="278"/>
        <item x="572"/>
        <item x="507"/>
        <item x="310"/>
        <item x="401"/>
        <item x="33"/>
        <item x="582"/>
        <item x="600"/>
        <item x="397"/>
        <item x="567"/>
        <item x="72"/>
        <item x="649"/>
        <item x="643"/>
        <item x="654"/>
        <item x="31"/>
        <item x="394"/>
        <item x="224"/>
        <item x="349"/>
        <item x="218"/>
        <item x="106"/>
        <item x="672"/>
        <item x="194"/>
        <item x="484"/>
        <item x="253"/>
        <item x="50"/>
        <item x="62"/>
        <item x="234"/>
        <item x="640"/>
        <item x="43"/>
        <item x="650"/>
        <item x="558"/>
        <item x="550"/>
        <item x="193"/>
        <item x="24"/>
        <item x="42"/>
        <item x="623"/>
        <item x="393"/>
        <item x="254"/>
        <item x="109"/>
        <item x="568"/>
        <item x="227"/>
        <item x="636"/>
        <item x="61"/>
        <item x="222"/>
        <item x="9"/>
        <item x="68"/>
        <item x="559"/>
        <item x="267"/>
        <item x="651"/>
        <item x="192"/>
        <item x="39"/>
        <item x="564"/>
        <item x="261"/>
        <item x="569"/>
        <item x="313"/>
        <item x="557"/>
        <item x="215"/>
        <item x="483"/>
        <item x="494"/>
        <item x="502"/>
        <item x="638"/>
        <item x="279"/>
        <item x="52"/>
        <item x="317"/>
        <item x="226"/>
        <item x="105"/>
        <item x="111"/>
        <item x="645"/>
        <item x="755"/>
        <item x="228"/>
        <item x="103"/>
        <item x="841"/>
        <item x="41"/>
        <item x="681"/>
        <item x="28"/>
        <item x="768"/>
        <item x="385"/>
        <item x="240"/>
        <item x="475"/>
        <item x="238"/>
        <item x="274"/>
        <item x="587"/>
        <item x="763"/>
        <item x="235"/>
        <item x="578"/>
        <item x="328"/>
        <item x="32"/>
        <item x="646"/>
        <item x="189"/>
        <item x="67"/>
        <item x="113"/>
        <item x="754"/>
        <item x="110"/>
        <item x="744"/>
        <item x="717"/>
        <item x="753"/>
        <item x="678"/>
        <item x="392"/>
        <item x="676"/>
        <item x="412"/>
        <item x="23"/>
        <item x="501"/>
        <item x="751"/>
        <item x="556"/>
        <item x="98"/>
        <item x="190"/>
        <item x="416"/>
        <item x="245"/>
        <item x="140"/>
        <item x="573"/>
        <item x="839"/>
        <item x="191"/>
        <item x="230"/>
        <item x="637"/>
        <item x="745"/>
        <item x="673"/>
        <item x="120"/>
        <item x="737"/>
        <item x="116"/>
        <item x="635"/>
        <item x="577"/>
        <item x="48"/>
        <item x="243"/>
        <item x="838"/>
        <item x="835"/>
        <item x="220"/>
        <item x="398"/>
        <item x="114"/>
        <item x="836"/>
        <item x="770"/>
        <item x="57"/>
        <item x="176"/>
        <item x="682"/>
        <item x="742"/>
        <item x="741"/>
        <item x="750"/>
        <item x="406"/>
        <item x="730"/>
        <item x="765"/>
        <item x="18"/>
        <item x="747"/>
        <item x="575"/>
        <item x="216"/>
        <item x="177"/>
        <item x="727"/>
        <item x="834"/>
        <item x="766"/>
        <item x="809"/>
        <item x="184"/>
        <item x="733"/>
        <item x="172"/>
        <item x="492"/>
        <item x="241"/>
        <item x="121"/>
        <item x="183"/>
        <item x="130"/>
        <item x="345"/>
        <item x="188"/>
        <item x="171"/>
        <item x="185"/>
        <item x="683"/>
        <item x="585"/>
        <item x="158"/>
        <item x="731"/>
        <item x="169"/>
        <item x="699"/>
        <item x="182"/>
        <item x="242"/>
        <item x="764"/>
        <item x="832"/>
        <item x="738"/>
        <item x="312"/>
        <item x="761"/>
        <item x="808"/>
        <item x="175"/>
        <item x="167"/>
        <item x="735"/>
        <item x="716"/>
        <item x="58"/>
        <item x="174"/>
        <item x="722"/>
        <item x="115"/>
        <item x="117"/>
        <item x="178"/>
        <item x="740"/>
        <item x="680"/>
        <item x="166"/>
        <item x="820"/>
        <item x="112"/>
        <item x="20"/>
        <item x="319"/>
        <item x="771"/>
        <item x="691"/>
        <item x="811"/>
        <item x="827"/>
        <item x="138"/>
        <item x="739"/>
        <item x="821"/>
        <item x="709"/>
        <item x="186"/>
        <item x="818"/>
        <item x="690"/>
        <item x="810"/>
        <item x="685"/>
        <item x="152"/>
        <item x="170"/>
        <item x="231"/>
        <item x="122"/>
        <item x="732"/>
        <item x="142"/>
        <item x="767"/>
        <item x="725"/>
        <item x="161"/>
        <item x="695"/>
        <item x="687"/>
        <item x="151"/>
        <item x="157"/>
        <item x="162"/>
        <item x="700"/>
        <item x="173"/>
        <item x="132"/>
        <item x="775"/>
        <item x="713"/>
        <item x="633"/>
        <item x="150"/>
        <item x="746"/>
        <item x="160"/>
        <item x="179"/>
        <item x="819"/>
        <item x="159"/>
        <item x="823"/>
        <item x="181"/>
        <item x="131"/>
        <item x="148"/>
        <item x="180"/>
        <item x="828"/>
        <item x="118"/>
        <item x="141"/>
        <item x="168"/>
        <item x="829"/>
        <item x="812"/>
        <item x="163"/>
        <item x="726"/>
        <item x="833"/>
        <item x="688"/>
        <item x="773"/>
        <item x="187"/>
        <item x="712"/>
        <item x="805"/>
        <item x="774"/>
        <item x="123"/>
        <item x="723"/>
        <item x="139"/>
        <item x="786"/>
        <item x="715"/>
        <item x="153"/>
        <item x="830"/>
        <item x="800"/>
        <item x="144"/>
        <item x="129"/>
        <item x="799"/>
        <item x="789"/>
        <item x="124"/>
        <item x="576"/>
        <item x="772"/>
        <item x="826"/>
        <item x="822"/>
        <item x="825"/>
        <item x="724"/>
        <item x="689"/>
        <item x="128"/>
        <item x="708"/>
        <item x="696"/>
        <item x="704"/>
        <item x="802"/>
        <item x="133"/>
        <item x="787"/>
        <item x="790"/>
        <item x="791"/>
        <item x="143"/>
        <item x="119"/>
        <item x="804"/>
        <item x="164"/>
        <item x="782"/>
        <item x="801"/>
        <item x="154"/>
        <item x="792"/>
        <item x="796"/>
        <item x="781"/>
        <item x="779"/>
        <item x="783"/>
        <item x="565"/>
        <item x="795"/>
        <item x="705"/>
        <item x="794"/>
        <item x="780"/>
        <item x="816"/>
        <item x="125"/>
        <item x="806"/>
        <item x="803"/>
        <item x="824"/>
        <item x="807"/>
        <item x="813"/>
        <item x="145"/>
        <item x="155"/>
        <item x="831"/>
        <item x="165"/>
        <item x="788"/>
        <item x="817"/>
        <item x="126"/>
        <item x="127"/>
        <item x="778"/>
        <item x="146"/>
        <item x="777"/>
        <item x="134"/>
        <item x="156"/>
        <item x="135"/>
        <item x="707"/>
        <item x="714"/>
        <item x="814"/>
        <item x="147"/>
        <item x="798"/>
        <item x="784"/>
        <item x="706"/>
        <item x="697"/>
        <item x="149"/>
        <item x="815"/>
        <item x="785"/>
        <item x="136"/>
        <item x="769"/>
        <item x="776"/>
        <item x="797"/>
        <item x="137"/>
        <item x="45"/>
        <item x="505"/>
        <item x="718"/>
        <item x="25"/>
        <item x="19"/>
        <item x="506"/>
        <item x="481"/>
        <item x="480"/>
        <item x="8"/>
        <item x="512"/>
        <item x="63"/>
        <item x="35"/>
        <item x="470"/>
        <item x="17"/>
        <item x="64"/>
        <item x="46"/>
        <item x="497"/>
        <item x="36"/>
        <item x="53"/>
        <item x="703"/>
        <item x="510"/>
        <item x="498"/>
        <item x="719"/>
        <item x="499"/>
        <item x="710"/>
        <item x="720"/>
        <item x="511"/>
        <item x="518"/>
        <item x="430"/>
        <item x="26"/>
        <item x="711"/>
        <item x="721"/>
        <item x="694"/>
        <item x="37"/>
        <item x="701"/>
        <item x="692"/>
        <item x="644"/>
        <item x="65"/>
        <item x="702"/>
        <item x="693"/>
        <item x="27"/>
        <item x="54"/>
        <item x="107"/>
        <item x="55"/>
        <item x="752"/>
        <item x="671"/>
        <item x="529"/>
        <item x="56"/>
        <item x="698"/>
        <item x="99"/>
        <item x="734"/>
        <item x="460"/>
        <item x="528"/>
        <item x="748"/>
        <item x="793"/>
        <item x="0"/>
        <item x="749"/>
        <item x="90"/>
        <item x="3"/>
        <item x="13"/>
        <item x="465"/>
        <item x="728"/>
        <item x="743"/>
        <item x="86"/>
        <item x="595"/>
        <item x="736"/>
        <item x="523"/>
        <item x="675"/>
        <item x="503"/>
        <item x="679"/>
        <item x="79"/>
        <item x="684"/>
        <item x="516"/>
        <item x="533"/>
        <item x="729"/>
        <item x="686"/>
        <item x="71"/>
        <item x="44"/>
        <item x="488"/>
        <item x="472"/>
        <item x="489"/>
        <item x="73"/>
        <item x="84"/>
        <item x="490"/>
        <item x="479"/>
        <item x="474"/>
        <item x="504"/>
        <item t="default"/>
      </items>
    </pivotField>
    <pivotField numFmtId="22" showAll="0"/>
    <pivotField numFmtId="22" showAll="0"/>
    <pivotField showAll="0"/>
    <pivotField showAll="0"/>
    <pivotField numFmtId="22" showAll="0"/>
  </pivotFields>
  <rowFields count="2">
    <field x="1"/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ntagem de duracaoMs" fld="6" subtotal="count" baseField="0" baseItem="0"/>
    <dataField name="Média de duracaoMs2" fld="6" subtotal="average" baseField="1" baseItem="0"/>
    <dataField name="Mín. de duracaoMs2" fld="6" subtotal="min" baseField="1" baseItem="0"/>
    <dataField name="Máx. de duracaoMs2" fld="6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D38FA7D-EB7D-4322-994C-66639FB25694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12" dataBound="0" tableColumnId="12"/>
      <queryTableField id="2" name="metodo" tableColumnId="2"/>
      <queryTableField id="3" name="caminho" tableColumnId="3"/>
      <queryTableField id="4" name="rota" tableColumnId="4"/>
      <queryTableField id="5" name="statusCode" tableColumnId="5"/>
      <queryTableField id="6" name="duracaoMs" tableColumnId="6"/>
      <queryTableField id="7" name="iniciadoEm" tableColumnId="7"/>
      <queryTableField id="8" name="finalizadoEm" tableColumnId="8"/>
      <queryTableField id="9" name="ip" tableColumnId="9"/>
      <queryTableField id="10" name="userAgent" tableColumnId="10"/>
      <queryTableField id="11" name="createdA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275D89D7-9FA0-4BF2-BD8F-B2E39E5D6B75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12" dataBound="0" tableColumnId="12"/>
      <queryTableField id="2" name="metodo" tableColumnId="2"/>
      <queryTableField id="3" name="caminho" tableColumnId="3"/>
      <queryTableField id="4" name="rota" tableColumnId="4"/>
      <queryTableField id="5" name="statusCode" tableColumnId="5"/>
      <queryTableField id="6" name="duracaoMs" tableColumnId="6"/>
      <queryTableField id="7" name="iniciadoEm" tableColumnId="7"/>
      <queryTableField id="8" name="finalizadoEm" tableColumnId="8"/>
      <queryTableField id="9" name="ip" tableColumnId="9"/>
      <queryTableField id="10" name="userAgent" tableColumnId="10"/>
      <queryTableField id="11" name="createdA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2053E8B-8E0C-4167-92A7-6E2BB1B38601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12" dataBound="0" tableColumnId="12"/>
      <queryTableField id="2" name="metodo" tableColumnId="2"/>
      <queryTableField id="3" name="caminho" tableColumnId="3"/>
      <queryTableField id="4" name="rota" tableColumnId="4"/>
      <queryTableField id="5" name="statusCode" tableColumnId="5"/>
      <queryTableField id="6" name="duracaoMs" tableColumnId="6"/>
      <queryTableField id="7" name="iniciadoEm" tableColumnId="7"/>
      <queryTableField id="8" name="finalizadoEm" tableColumnId="8"/>
      <queryTableField id="9" name="ip" tableColumnId="9"/>
      <queryTableField id="10" name="userAgent" tableColumnId="10"/>
      <queryTableField id="11" name="createdA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F66524-05B8-4543-A468-106C3CFF38B9}" name="resultado_db_usuario_1" displayName="resultado_db_usuario_1" ref="A1:L101" tableType="queryTable" totalsRowShown="0">
  <autoFilter ref="A1:L101" xr:uid="{7DF66524-05B8-4543-A468-106C3CFF38B9}"/>
  <sortState xmlns:xlrd2="http://schemas.microsoft.com/office/spreadsheetml/2017/richdata2" ref="A2:L101">
    <sortCondition ref="B1:B101"/>
  </sortState>
  <tableColumns count="12">
    <tableColumn id="1" xr3:uid="{C2341E1D-A518-42FA-AE62-D9A93121F670}" uniqueName="1" name="id" queryTableFieldId="1" dataDxfId="32"/>
    <tableColumn id="12" xr3:uid="{AC3DCC79-F82D-49BB-91E0-6DEC78E61F74}" uniqueName="12" name="requisição" queryTableFieldId="12" dataDxfId="31">
      <calculatedColumnFormula>resultado_db_usuario_1[[#This Row],[metodo]]&amp;" "&amp;SUBSTITUTE(resultado_db_usuario_1[[#This Row],[rota]],"/api/v1","")</calculatedColumnFormula>
    </tableColumn>
    <tableColumn id="2" xr3:uid="{2FBB620A-4A17-46E5-91CB-C672875315EA}" uniqueName="2" name="metodo" queryTableFieldId="2" dataDxfId="30"/>
    <tableColumn id="3" xr3:uid="{913A9624-6A9B-4170-976F-A9A3900616F9}" uniqueName="3" name="caminho" queryTableFieldId="3" dataDxfId="29"/>
    <tableColumn id="4" xr3:uid="{7278C2BA-EA19-439E-823F-7F7EFC8CCF57}" uniqueName="4" name="rota" queryTableFieldId="4" dataDxfId="28"/>
    <tableColumn id="5" xr3:uid="{FBA6D3A2-44CC-45F6-9ED7-548AFD718326}" uniqueName="5" name="statusCode" queryTableFieldId="5"/>
    <tableColumn id="6" xr3:uid="{06FBF870-32DF-41A2-BB9A-30BA1E586000}" uniqueName="6" name="duracaoMs" queryTableFieldId="6" dataDxfId="27"/>
    <tableColumn id="7" xr3:uid="{35AFD835-8FAF-42ED-89F2-34A9BE2BCDDF}" uniqueName="7" name="iniciadoEm" queryTableFieldId="7" dataDxfId="26"/>
    <tableColumn id="8" xr3:uid="{715C60DE-ABCC-4784-906E-2981E99070FF}" uniqueName="8" name="finalizadoEm" queryTableFieldId="8" dataDxfId="25"/>
    <tableColumn id="9" xr3:uid="{D8C827A5-9CDD-4308-91BF-09F95E698685}" uniqueName="9" name="ip" queryTableFieldId="9" dataDxfId="24"/>
    <tableColumn id="10" xr3:uid="{F7490ABD-8C76-4560-BE15-7346F26C838A}" uniqueName="10" name="userAgent" queryTableFieldId="10" dataDxfId="23"/>
    <tableColumn id="11" xr3:uid="{91579E04-0DAC-413A-B482-A5E9C666FF96}" uniqueName="11" name="createdAt" queryTableFieldId="11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89251-34AF-472B-8DFA-FCF205C9E559}" name="resultado_db_usuario_5" displayName="resultado_db_usuario_5" ref="A1:L501" tableType="queryTable" totalsRowShown="0">
  <autoFilter ref="A1:L501" xr:uid="{D7C89251-34AF-472B-8DFA-FCF205C9E559}"/>
  <sortState xmlns:xlrd2="http://schemas.microsoft.com/office/spreadsheetml/2017/richdata2" ref="A2:L501">
    <sortCondition ref="B1:B501"/>
  </sortState>
  <tableColumns count="12">
    <tableColumn id="1" xr3:uid="{79256608-84F3-4D4B-AB2A-3A8A267EC0C9}" uniqueName="1" name="id" queryTableFieldId="1" dataDxfId="21"/>
    <tableColumn id="12" xr3:uid="{3F038A17-4410-4EA0-AF93-CEE51DE73881}" uniqueName="12" name="requisição" queryTableFieldId="12" dataDxfId="20">
      <calculatedColumnFormula>resultado_db_usuario_5[[#This Row],[metodo]]&amp;" "&amp;SUBSTITUTE(resultado_db_usuario_5[[#This Row],[rota]],"/api/v1","")</calculatedColumnFormula>
    </tableColumn>
    <tableColumn id="2" xr3:uid="{9EA939DC-965B-44E8-A5B0-77D4EF40D224}" uniqueName="2" name="metodo" queryTableFieldId="2" dataDxfId="19"/>
    <tableColumn id="3" xr3:uid="{2B286556-F29F-4622-8882-74BAA165A663}" uniqueName="3" name="caminho" queryTableFieldId="3" dataDxfId="18"/>
    <tableColumn id="4" xr3:uid="{120BF997-C6B6-4634-931F-A9E94780A937}" uniqueName="4" name="rota" queryTableFieldId="4" dataDxfId="17"/>
    <tableColumn id="5" xr3:uid="{A65D54D1-3B0D-4B78-A563-42267E57AE69}" uniqueName="5" name="statusCode" queryTableFieldId="5"/>
    <tableColumn id="6" xr3:uid="{3773915F-419A-497A-8A7F-BDF20F15278A}" uniqueName="6" name="duracaoMs" queryTableFieldId="6" dataDxfId="16"/>
    <tableColumn id="7" xr3:uid="{6647DF22-C0AD-4904-89F9-6866EB2538BC}" uniqueName="7" name="iniciadoEm" queryTableFieldId="7" dataDxfId="15"/>
    <tableColumn id="8" xr3:uid="{BD211087-E7C1-42F8-AD5B-4D01CD391710}" uniqueName="8" name="finalizadoEm" queryTableFieldId="8" dataDxfId="14"/>
    <tableColumn id="9" xr3:uid="{B8F3C2D1-84F5-4147-B47D-C3416638B098}" uniqueName="9" name="ip" queryTableFieldId="9" dataDxfId="13"/>
    <tableColumn id="10" xr3:uid="{3FB0AF19-51C6-491F-82CC-4933A4FB1754}" uniqueName="10" name="userAgent" queryTableFieldId="10" dataDxfId="12"/>
    <tableColumn id="11" xr3:uid="{A728684F-4952-4BB1-B88B-EF454525DCEE}" uniqueName="11" name="createdAt" queryTableFieldId="11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7B2D2F-3C4A-4FEE-B4A4-EBFBD6A2D8F9}" name="resultado_db_usuario_10" displayName="resultado_db_usuario_10" ref="A1:L1001" tableType="queryTable" totalsRowShown="0">
  <autoFilter ref="A1:L1001" xr:uid="{6B7B2D2F-3C4A-4FEE-B4A4-EBFBD6A2D8F9}">
    <filterColumn colId="3">
      <filters>
        <filter val="/api/v1/aeronaves"/>
        <filter val="/api/v1/etapas"/>
        <filter val="/api/v1/funcionarios"/>
        <filter val="/api/v1/pecas"/>
        <filter val="/api/v1/pecas/21"/>
        <filter val="/api/v1/pecas/22"/>
        <filter val="/api/v1/pecas/23"/>
        <filter val="/api/v1/pecas/24"/>
        <filter val="/api/v1/pecas/25"/>
        <filter val="/api/v1/pecas/26"/>
        <filter val="/api/v1/pecas/27"/>
        <filter val="/api/v1/pecas/28"/>
        <filter val="/api/v1/pecas/29"/>
        <filter val="/api/v1/pecas/30"/>
        <filter val="/api/v1/pecas/31"/>
        <filter val="/api/v1/pecas/32"/>
        <filter val="/api/v1/pecas/33"/>
        <filter val="/api/v1/pecas/34"/>
        <filter val="/api/v1/pecas/35"/>
        <filter val="/api/v1/pecas/36"/>
        <filter val="/api/v1/pecas/37"/>
        <filter val="/api/v1/pecas/38"/>
        <filter val="/api/v1/pecas/39"/>
        <filter val="/api/v1/pecas/40"/>
        <filter val="/api/v1/pecas/41"/>
        <filter val="/api/v1/pecas/42"/>
        <filter val="/api/v1/pecas/43"/>
        <filter val="/api/v1/pecas/44"/>
        <filter val="/api/v1/pecas/45"/>
        <filter val="/api/v1/pecas/46"/>
        <filter val="/api/v1/pecas/47"/>
        <filter val="/api/v1/pecas/48"/>
        <filter val="/api/v1/pecas/49"/>
        <filter val="/api/v1/pecas/50"/>
        <filter val="/api/v1/pecas/51"/>
        <filter val="/api/v1/pecas/52"/>
        <filter val="/api/v1/pecas/53"/>
        <filter val="/api/v1/pecas/54"/>
        <filter val="/api/v1/pecas/55"/>
        <filter val="/api/v1/pecas/56"/>
        <filter val="/api/v1/pecas/57"/>
        <filter val="/api/v1/pecas/58"/>
        <filter val="/api/v1/pecas/59"/>
        <filter val="/api/v1/pecas/60"/>
        <filter val="/api/v1/pecas/61"/>
        <filter val="/api/v1/pecas/62"/>
        <filter val="/api/v1/pecas/63"/>
        <filter val="/api/v1/pecas/64"/>
        <filter val="/api/v1/pecas/65"/>
        <filter val="/api/v1/pecas/66"/>
        <filter val="/api/v1/pecas/67"/>
        <filter val="/api/v1/pecas/68"/>
        <filter val="/api/v1/pecas/69"/>
        <filter val="/api/v1/pecas/70"/>
        <filter val="/api/v1/pecas/71"/>
        <filter val="/api/v1/pecas/72"/>
        <filter val="/api/v1/pecas/73"/>
        <filter val="/api/v1/pecas/74"/>
        <filter val="/api/v1/relatorios"/>
        <filter val="/api/v1/testes"/>
      </filters>
    </filterColumn>
  </autoFilter>
  <sortState xmlns:xlrd2="http://schemas.microsoft.com/office/spreadsheetml/2017/richdata2" ref="A2:L1001">
    <sortCondition ref="B1:B1001"/>
  </sortState>
  <tableColumns count="12">
    <tableColumn id="1" xr3:uid="{AA4D6ECE-4D41-40D1-A698-A0A259605541}" uniqueName="1" name="id" queryTableFieldId="1" dataDxfId="10"/>
    <tableColumn id="12" xr3:uid="{F73BE703-2D14-4C84-81B8-5FB71009577E}" uniqueName="12" name="requisição" queryTableFieldId="12" dataDxfId="9">
      <calculatedColumnFormula>resultado_db_usuario_10[[#This Row],[metodo]]&amp;" "&amp;SUBSTITUTE(resultado_db_usuario_10[[#This Row],[rota]],"/api/v1","")</calculatedColumnFormula>
    </tableColumn>
    <tableColumn id="2" xr3:uid="{C5284414-AC91-4345-8F81-1E9A34E821E7}" uniqueName="2" name="metodo" queryTableFieldId="2" dataDxfId="8"/>
    <tableColumn id="3" xr3:uid="{E1E8E7B0-20C1-42C5-918B-3841F7DA34B8}" uniqueName="3" name="caminho" queryTableFieldId="3" dataDxfId="7"/>
    <tableColumn id="4" xr3:uid="{04891DB1-2455-4473-A670-C357705B8FC6}" uniqueName="4" name="rota" queryTableFieldId="4" dataDxfId="6"/>
    <tableColumn id="5" xr3:uid="{92BDBE68-3E40-4156-B404-1EC71271FB8D}" uniqueName="5" name="statusCode" queryTableFieldId="5"/>
    <tableColumn id="6" xr3:uid="{D5685610-AA96-4B84-852F-7D38D17D3DA4}" uniqueName="6" name="duracaoMs" queryTableFieldId="6" dataDxfId="5"/>
    <tableColumn id="7" xr3:uid="{33B025A5-8E0E-4B3F-9DB0-8DF2A13ACB92}" uniqueName="7" name="iniciadoEm" queryTableFieldId="7" dataDxfId="4"/>
    <tableColumn id="8" xr3:uid="{2EB9870A-EFA9-42C4-82F7-FC3EDF00B13F}" uniqueName="8" name="finalizadoEm" queryTableFieldId="8" dataDxfId="3"/>
    <tableColumn id="9" xr3:uid="{31B8D45F-21B4-41EC-9959-0E6F0F2CB6D0}" uniqueName="9" name="ip" queryTableFieldId="9" dataDxfId="2"/>
    <tableColumn id="10" xr3:uid="{4EBEC151-E47D-472B-83A9-4A33ABB1338F}" uniqueName="10" name="userAgent" queryTableFieldId="10" dataDxfId="1"/>
    <tableColumn id="11" xr3:uid="{9A2D0820-5320-4725-BBF4-069AB5DF12C7}" uniqueName="11" name="createdA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A2AF-411F-4E5F-9B04-E43DE7CFAA39}">
  <dimension ref="A1:L101"/>
  <sheetViews>
    <sheetView tabSelected="1" workbookViewId="0">
      <selection activeCell="B2" sqref="B2"/>
    </sheetView>
  </sheetViews>
  <sheetFormatPr defaultRowHeight="15" x14ac:dyDescent="0.25"/>
  <cols>
    <col min="1" max="1" width="31.7109375" bestFit="1" customWidth="1"/>
    <col min="2" max="2" width="20.42578125" customWidth="1"/>
    <col min="3" max="3" width="10.28515625" bestFit="1" customWidth="1"/>
    <col min="4" max="4" width="19.42578125" bestFit="1" customWidth="1"/>
    <col min="5" max="5" width="20.140625" bestFit="1" customWidth="1"/>
    <col min="6" max="6" width="13.7109375" bestFit="1" customWidth="1"/>
    <col min="7" max="7" width="13" bestFit="1" customWidth="1"/>
    <col min="8" max="9" width="15.5703125" bestFit="1" customWidth="1"/>
    <col min="10" max="10" width="12.7109375" bestFit="1" customWidth="1"/>
    <col min="11" max="11" width="36.140625" bestFit="1" customWidth="1"/>
    <col min="12" max="12" width="15.5703125" bestFit="1" customWidth="1"/>
  </cols>
  <sheetData>
    <row r="1" spans="1:12" x14ac:dyDescent="0.25">
      <c r="A1" t="s">
        <v>0</v>
      </c>
      <c r="B1" t="s">
        <v>135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39</v>
      </c>
      <c r="B2" t="str">
        <f>resultado_db_usuario_1[[#This Row],[metodo]]&amp;" "&amp;SUBSTITUTE(resultado_db_usuario_1[[#This Row],[rota]],"/api/v1","")</f>
        <v>DELETE /pecas/:id</v>
      </c>
      <c r="C2" t="s">
        <v>40</v>
      </c>
      <c r="D2" t="s">
        <v>36</v>
      </c>
      <c r="E2" t="s">
        <v>37</v>
      </c>
      <c r="F2">
        <v>204</v>
      </c>
      <c r="G2" s="2">
        <v>5.43</v>
      </c>
      <c r="H2" s="1">
        <v>46166.625350891205</v>
      </c>
      <c r="I2" s="1">
        <v>46166.625350960647</v>
      </c>
      <c r="J2" t="s">
        <v>15</v>
      </c>
      <c r="K2" t="s">
        <v>16</v>
      </c>
      <c r="L2" s="1">
        <v>46166.625350995368</v>
      </c>
    </row>
    <row r="3" spans="1:12" x14ac:dyDescent="0.25">
      <c r="A3" t="s">
        <v>50</v>
      </c>
      <c r="B3" t="str">
        <f>resultado_db_usuario_1[[#This Row],[metodo]]&amp;" "&amp;SUBSTITUTE(resultado_db_usuario_1[[#This Row],[rota]],"/api/v1","")</f>
        <v>DELETE /pecas/:id</v>
      </c>
      <c r="C3" t="s">
        <v>40</v>
      </c>
      <c r="D3" t="s">
        <v>36</v>
      </c>
      <c r="E3" t="s">
        <v>37</v>
      </c>
      <c r="F3">
        <v>204</v>
      </c>
      <c r="G3" s="2">
        <v>6.52</v>
      </c>
      <c r="H3" s="1">
        <v>46166.625351967596</v>
      </c>
      <c r="I3" s="1">
        <v>46166.625352048613</v>
      </c>
      <c r="J3" t="s">
        <v>15</v>
      </c>
      <c r="K3" t="s">
        <v>16</v>
      </c>
      <c r="L3" s="1">
        <v>46166.625352071758</v>
      </c>
    </row>
    <row r="4" spans="1:12" x14ac:dyDescent="0.25">
      <c r="A4" t="s">
        <v>60</v>
      </c>
      <c r="B4" t="str">
        <f>resultado_db_usuario_1[[#This Row],[metodo]]&amp;" "&amp;SUBSTITUTE(resultado_db_usuario_1[[#This Row],[rota]],"/api/v1","")</f>
        <v>DELETE /pecas/:id</v>
      </c>
      <c r="C4" t="s">
        <v>40</v>
      </c>
      <c r="D4" t="s">
        <v>36</v>
      </c>
      <c r="E4" t="s">
        <v>37</v>
      </c>
      <c r="F4">
        <v>204</v>
      </c>
      <c r="G4" s="2">
        <v>5.6</v>
      </c>
      <c r="H4" s="1">
        <v>46166.625352905095</v>
      </c>
      <c r="I4" s="1">
        <v>46166.625352974537</v>
      </c>
      <c r="J4" t="s">
        <v>15</v>
      </c>
      <c r="K4" t="s">
        <v>16</v>
      </c>
      <c r="L4" s="1">
        <v>46166.625353009258</v>
      </c>
    </row>
    <row r="5" spans="1:12" x14ac:dyDescent="0.25">
      <c r="A5" t="s">
        <v>70</v>
      </c>
      <c r="B5" t="str">
        <f>resultado_db_usuario_1[[#This Row],[metodo]]&amp;" "&amp;SUBSTITUTE(resultado_db_usuario_1[[#This Row],[rota]],"/api/v1","")</f>
        <v>DELETE /pecas/:id</v>
      </c>
      <c r="C5" t="s">
        <v>40</v>
      </c>
      <c r="D5" t="s">
        <v>36</v>
      </c>
      <c r="E5" t="s">
        <v>37</v>
      </c>
      <c r="F5">
        <v>204</v>
      </c>
      <c r="G5" s="2">
        <v>7.46</v>
      </c>
      <c r="H5" s="1">
        <v>46166.625353900461</v>
      </c>
      <c r="I5" s="1">
        <v>46166.625353981479</v>
      </c>
      <c r="J5" t="s">
        <v>15</v>
      </c>
      <c r="K5" t="s">
        <v>16</v>
      </c>
      <c r="L5" s="1">
        <v>46166.625354016207</v>
      </c>
    </row>
    <row r="6" spans="1:12" x14ac:dyDescent="0.25">
      <c r="A6" t="s">
        <v>80</v>
      </c>
      <c r="B6" t="str">
        <f>resultado_db_usuario_1[[#This Row],[metodo]]&amp;" "&amp;SUBSTITUTE(resultado_db_usuario_1[[#This Row],[rota]],"/api/v1","")</f>
        <v>DELETE /pecas/:id</v>
      </c>
      <c r="C6" t="s">
        <v>40</v>
      </c>
      <c r="D6" t="s">
        <v>36</v>
      </c>
      <c r="E6" t="s">
        <v>37</v>
      </c>
      <c r="F6">
        <v>204</v>
      </c>
      <c r="G6" s="2">
        <v>6.3</v>
      </c>
      <c r="H6" s="1">
        <v>46166.625354884258</v>
      </c>
      <c r="I6" s="1">
        <v>46166.625354953707</v>
      </c>
      <c r="J6" t="s">
        <v>15</v>
      </c>
      <c r="K6" t="s">
        <v>16</v>
      </c>
      <c r="L6" s="1">
        <v>46166.625354988428</v>
      </c>
    </row>
    <row r="7" spans="1:12" x14ac:dyDescent="0.25">
      <c r="A7" t="s">
        <v>90</v>
      </c>
      <c r="B7" t="str">
        <f>resultado_db_usuario_1[[#This Row],[metodo]]&amp;" "&amp;SUBSTITUTE(resultado_db_usuario_1[[#This Row],[rota]],"/api/v1","")</f>
        <v>DELETE /pecas/:id</v>
      </c>
      <c r="C7" t="s">
        <v>40</v>
      </c>
      <c r="D7" t="s">
        <v>36</v>
      </c>
      <c r="E7" t="s">
        <v>37</v>
      </c>
      <c r="F7">
        <v>204</v>
      </c>
      <c r="G7" s="2">
        <v>6.1</v>
      </c>
      <c r="H7" s="1">
        <v>46166.625355879631</v>
      </c>
      <c r="I7" s="1">
        <v>46166.625355949072</v>
      </c>
      <c r="J7" t="s">
        <v>15</v>
      </c>
      <c r="K7" t="s">
        <v>16</v>
      </c>
      <c r="L7" s="1">
        <v>46166.625355983793</v>
      </c>
    </row>
    <row r="8" spans="1:12" x14ac:dyDescent="0.25">
      <c r="A8" t="s">
        <v>100</v>
      </c>
      <c r="B8" t="str">
        <f>resultado_db_usuario_1[[#This Row],[metodo]]&amp;" "&amp;SUBSTITUTE(resultado_db_usuario_1[[#This Row],[rota]],"/api/v1","")</f>
        <v>DELETE /pecas/:id</v>
      </c>
      <c r="C8" t="s">
        <v>40</v>
      </c>
      <c r="D8" t="s">
        <v>36</v>
      </c>
      <c r="E8" t="s">
        <v>37</v>
      </c>
      <c r="F8">
        <v>204</v>
      </c>
      <c r="G8" s="2">
        <v>6.66</v>
      </c>
      <c r="H8" s="1">
        <v>46166.625356932869</v>
      </c>
      <c r="I8" s="1">
        <v>46166.625357013887</v>
      </c>
      <c r="J8" t="s">
        <v>15</v>
      </c>
      <c r="K8" t="s">
        <v>16</v>
      </c>
      <c r="L8" s="1">
        <v>46166.625357048608</v>
      </c>
    </row>
    <row r="9" spans="1:12" x14ac:dyDescent="0.25">
      <c r="A9" t="s">
        <v>110</v>
      </c>
      <c r="B9" t="str">
        <f>resultado_db_usuario_1[[#This Row],[metodo]]&amp;" "&amp;SUBSTITUTE(resultado_db_usuario_1[[#This Row],[rota]],"/api/v1","")</f>
        <v>DELETE /pecas/:id</v>
      </c>
      <c r="C9" t="s">
        <v>40</v>
      </c>
      <c r="D9" t="s">
        <v>36</v>
      </c>
      <c r="E9" t="s">
        <v>37</v>
      </c>
      <c r="F9">
        <v>204</v>
      </c>
      <c r="G9" s="2">
        <v>6.38</v>
      </c>
      <c r="H9" s="1">
        <v>46166.625358101854</v>
      </c>
      <c r="I9" s="1">
        <v>46166.625358182871</v>
      </c>
      <c r="J9" t="s">
        <v>15</v>
      </c>
      <c r="K9" t="s">
        <v>16</v>
      </c>
      <c r="L9" s="1">
        <v>46166.625358206016</v>
      </c>
    </row>
    <row r="10" spans="1:12" x14ac:dyDescent="0.25">
      <c r="A10" t="s">
        <v>120</v>
      </c>
      <c r="B10" t="str">
        <f>resultado_db_usuario_1[[#This Row],[metodo]]&amp;" "&amp;SUBSTITUTE(resultado_db_usuario_1[[#This Row],[rota]],"/api/v1","")</f>
        <v>DELETE /pecas/:id</v>
      </c>
      <c r="C10" t="s">
        <v>40</v>
      </c>
      <c r="D10" t="s">
        <v>36</v>
      </c>
      <c r="E10" t="s">
        <v>37</v>
      </c>
      <c r="F10">
        <v>204</v>
      </c>
      <c r="G10" s="2">
        <v>6.2</v>
      </c>
      <c r="H10" s="1">
        <v>46166.625359027777</v>
      </c>
      <c r="I10" s="1">
        <v>46166.625359097219</v>
      </c>
      <c r="J10" t="s">
        <v>15</v>
      </c>
      <c r="K10" t="s">
        <v>16</v>
      </c>
      <c r="L10" s="1">
        <v>46166.625359131947</v>
      </c>
    </row>
    <row r="11" spans="1:12" x14ac:dyDescent="0.25">
      <c r="A11" t="s">
        <v>130</v>
      </c>
      <c r="B11" t="str">
        <f>resultado_db_usuario_1[[#This Row],[metodo]]&amp;" "&amp;SUBSTITUTE(resultado_db_usuario_1[[#This Row],[rota]],"/api/v1","")</f>
        <v>DELETE /pecas/:id</v>
      </c>
      <c r="C11" t="s">
        <v>40</v>
      </c>
      <c r="D11" t="s">
        <v>36</v>
      </c>
      <c r="E11" t="s">
        <v>37</v>
      </c>
      <c r="F11">
        <v>204</v>
      </c>
      <c r="G11" s="2">
        <v>6.18</v>
      </c>
      <c r="H11" s="1">
        <v>46166.625360046295</v>
      </c>
      <c r="I11" s="1">
        <v>46166.625360115744</v>
      </c>
      <c r="J11" t="s">
        <v>15</v>
      </c>
      <c r="K11" t="s">
        <v>16</v>
      </c>
      <c r="L11" s="1">
        <v>46166.625360138889</v>
      </c>
    </row>
    <row r="12" spans="1:12" x14ac:dyDescent="0.25">
      <c r="A12" t="s">
        <v>11</v>
      </c>
      <c r="B12" t="str">
        <f>resultado_db_usuario_1[[#This Row],[metodo]]&amp;" "&amp;SUBSTITUTE(resultado_db_usuario_1[[#This Row],[rota]],"/api/v1","")</f>
        <v>GET /aeronaves/</v>
      </c>
      <c r="C12" t="s">
        <v>12</v>
      </c>
      <c r="D12" t="s">
        <v>13</v>
      </c>
      <c r="E12" t="s">
        <v>14</v>
      </c>
      <c r="F12">
        <v>200</v>
      </c>
      <c r="G12" s="2">
        <v>15.28</v>
      </c>
      <c r="H12" s="1">
        <v>46166.625349861111</v>
      </c>
      <c r="I12" s="1">
        <v>46166.625350034723</v>
      </c>
      <c r="J12" t="s">
        <v>15</v>
      </c>
      <c r="K12" t="s">
        <v>16</v>
      </c>
      <c r="L12" s="1">
        <v>46166.625350069444</v>
      </c>
    </row>
    <row r="13" spans="1:12" x14ac:dyDescent="0.25">
      <c r="A13" t="s">
        <v>41</v>
      </c>
      <c r="B13" t="str">
        <f>resultado_db_usuario_1[[#This Row],[metodo]]&amp;" "&amp;SUBSTITUTE(resultado_db_usuario_1[[#This Row],[rota]],"/api/v1","")</f>
        <v>GET /aeronaves/</v>
      </c>
      <c r="C13" t="s">
        <v>12</v>
      </c>
      <c r="D13" t="s">
        <v>13</v>
      </c>
      <c r="E13" t="s">
        <v>14</v>
      </c>
      <c r="F13">
        <v>200</v>
      </c>
      <c r="G13" s="2">
        <v>17.41</v>
      </c>
      <c r="H13" s="1">
        <v>46166.625350972223</v>
      </c>
      <c r="I13" s="1">
        <v>46166.625351180555</v>
      </c>
      <c r="J13" t="s">
        <v>15</v>
      </c>
      <c r="K13" t="s">
        <v>16</v>
      </c>
      <c r="L13" s="1">
        <v>46166.6253512037</v>
      </c>
    </row>
    <row r="14" spans="1:12" x14ac:dyDescent="0.25">
      <c r="A14" t="s">
        <v>51</v>
      </c>
      <c r="B14" t="str">
        <f>resultado_db_usuario_1[[#This Row],[metodo]]&amp;" "&amp;SUBSTITUTE(resultado_db_usuario_1[[#This Row],[rota]],"/api/v1","")</f>
        <v>GET /aeronaves/</v>
      </c>
      <c r="C14" t="s">
        <v>12</v>
      </c>
      <c r="D14" t="s">
        <v>13</v>
      </c>
      <c r="E14" t="s">
        <v>14</v>
      </c>
      <c r="F14">
        <v>200</v>
      </c>
      <c r="G14" s="2">
        <v>13.69</v>
      </c>
      <c r="H14" s="1">
        <v>46166.625352060182</v>
      </c>
      <c r="I14" s="1">
        <v>46166.625352222225</v>
      </c>
      <c r="J14" t="s">
        <v>15</v>
      </c>
      <c r="K14" t="s">
        <v>16</v>
      </c>
      <c r="L14" s="1">
        <v>46166.62535224537</v>
      </c>
    </row>
    <row r="15" spans="1:12" x14ac:dyDescent="0.25">
      <c r="A15" t="s">
        <v>61</v>
      </c>
      <c r="B15" t="str">
        <f>resultado_db_usuario_1[[#This Row],[metodo]]&amp;" "&amp;SUBSTITUTE(resultado_db_usuario_1[[#This Row],[rota]],"/api/v1","")</f>
        <v>GET /aeronaves/</v>
      </c>
      <c r="C15" t="s">
        <v>12</v>
      </c>
      <c r="D15" t="s">
        <v>13</v>
      </c>
      <c r="E15" t="s">
        <v>14</v>
      </c>
      <c r="F15">
        <v>200</v>
      </c>
      <c r="G15" s="2">
        <v>15.26</v>
      </c>
      <c r="H15" s="1">
        <v>46166.625352986113</v>
      </c>
      <c r="I15" s="1">
        <v>46166.625353171294</v>
      </c>
      <c r="J15" t="s">
        <v>15</v>
      </c>
      <c r="K15" t="s">
        <v>16</v>
      </c>
      <c r="L15" s="1">
        <v>46166.625353194446</v>
      </c>
    </row>
    <row r="16" spans="1:12" x14ac:dyDescent="0.25">
      <c r="A16" t="s">
        <v>71</v>
      </c>
      <c r="B16" t="str">
        <f>resultado_db_usuario_1[[#This Row],[metodo]]&amp;" "&amp;SUBSTITUTE(resultado_db_usuario_1[[#This Row],[rota]],"/api/v1","")</f>
        <v>GET /aeronaves/</v>
      </c>
      <c r="C16" t="s">
        <v>12</v>
      </c>
      <c r="D16" t="s">
        <v>13</v>
      </c>
      <c r="E16" t="s">
        <v>14</v>
      </c>
      <c r="F16">
        <v>200</v>
      </c>
      <c r="G16" s="2">
        <v>16.09</v>
      </c>
      <c r="H16" s="1">
        <v>46166.625354004631</v>
      </c>
      <c r="I16" s="1">
        <v>46166.625354189811</v>
      </c>
      <c r="J16" t="s">
        <v>15</v>
      </c>
      <c r="K16" t="s">
        <v>16</v>
      </c>
      <c r="L16" s="1">
        <v>46166.625354212963</v>
      </c>
    </row>
    <row r="17" spans="1:12" x14ac:dyDescent="0.25">
      <c r="A17" t="s">
        <v>81</v>
      </c>
      <c r="B17" t="str">
        <f>resultado_db_usuario_1[[#This Row],[metodo]]&amp;" "&amp;SUBSTITUTE(resultado_db_usuario_1[[#This Row],[rota]],"/api/v1","")</f>
        <v>GET /aeronaves/</v>
      </c>
      <c r="C17" t="s">
        <v>12</v>
      </c>
      <c r="D17" t="s">
        <v>13</v>
      </c>
      <c r="E17" t="s">
        <v>14</v>
      </c>
      <c r="F17">
        <v>200</v>
      </c>
      <c r="G17" s="2">
        <v>16.84</v>
      </c>
      <c r="H17" s="1">
        <v>46166.625354976852</v>
      </c>
      <c r="I17" s="1">
        <v>46166.625355162039</v>
      </c>
      <c r="J17" t="s">
        <v>15</v>
      </c>
      <c r="K17" t="s">
        <v>16</v>
      </c>
      <c r="L17" s="1">
        <v>46166.62535519676</v>
      </c>
    </row>
    <row r="18" spans="1:12" x14ac:dyDescent="0.25">
      <c r="A18" t="s">
        <v>91</v>
      </c>
      <c r="B18" t="str">
        <f>resultado_db_usuario_1[[#This Row],[metodo]]&amp;" "&amp;SUBSTITUTE(resultado_db_usuario_1[[#This Row],[rota]],"/api/v1","")</f>
        <v>GET /aeronaves/</v>
      </c>
      <c r="C18" t="s">
        <v>12</v>
      </c>
      <c r="D18" t="s">
        <v>13</v>
      </c>
      <c r="E18" t="s">
        <v>14</v>
      </c>
      <c r="F18">
        <v>200</v>
      </c>
      <c r="G18" s="2">
        <v>15.85</v>
      </c>
      <c r="H18" s="1">
        <v>46166.625355972224</v>
      </c>
      <c r="I18" s="1">
        <v>46166.625356145836</v>
      </c>
      <c r="J18" t="s">
        <v>15</v>
      </c>
      <c r="K18" t="s">
        <v>16</v>
      </c>
      <c r="L18" s="1">
        <v>46166.625356180557</v>
      </c>
    </row>
    <row r="19" spans="1:12" x14ac:dyDescent="0.25">
      <c r="A19" t="s">
        <v>101</v>
      </c>
      <c r="B19" t="str">
        <f>resultado_db_usuario_1[[#This Row],[metodo]]&amp;" "&amp;SUBSTITUTE(resultado_db_usuario_1[[#This Row],[rota]],"/api/v1","")</f>
        <v>GET /aeronaves/</v>
      </c>
      <c r="C19" t="s">
        <v>12</v>
      </c>
      <c r="D19" t="s">
        <v>13</v>
      </c>
      <c r="E19" t="s">
        <v>14</v>
      </c>
      <c r="F19">
        <v>200</v>
      </c>
      <c r="G19" s="2">
        <v>24.57</v>
      </c>
      <c r="H19" s="1">
        <v>46166.625357037039</v>
      </c>
      <c r="I19" s="1">
        <v>46166.625357326389</v>
      </c>
      <c r="J19" t="s">
        <v>15</v>
      </c>
      <c r="K19" t="s">
        <v>16</v>
      </c>
      <c r="L19" s="1">
        <v>46166.62535736111</v>
      </c>
    </row>
    <row r="20" spans="1:12" x14ac:dyDescent="0.25">
      <c r="A20" t="s">
        <v>111</v>
      </c>
      <c r="B20" t="str">
        <f>resultado_db_usuario_1[[#This Row],[metodo]]&amp;" "&amp;SUBSTITUTE(resultado_db_usuario_1[[#This Row],[rota]],"/api/v1","")</f>
        <v>GET /aeronaves/</v>
      </c>
      <c r="C20" t="s">
        <v>12</v>
      </c>
      <c r="D20" t="s">
        <v>13</v>
      </c>
      <c r="E20" t="s">
        <v>14</v>
      </c>
      <c r="F20">
        <v>200</v>
      </c>
      <c r="G20" s="2">
        <v>13.78</v>
      </c>
      <c r="H20" s="1">
        <v>46166.625358194447</v>
      </c>
      <c r="I20" s="1">
        <v>46166.625358356483</v>
      </c>
      <c r="J20" t="s">
        <v>15</v>
      </c>
      <c r="K20" t="s">
        <v>16</v>
      </c>
      <c r="L20" s="1">
        <v>46166.625358391204</v>
      </c>
    </row>
    <row r="21" spans="1:12" x14ac:dyDescent="0.25">
      <c r="A21" t="s">
        <v>121</v>
      </c>
      <c r="B21" t="str">
        <f>resultado_db_usuario_1[[#This Row],[metodo]]&amp;" "&amp;SUBSTITUTE(resultado_db_usuario_1[[#This Row],[rota]],"/api/v1","")</f>
        <v>GET /aeronaves/</v>
      </c>
      <c r="C21" t="s">
        <v>12</v>
      </c>
      <c r="D21" t="s">
        <v>13</v>
      </c>
      <c r="E21" t="s">
        <v>14</v>
      </c>
      <c r="F21">
        <v>200</v>
      </c>
      <c r="G21" s="2">
        <v>15.42</v>
      </c>
      <c r="H21" s="1">
        <v>46166.625359120371</v>
      </c>
      <c r="I21" s="1">
        <v>46166.625359293983</v>
      </c>
      <c r="J21" t="s">
        <v>15</v>
      </c>
      <c r="K21" t="s">
        <v>16</v>
      </c>
      <c r="L21" s="1">
        <v>46166.625359328704</v>
      </c>
    </row>
    <row r="22" spans="1:12" x14ac:dyDescent="0.25">
      <c r="A22" t="s">
        <v>17</v>
      </c>
      <c r="B22" t="str">
        <f>resultado_db_usuario_1[[#This Row],[metodo]]&amp;" "&amp;SUBSTITUTE(resultado_db_usuario_1[[#This Row],[rota]],"/api/v1","")</f>
        <v>GET /etapas/</v>
      </c>
      <c r="C22" t="s">
        <v>12</v>
      </c>
      <c r="D22" t="s">
        <v>18</v>
      </c>
      <c r="E22" t="s">
        <v>19</v>
      </c>
      <c r="F22">
        <v>200</v>
      </c>
      <c r="G22" s="2">
        <v>6.9</v>
      </c>
      <c r="H22" s="1">
        <v>46166.625350057868</v>
      </c>
      <c r="I22" s="1">
        <v>46166.625350138886</v>
      </c>
      <c r="J22" t="s">
        <v>15</v>
      </c>
      <c r="K22" t="s">
        <v>16</v>
      </c>
      <c r="L22" s="1">
        <v>46166.625350173614</v>
      </c>
    </row>
    <row r="23" spans="1:12" x14ac:dyDescent="0.25">
      <c r="A23" t="s">
        <v>42</v>
      </c>
      <c r="B23" t="str">
        <f>resultado_db_usuario_1[[#This Row],[metodo]]&amp;" "&amp;SUBSTITUTE(resultado_db_usuario_1[[#This Row],[rota]],"/api/v1","")</f>
        <v>GET /etapas/</v>
      </c>
      <c r="C23" t="s">
        <v>12</v>
      </c>
      <c r="D23" t="s">
        <v>18</v>
      </c>
      <c r="E23" t="s">
        <v>19</v>
      </c>
      <c r="F23">
        <v>200</v>
      </c>
      <c r="G23" s="2">
        <v>6.29</v>
      </c>
      <c r="H23" s="1">
        <v>46166.625351215276</v>
      </c>
      <c r="I23" s="1">
        <v>46166.625351284725</v>
      </c>
      <c r="J23" t="s">
        <v>15</v>
      </c>
      <c r="K23" t="s">
        <v>16</v>
      </c>
      <c r="L23" s="1">
        <v>46166.625351319446</v>
      </c>
    </row>
    <row r="24" spans="1:12" x14ac:dyDescent="0.25">
      <c r="A24" t="s">
        <v>52</v>
      </c>
      <c r="B24" t="str">
        <f>resultado_db_usuario_1[[#This Row],[metodo]]&amp;" "&amp;SUBSTITUTE(resultado_db_usuario_1[[#This Row],[rota]],"/api/v1","")</f>
        <v>GET /etapas/</v>
      </c>
      <c r="C24" t="s">
        <v>12</v>
      </c>
      <c r="D24" t="s">
        <v>18</v>
      </c>
      <c r="E24" t="s">
        <v>19</v>
      </c>
      <c r="F24">
        <v>200</v>
      </c>
      <c r="G24" s="2">
        <v>6.24</v>
      </c>
      <c r="H24" s="1">
        <v>46166.625352233794</v>
      </c>
      <c r="I24" s="1">
        <v>46166.625352314812</v>
      </c>
      <c r="J24" t="s">
        <v>15</v>
      </c>
      <c r="K24" t="s">
        <v>16</v>
      </c>
      <c r="L24" s="1">
        <v>46166.625352337964</v>
      </c>
    </row>
    <row r="25" spans="1:12" x14ac:dyDescent="0.25">
      <c r="A25" t="s">
        <v>62</v>
      </c>
      <c r="B25" t="str">
        <f>resultado_db_usuario_1[[#This Row],[metodo]]&amp;" "&amp;SUBSTITUTE(resultado_db_usuario_1[[#This Row],[rota]],"/api/v1","")</f>
        <v>GET /etapas/</v>
      </c>
      <c r="C25" t="s">
        <v>12</v>
      </c>
      <c r="D25" t="s">
        <v>18</v>
      </c>
      <c r="E25" t="s">
        <v>19</v>
      </c>
      <c r="F25">
        <v>200</v>
      </c>
      <c r="G25" s="2">
        <v>5.7</v>
      </c>
      <c r="H25" s="1">
        <v>46166.62535318287</v>
      </c>
      <c r="I25" s="1">
        <v>46166.625353252311</v>
      </c>
      <c r="J25" t="s">
        <v>15</v>
      </c>
      <c r="K25" t="s">
        <v>16</v>
      </c>
      <c r="L25" s="1">
        <v>46166.625353275464</v>
      </c>
    </row>
    <row r="26" spans="1:12" x14ac:dyDescent="0.25">
      <c r="A26" t="s">
        <v>72</v>
      </c>
      <c r="B26" t="str">
        <f>resultado_db_usuario_1[[#This Row],[metodo]]&amp;" "&amp;SUBSTITUTE(resultado_db_usuario_1[[#This Row],[rota]],"/api/v1","")</f>
        <v>GET /etapas/</v>
      </c>
      <c r="C26" t="s">
        <v>12</v>
      </c>
      <c r="D26" t="s">
        <v>18</v>
      </c>
      <c r="E26" t="s">
        <v>19</v>
      </c>
      <c r="F26">
        <v>200</v>
      </c>
      <c r="G26" s="2">
        <v>5.31</v>
      </c>
      <c r="H26" s="1">
        <v>46166.625354201387</v>
      </c>
      <c r="I26" s="1">
        <v>46166.625354270836</v>
      </c>
      <c r="J26" t="s">
        <v>15</v>
      </c>
      <c r="K26" t="s">
        <v>16</v>
      </c>
      <c r="L26" s="1">
        <v>46166.625354293981</v>
      </c>
    </row>
    <row r="27" spans="1:12" x14ac:dyDescent="0.25">
      <c r="A27" t="s">
        <v>82</v>
      </c>
      <c r="B27" t="str">
        <f>resultado_db_usuario_1[[#This Row],[metodo]]&amp;" "&amp;SUBSTITUTE(resultado_db_usuario_1[[#This Row],[rota]],"/api/v1","")</f>
        <v>GET /etapas/</v>
      </c>
      <c r="C27" t="s">
        <v>12</v>
      </c>
      <c r="D27" t="s">
        <v>18</v>
      </c>
      <c r="E27" t="s">
        <v>19</v>
      </c>
      <c r="F27">
        <v>200</v>
      </c>
      <c r="G27" s="2">
        <v>6.89</v>
      </c>
      <c r="H27" s="1">
        <v>46166.625355185184</v>
      </c>
      <c r="I27" s="1">
        <v>46166.625355266202</v>
      </c>
      <c r="J27" t="s">
        <v>15</v>
      </c>
      <c r="K27" t="s">
        <v>16</v>
      </c>
      <c r="L27" s="1">
        <v>46166.625355300923</v>
      </c>
    </row>
    <row r="28" spans="1:12" x14ac:dyDescent="0.25">
      <c r="A28" t="s">
        <v>92</v>
      </c>
      <c r="B28" t="str">
        <f>resultado_db_usuario_1[[#This Row],[metodo]]&amp;" "&amp;SUBSTITUTE(resultado_db_usuario_1[[#This Row],[rota]],"/api/v1","")</f>
        <v>GET /etapas/</v>
      </c>
      <c r="C28" t="s">
        <v>12</v>
      </c>
      <c r="D28" t="s">
        <v>18</v>
      </c>
      <c r="E28" t="s">
        <v>19</v>
      </c>
      <c r="F28">
        <v>200</v>
      </c>
      <c r="G28" s="2">
        <v>8.6</v>
      </c>
      <c r="H28" s="1">
        <v>46166.625356168981</v>
      </c>
      <c r="I28" s="1">
        <v>46166.625356273151</v>
      </c>
      <c r="J28" t="s">
        <v>15</v>
      </c>
      <c r="K28" t="s">
        <v>16</v>
      </c>
      <c r="L28" s="1">
        <v>46166.625356307872</v>
      </c>
    </row>
    <row r="29" spans="1:12" x14ac:dyDescent="0.25">
      <c r="A29" t="s">
        <v>102</v>
      </c>
      <c r="B29" t="str">
        <f>resultado_db_usuario_1[[#This Row],[metodo]]&amp;" "&amp;SUBSTITUTE(resultado_db_usuario_1[[#This Row],[rota]],"/api/v1","")</f>
        <v>GET /etapas/</v>
      </c>
      <c r="C29" t="s">
        <v>12</v>
      </c>
      <c r="D29" t="s">
        <v>18</v>
      </c>
      <c r="E29" t="s">
        <v>19</v>
      </c>
      <c r="F29">
        <v>200</v>
      </c>
      <c r="G29" s="2">
        <v>10.18</v>
      </c>
      <c r="H29" s="1">
        <v>46166.625357349534</v>
      </c>
      <c r="I29" s="1">
        <v>46166.62535746528</v>
      </c>
      <c r="J29" t="s">
        <v>15</v>
      </c>
      <c r="K29" t="s">
        <v>16</v>
      </c>
      <c r="L29" s="1">
        <v>46166.625357500001</v>
      </c>
    </row>
    <row r="30" spans="1:12" x14ac:dyDescent="0.25">
      <c r="A30" t="s">
        <v>112</v>
      </c>
      <c r="B30" t="str">
        <f>resultado_db_usuario_1[[#This Row],[metodo]]&amp;" "&amp;SUBSTITUTE(resultado_db_usuario_1[[#This Row],[rota]],"/api/v1","")</f>
        <v>GET /etapas/</v>
      </c>
      <c r="C30" t="s">
        <v>12</v>
      </c>
      <c r="D30" t="s">
        <v>18</v>
      </c>
      <c r="E30" t="s">
        <v>19</v>
      </c>
      <c r="F30">
        <v>200</v>
      </c>
      <c r="G30" s="2">
        <v>5.62</v>
      </c>
      <c r="H30" s="1">
        <v>46166.625358368059</v>
      </c>
      <c r="I30" s="1">
        <v>46166.625358437501</v>
      </c>
      <c r="J30" t="s">
        <v>15</v>
      </c>
      <c r="K30" t="s">
        <v>16</v>
      </c>
      <c r="L30" s="1">
        <v>46166.625358460646</v>
      </c>
    </row>
    <row r="31" spans="1:12" x14ac:dyDescent="0.25">
      <c r="A31" t="s">
        <v>122</v>
      </c>
      <c r="B31" t="str">
        <f>resultado_db_usuario_1[[#This Row],[metodo]]&amp;" "&amp;SUBSTITUTE(resultado_db_usuario_1[[#This Row],[rota]],"/api/v1","")</f>
        <v>GET /etapas/</v>
      </c>
      <c r="C31" t="s">
        <v>12</v>
      </c>
      <c r="D31" t="s">
        <v>18</v>
      </c>
      <c r="E31" t="s">
        <v>19</v>
      </c>
      <c r="F31">
        <v>200</v>
      </c>
      <c r="G31" s="2">
        <v>6.79</v>
      </c>
      <c r="H31" s="1">
        <v>46166.62535934028</v>
      </c>
      <c r="I31" s="1">
        <v>46166.625359421298</v>
      </c>
      <c r="J31" t="s">
        <v>15</v>
      </c>
      <c r="K31" t="s">
        <v>16</v>
      </c>
      <c r="L31" s="1">
        <v>46166.625359444442</v>
      </c>
    </row>
    <row r="32" spans="1:12" x14ac:dyDescent="0.25">
      <c r="A32" t="s">
        <v>20</v>
      </c>
      <c r="B32" t="str">
        <f>resultado_db_usuario_1[[#This Row],[metodo]]&amp;" "&amp;SUBSTITUTE(resultado_db_usuario_1[[#This Row],[rota]],"/api/v1","")</f>
        <v>GET /funcionarios/</v>
      </c>
      <c r="C32" t="s">
        <v>12</v>
      </c>
      <c r="D32" t="s">
        <v>21</v>
      </c>
      <c r="E32" t="s">
        <v>22</v>
      </c>
      <c r="F32">
        <v>200</v>
      </c>
      <c r="G32" s="2">
        <v>3.79</v>
      </c>
      <c r="H32" s="1">
        <v>46166.625350162038</v>
      </c>
      <c r="I32" s="1">
        <v>46166.625350208335</v>
      </c>
      <c r="J32" t="s">
        <v>15</v>
      </c>
      <c r="K32" t="s">
        <v>16</v>
      </c>
      <c r="L32" s="1">
        <v>46166.625350243055</v>
      </c>
    </row>
    <row r="33" spans="1:12" x14ac:dyDescent="0.25">
      <c r="A33" t="s">
        <v>43</v>
      </c>
      <c r="B33" t="str">
        <f>resultado_db_usuario_1[[#This Row],[metodo]]&amp;" "&amp;SUBSTITUTE(resultado_db_usuario_1[[#This Row],[rota]],"/api/v1","")</f>
        <v>GET /funcionarios/</v>
      </c>
      <c r="C33" t="s">
        <v>12</v>
      </c>
      <c r="D33" t="s">
        <v>21</v>
      </c>
      <c r="E33" t="s">
        <v>22</v>
      </c>
      <c r="F33">
        <v>200</v>
      </c>
      <c r="G33" s="2">
        <v>4.4000000000000004</v>
      </c>
      <c r="H33" s="1">
        <v>46166.62535130787</v>
      </c>
      <c r="I33" s="1">
        <v>46166.625351354167</v>
      </c>
      <c r="J33" t="s">
        <v>15</v>
      </c>
      <c r="K33" t="s">
        <v>16</v>
      </c>
      <c r="L33" s="1">
        <v>46166.625351377312</v>
      </c>
    </row>
    <row r="34" spans="1:12" x14ac:dyDescent="0.25">
      <c r="A34" t="s">
        <v>53</v>
      </c>
      <c r="B34" t="str">
        <f>resultado_db_usuario_1[[#This Row],[metodo]]&amp;" "&amp;SUBSTITUTE(resultado_db_usuario_1[[#This Row],[rota]],"/api/v1","")</f>
        <v>GET /funcionarios/</v>
      </c>
      <c r="C34" t="s">
        <v>12</v>
      </c>
      <c r="D34" t="s">
        <v>21</v>
      </c>
      <c r="E34" t="s">
        <v>22</v>
      </c>
      <c r="F34">
        <v>200</v>
      </c>
      <c r="G34" s="2">
        <v>3.61</v>
      </c>
      <c r="H34" s="1">
        <v>46166.625352337964</v>
      </c>
      <c r="I34" s="1">
        <v>46166.625352372685</v>
      </c>
      <c r="J34" t="s">
        <v>15</v>
      </c>
      <c r="K34" t="s">
        <v>16</v>
      </c>
      <c r="L34" s="1">
        <v>46166.625352407405</v>
      </c>
    </row>
    <row r="35" spans="1:12" x14ac:dyDescent="0.25">
      <c r="A35" t="s">
        <v>63</v>
      </c>
      <c r="B35" t="str">
        <f>resultado_db_usuario_1[[#This Row],[metodo]]&amp;" "&amp;SUBSTITUTE(resultado_db_usuario_1[[#This Row],[rota]],"/api/v1","")</f>
        <v>GET /funcionarios/</v>
      </c>
      <c r="C35" t="s">
        <v>12</v>
      </c>
      <c r="D35" t="s">
        <v>21</v>
      </c>
      <c r="E35" t="s">
        <v>22</v>
      </c>
      <c r="F35">
        <v>200</v>
      </c>
      <c r="G35" s="2">
        <v>3.3</v>
      </c>
      <c r="H35" s="1">
        <v>46166.62535328704</v>
      </c>
      <c r="I35" s="1">
        <v>46166.62535332176</v>
      </c>
      <c r="J35" t="s">
        <v>15</v>
      </c>
      <c r="K35" t="s">
        <v>16</v>
      </c>
      <c r="L35" s="1">
        <v>46166.625353356481</v>
      </c>
    </row>
    <row r="36" spans="1:12" x14ac:dyDescent="0.25">
      <c r="A36" t="s">
        <v>73</v>
      </c>
      <c r="B36" t="str">
        <f>resultado_db_usuario_1[[#This Row],[metodo]]&amp;" "&amp;SUBSTITUTE(resultado_db_usuario_1[[#This Row],[rota]],"/api/v1","")</f>
        <v>GET /funcionarios/</v>
      </c>
      <c r="C36" t="s">
        <v>12</v>
      </c>
      <c r="D36" t="s">
        <v>21</v>
      </c>
      <c r="E36" t="s">
        <v>22</v>
      </c>
      <c r="F36">
        <v>200</v>
      </c>
      <c r="G36" s="2">
        <v>3.54</v>
      </c>
      <c r="H36" s="1">
        <v>46166.625354293981</v>
      </c>
      <c r="I36" s="1">
        <v>46166.625354340278</v>
      </c>
      <c r="J36" t="s">
        <v>15</v>
      </c>
      <c r="K36" t="s">
        <v>16</v>
      </c>
      <c r="L36" s="1">
        <v>46166.625354363423</v>
      </c>
    </row>
    <row r="37" spans="1:12" x14ac:dyDescent="0.25">
      <c r="A37" t="s">
        <v>83</v>
      </c>
      <c r="B37" t="str">
        <f>resultado_db_usuario_1[[#This Row],[metodo]]&amp;" "&amp;SUBSTITUTE(resultado_db_usuario_1[[#This Row],[rota]],"/api/v1","")</f>
        <v>GET /funcionarios/</v>
      </c>
      <c r="C37" t="s">
        <v>12</v>
      </c>
      <c r="D37" t="s">
        <v>21</v>
      </c>
      <c r="E37" t="s">
        <v>22</v>
      </c>
      <c r="F37">
        <v>200</v>
      </c>
      <c r="G37" s="2">
        <v>4.07</v>
      </c>
      <c r="H37" s="1">
        <v>46166.625355289354</v>
      </c>
      <c r="I37" s="1">
        <v>46166.625355335651</v>
      </c>
      <c r="J37" t="s">
        <v>15</v>
      </c>
      <c r="K37" t="s">
        <v>16</v>
      </c>
      <c r="L37" s="1">
        <v>46166.625355370372</v>
      </c>
    </row>
    <row r="38" spans="1:12" x14ac:dyDescent="0.25">
      <c r="A38" t="s">
        <v>93</v>
      </c>
      <c r="B38" t="str">
        <f>resultado_db_usuario_1[[#This Row],[metodo]]&amp;" "&amp;SUBSTITUTE(resultado_db_usuario_1[[#This Row],[rota]],"/api/v1","")</f>
        <v>GET /funcionarios/</v>
      </c>
      <c r="C38" t="s">
        <v>12</v>
      </c>
      <c r="D38" t="s">
        <v>21</v>
      </c>
      <c r="E38" t="s">
        <v>22</v>
      </c>
      <c r="F38">
        <v>200</v>
      </c>
      <c r="G38" s="2">
        <v>3.7</v>
      </c>
      <c r="H38" s="1">
        <v>46166.625356354169</v>
      </c>
      <c r="I38" s="1">
        <v>46166.625356388889</v>
      </c>
      <c r="J38" t="s">
        <v>15</v>
      </c>
      <c r="K38" t="s">
        <v>16</v>
      </c>
      <c r="L38" s="1">
        <v>46166.62535642361</v>
      </c>
    </row>
    <row r="39" spans="1:12" x14ac:dyDescent="0.25">
      <c r="A39" t="s">
        <v>103</v>
      </c>
      <c r="B39" t="str">
        <f>resultado_db_usuario_1[[#This Row],[metodo]]&amp;" "&amp;SUBSTITUTE(resultado_db_usuario_1[[#This Row],[rota]],"/api/v1","")</f>
        <v>GET /funcionarios/</v>
      </c>
      <c r="C39" t="s">
        <v>12</v>
      </c>
      <c r="D39" t="s">
        <v>21</v>
      </c>
      <c r="E39" t="s">
        <v>22</v>
      </c>
      <c r="F39">
        <v>200</v>
      </c>
      <c r="G39" s="2">
        <v>3.13</v>
      </c>
      <c r="H39" s="1">
        <v>46166.625357488425</v>
      </c>
      <c r="I39" s="1">
        <v>46166.625357523146</v>
      </c>
      <c r="J39" t="s">
        <v>15</v>
      </c>
      <c r="K39" t="s">
        <v>16</v>
      </c>
      <c r="L39" s="1">
        <v>46166.625357557874</v>
      </c>
    </row>
    <row r="40" spans="1:12" x14ac:dyDescent="0.25">
      <c r="A40" t="s">
        <v>113</v>
      </c>
      <c r="B40" t="str">
        <f>resultado_db_usuario_1[[#This Row],[metodo]]&amp;" "&amp;SUBSTITUTE(resultado_db_usuario_1[[#This Row],[rota]],"/api/v1","")</f>
        <v>GET /funcionarios/</v>
      </c>
      <c r="C40" t="s">
        <v>12</v>
      </c>
      <c r="D40" t="s">
        <v>21</v>
      </c>
      <c r="E40" t="s">
        <v>22</v>
      </c>
      <c r="F40">
        <v>200</v>
      </c>
      <c r="G40" s="2">
        <v>3.07</v>
      </c>
      <c r="H40" s="1">
        <v>46166.625358449077</v>
      </c>
      <c r="I40" s="1">
        <v>46166.625358483798</v>
      </c>
      <c r="J40" t="s">
        <v>15</v>
      </c>
      <c r="K40" t="s">
        <v>16</v>
      </c>
      <c r="L40" s="1">
        <v>46166.625358518519</v>
      </c>
    </row>
    <row r="41" spans="1:12" x14ac:dyDescent="0.25">
      <c r="A41" t="s">
        <v>123</v>
      </c>
      <c r="B41" t="str">
        <f>resultado_db_usuario_1[[#This Row],[metodo]]&amp;" "&amp;SUBSTITUTE(resultado_db_usuario_1[[#This Row],[rota]],"/api/v1","")</f>
        <v>GET /funcionarios/</v>
      </c>
      <c r="C41" t="s">
        <v>12</v>
      </c>
      <c r="D41" t="s">
        <v>21</v>
      </c>
      <c r="E41" t="s">
        <v>22</v>
      </c>
      <c r="F41">
        <v>200</v>
      </c>
      <c r="G41" s="2">
        <v>3.92</v>
      </c>
      <c r="H41" s="1">
        <v>46166.625359432874</v>
      </c>
      <c r="I41" s="1">
        <v>46166.625359479163</v>
      </c>
      <c r="J41" t="s">
        <v>15</v>
      </c>
      <c r="K41" t="s">
        <v>16</v>
      </c>
      <c r="L41" s="1">
        <v>46166.625359513891</v>
      </c>
    </row>
    <row r="42" spans="1:12" x14ac:dyDescent="0.25">
      <c r="A42" t="s">
        <v>23</v>
      </c>
      <c r="B42" t="str">
        <f>resultado_db_usuario_1[[#This Row],[metodo]]&amp;" "&amp;SUBSTITUTE(resultado_db_usuario_1[[#This Row],[rota]],"/api/v1","")</f>
        <v>GET /pecas/</v>
      </c>
      <c r="C42" t="s">
        <v>12</v>
      </c>
      <c r="D42" t="s">
        <v>24</v>
      </c>
      <c r="E42" t="s">
        <v>25</v>
      </c>
      <c r="F42">
        <v>200</v>
      </c>
      <c r="G42" s="2">
        <v>3.97</v>
      </c>
      <c r="H42" s="1">
        <v>46166.625350231479</v>
      </c>
      <c r="I42" s="1">
        <v>46166.625350277776</v>
      </c>
      <c r="J42" t="s">
        <v>15</v>
      </c>
      <c r="K42" t="s">
        <v>16</v>
      </c>
      <c r="L42" s="1">
        <v>46166.625350300928</v>
      </c>
    </row>
    <row r="43" spans="1:12" x14ac:dyDescent="0.25">
      <c r="A43" t="s">
        <v>44</v>
      </c>
      <c r="B43" t="str">
        <f>resultado_db_usuario_1[[#This Row],[metodo]]&amp;" "&amp;SUBSTITUTE(resultado_db_usuario_1[[#This Row],[rota]],"/api/v1","")</f>
        <v>GET /pecas/</v>
      </c>
      <c r="C43" t="s">
        <v>12</v>
      </c>
      <c r="D43" t="s">
        <v>24</v>
      </c>
      <c r="E43" t="s">
        <v>25</v>
      </c>
      <c r="F43">
        <v>200</v>
      </c>
      <c r="G43" s="2">
        <v>4.0599999999999996</v>
      </c>
      <c r="H43" s="1">
        <v>46166.625351365743</v>
      </c>
      <c r="I43" s="1">
        <v>46166.62535141204</v>
      </c>
      <c r="J43" t="s">
        <v>15</v>
      </c>
      <c r="K43" t="s">
        <v>16</v>
      </c>
      <c r="L43" s="1">
        <v>46166.625351446761</v>
      </c>
    </row>
    <row r="44" spans="1:12" x14ac:dyDescent="0.25">
      <c r="A44" t="s">
        <v>54</v>
      </c>
      <c r="B44" t="str">
        <f>resultado_db_usuario_1[[#This Row],[metodo]]&amp;" "&amp;SUBSTITUTE(resultado_db_usuario_1[[#This Row],[rota]],"/api/v1","")</f>
        <v>GET /pecas/</v>
      </c>
      <c r="C44" t="s">
        <v>12</v>
      </c>
      <c r="D44" t="s">
        <v>24</v>
      </c>
      <c r="E44" t="s">
        <v>25</v>
      </c>
      <c r="F44">
        <v>200</v>
      </c>
      <c r="G44" s="2">
        <v>3.35</v>
      </c>
      <c r="H44" s="1">
        <v>46166.625352395837</v>
      </c>
      <c r="I44" s="1">
        <v>46166.625352430558</v>
      </c>
      <c r="J44" t="s">
        <v>15</v>
      </c>
      <c r="K44" t="s">
        <v>16</v>
      </c>
      <c r="L44" s="1">
        <v>46166.625352465278</v>
      </c>
    </row>
    <row r="45" spans="1:12" x14ac:dyDescent="0.25">
      <c r="A45" t="s">
        <v>64</v>
      </c>
      <c r="B45" t="str">
        <f>resultado_db_usuario_1[[#This Row],[metodo]]&amp;" "&amp;SUBSTITUTE(resultado_db_usuario_1[[#This Row],[rota]],"/api/v1","")</f>
        <v>GET /pecas/</v>
      </c>
      <c r="C45" t="s">
        <v>12</v>
      </c>
      <c r="D45" t="s">
        <v>24</v>
      </c>
      <c r="E45" t="s">
        <v>25</v>
      </c>
      <c r="F45">
        <v>200</v>
      </c>
      <c r="G45" s="2">
        <v>4.24</v>
      </c>
      <c r="H45" s="1">
        <v>46166.625353333337</v>
      </c>
      <c r="I45" s="1">
        <v>46166.625353391202</v>
      </c>
      <c r="J45" t="s">
        <v>15</v>
      </c>
      <c r="K45" t="s">
        <v>16</v>
      </c>
      <c r="L45" s="1">
        <v>46166.625353414354</v>
      </c>
    </row>
    <row r="46" spans="1:12" x14ac:dyDescent="0.25">
      <c r="A46" t="s">
        <v>74</v>
      </c>
      <c r="B46" t="str">
        <f>resultado_db_usuario_1[[#This Row],[metodo]]&amp;" "&amp;SUBSTITUTE(resultado_db_usuario_1[[#This Row],[rota]],"/api/v1","")</f>
        <v>GET /pecas/</v>
      </c>
      <c r="C46" t="s">
        <v>12</v>
      </c>
      <c r="D46" t="s">
        <v>24</v>
      </c>
      <c r="E46" t="s">
        <v>25</v>
      </c>
      <c r="F46">
        <v>200</v>
      </c>
      <c r="G46" s="2">
        <v>4.95</v>
      </c>
      <c r="H46" s="1">
        <v>46166.625354351854</v>
      </c>
      <c r="I46" s="1">
        <v>46166.62535440972</v>
      </c>
      <c r="J46" t="s">
        <v>15</v>
      </c>
      <c r="K46" t="s">
        <v>16</v>
      </c>
      <c r="L46" s="1">
        <v>46166.625354444448</v>
      </c>
    </row>
    <row r="47" spans="1:12" x14ac:dyDescent="0.25">
      <c r="A47" t="s">
        <v>84</v>
      </c>
      <c r="B47" t="str">
        <f>resultado_db_usuario_1[[#This Row],[metodo]]&amp;" "&amp;SUBSTITUTE(resultado_db_usuario_1[[#This Row],[rota]],"/api/v1","")</f>
        <v>GET /pecas/</v>
      </c>
      <c r="C47" t="s">
        <v>12</v>
      </c>
      <c r="D47" t="s">
        <v>24</v>
      </c>
      <c r="E47" t="s">
        <v>25</v>
      </c>
      <c r="F47">
        <v>200</v>
      </c>
      <c r="G47" s="2">
        <v>4.79</v>
      </c>
      <c r="H47" s="1">
        <v>46166.62535534722</v>
      </c>
      <c r="I47" s="1">
        <v>46166.625355405093</v>
      </c>
      <c r="J47" t="s">
        <v>15</v>
      </c>
      <c r="K47" t="s">
        <v>16</v>
      </c>
      <c r="L47" s="1">
        <v>46166.625355439814</v>
      </c>
    </row>
    <row r="48" spans="1:12" x14ac:dyDescent="0.25">
      <c r="A48" t="s">
        <v>94</v>
      </c>
      <c r="B48" t="str">
        <f>resultado_db_usuario_1[[#This Row],[metodo]]&amp;" "&amp;SUBSTITUTE(resultado_db_usuario_1[[#This Row],[rota]],"/api/v1","")</f>
        <v>GET /pecas/</v>
      </c>
      <c r="C48" t="s">
        <v>12</v>
      </c>
      <c r="D48" t="s">
        <v>24</v>
      </c>
      <c r="E48" t="s">
        <v>25</v>
      </c>
      <c r="F48">
        <v>200</v>
      </c>
      <c r="G48" s="2">
        <v>5.56</v>
      </c>
      <c r="H48" s="1">
        <v>46166.625356412034</v>
      </c>
      <c r="I48" s="1">
        <v>46166.625356481483</v>
      </c>
      <c r="J48" t="s">
        <v>15</v>
      </c>
      <c r="K48" t="s">
        <v>16</v>
      </c>
      <c r="L48" s="1">
        <v>46166.625356516204</v>
      </c>
    </row>
    <row r="49" spans="1:12" x14ac:dyDescent="0.25">
      <c r="A49" t="s">
        <v>104</v>
      </c>
      <c r="B49" t="str">
        <f>resultado_db_usuario_1[[#This Row],[metodo]]&amp;" "&amp;SUBSTITUTE(resultado_db_usuario_1[[#This Row],[rota]],"/api/v1","")</f>
        <v>GET /pecas/</v>
      </c>
      <c r="C49" t="s">
        <v>12</v>
      </c>
      <c r="D49" t="s">
        <v>24</v>
      </c>
      <c r="E49" t="s">
        <v>25</v>
      </c>
      <c r="F49">
        <v>200</v>
      </c>
      <c r="G49" s="2">
        <v>4.68</v>
      </c>
      <c r="H49" s="1">
        <v>46166.625357546298</v>
      </c>
      <c r="I49" s="1">
        <v>46166.625357592595</v>
      </c>
      <c r="J49" t="s">
        <v>15</v>
      </c>
      <c r="K49" t="s">
        <v>16</v>
      </c>
      <c r="L49" s="1">
        <v>46166.625357627316</v>
      </c>
    </row>
    <row r="50" spans="1:12" x14ac:dyDescent="0.25">
      <c r="A50" t="s">
        <v>114</v>
      </c>
      <c r="B50" t="str">
        <f>resultado_db_usuario_1[[#This Row],[metodo]]&amp;" "&amp;SUBSTITUTE(resultado_db_usuario_1[[#This Row],[rota]],"/api/v1","")</f>
        <v>GET /pecas/</v>
      </c>
      <c r="C50" t="s">
        <v>12</v>
      </c>
      <c r="D50" t="s">
        <v>24</v>
      </c>
      <c r="E50" t="s">
        <v>25</v>
      </c>
      <c r="F50">
        <v>200</v>
      </c>
      <c r="G50" s="2">
        <v>3.64</v>
      </c>
      <c r="H50" s="1">
        <v>46166.625358495374</v>
      </c>
      <c r="I50" s="1">
        <v>46166.625358541663</v>
      </c>
      <c r="J50" t="s">
        <v>15</v>
      </c>
      <c r="K50" t="s">
        <v>16</v>
      </c>
      <c r="L50" s="1">
        <v>46166.625358576392</v>
      </c>
    </row>
    <row r="51" spans="1:12" x14ac:dyDescent="0.25">
      <c r="A51" t="s">
        <v>124</v>
      </c>
      <c r="B51" t="str">
        <f>resultado_db_usuario_1[[#This Row],[metodo]]&amp;" "&amp;SUBSTITUTE(resultado_db_usuario_1[[#This Row],[rota]],"/api/v1","")</f>
        <v>GET /pecas/</v>
      </c>
      <c r="C51" t="s">
        <v>12</v>
      </c>
      <c r="D51" t="s">
        <v>24</v>
      </c>
      <c r="E51" t="s">
        <v>25</v>
      </c>
      <c r="F51">
        <v>200</v>
      </c>
      <c r="G51" s="2" t="s">
        <v>134</v>
      </c>
      <c r="H51" s="1">
        <v>46166.625359490739</v>
      </c>
      <c r="I51" s="1">
        <v>46166.625359548612</v>
      </c>
      <c r="J51" t="s">
        <v>15</v>
      </c>
      <c r="K51" t="s">
        <v>16</v>
      </c>
      <c r="L51" s="1">
        <v>46166.625359583333</v>
      </c>
    </row>
    <row r="52" spans="1:12" x14ac:dyDescent="0.25">
      <c r="A52" t="s">
        <v>38</v>
      </c>
      <c r="B52" t="str">
        <f>resultado_db_usuario_1[[#This Row],[metodo]]&amp;" "&amp;SUBSTITUTE(resultado_db_usuario_1[[#This Row],[rota]],"/api/v1","")</f>
        <v>GET /pecas/:id</v>
      </c>
      <c r="C52" t="s">
        <v>12</v>
      </c>
      <c r="D52" t="s">
        <v>36</v>
      </c>
      <c r="E52" t="s">
        <v>37</v>
      </c>
      <c r="F52">
        <v>200</v>
      </c>
      <c r="G52" s="2">
        <v>2.73</v>
      </c>
      <c r="H52" s="1">
        <v>46166.625350844908</v>
      </c>
      <c r="I52" s="1">
        <v>46166.625350879629</v>
      </c>
      <c r="J52" t="s">
        <v>15</v>
      </c>
      <c r="K52" t="s">
        <v>16</v>
      </c>
      <c r="L52" s="1">
        <v>46166.625350902781</v>
      </c>
    </row>
    <row r="53" spans="1:12" x14ac:dyDescent="0.25">
      <c r="A53" t="s">
        <v>49</v>
      </c>
      <c r="B53" t="str">
        <f>resultado_db_usuario_1[[#This Row],[metodo]]&amp;" "&amp;SUBSTITUTE(resultado_db_usuario_1[[#This Row],[rota]],"/api/v1","")</f>
        <v>GET /pecas/:id</v>
      </c>
      <c r="C53" t="s">
        <v>12</v>
      </c>
      <c r="D53" t="s">
        <v>36</v>
      </c>
      <c r="E53" t="s">
        <v>37</v>
      </c>
      <c r="F53">
        <v>200</v>
      </c>
      <c r="G53" s="2">
        <v>2.97</v>
      </c>
      <c r="H53" s="1">
        <v>46166.625351886571</v>
      </c>
      <c r="I53" s="1">
        <v>46166.625351921299</v>
      </c>
      <c r="J53" t="s">
        <v>15</v>
      </c>
      <c r="K53" t="s">
        <v>16</v>
      </c>
      <c r="L53" s="1">
        <v>46166.625351979164</v>
      </c>
    </row>
    <row r="54" spans="1:12" x14ac:dyDescent="0.25">
      <c r="A54" t="s">
        <v>59</v>
      </c>
      <c r="B54" t="str">
        <f>resultado_db_usuario_1[[#This Row],[metodo]]&amp;" "&amp;SUBSTITUTE(resultado_db_usuario_1[[#This Row],[rota]],"/api/v1","")</f>
        <v>GET /pecas/:id</v>
      </c>
      <c r="C54" t="s">
        <v>12</v>
      </c>
      <c r="D54" t="s">
        <v>36</v>
      </c>
      <c r="E54" t="s">
        <v>37</v>
      </c>
      <c r="F54">
        <v>200</v>
      </c>
      <c r="G54" s="2">
        <v>2.71</v>
      </c>
      <c r="H54" s="1">
        <v>46166.625352858799</v>
      </c>
      <c r="I54" s="1">
        <v>46166.625352893519</v>
      </c>
      <c r="J54" t="s">
        <v>15</v>
      </c>
      <c r="K54" t="s">
        <v>16</v>
      </c>
      <c r="L54" s="1">
        <v>46166.625352916664</v>
      </c>
    </row>
    <row r="55" spans="1:12" x14ac:dyDescent="0.25">
      <c r="A55" t="s">
        <v>69</v>
      </c>
      <c r="B55" t="str">
        <f>resultado_db_usuario_1[[#This Row],[metodo]]&amp;" "&amp;SUBSTITUTE(resultado_db_usuario_1[[#This Row],[rota]],"/api/v1","")</f>
        <v>GET /pecas/:id</v>
      </c>
      <c r="C55" t="s">
        <v>12</v>
      </c>
      <c r="D55" t="s">
        <v>36</v>
      </c>
      <c r="E55" t="s">
        <v>37</v>
      </c>
      <c r="F55">
        <v>200</v>
      </c>
      <c r="G55" s="2">
        <v>2.4300000000000002</v>
      </c>
      <c r="H55" s="1">
        <v>46166.625353842595</v>
      </c>
      <c r="I55" s="1">
        <v>46166.625353877316</v>
      </c>
      <c r="J55" t="s">
        <v>15</v>
      </c>
      <c r="K55" t="s">
        <v>16</v>
      </c>
      <c r="L55" s="1">
        <v>46166.625353900461</v>
      </c>
    </row>
    <row r="56" spans="1:12" x14ac:dyDescent="0.25">
      <c r="A56" t="s">
        <v>79</v>
      </c>
      <c r="B56" t="str">
        <f>resultado_db_usuario_1[[#This Row],[metodo]]&amp;" "&amp;SUBSTITUTE(resultado_db_usuario_1[[#This Row],[rota]],"/api/v1","")</f>
        <v>GET /pecas/:id</v>
      </c>
      <c r="C56" t="s">
        <v>12</v>
      </c>
      <c r="D56" t="s">
        <v>36</v>
      </c>
      <c r="E56" t="s">
        <v>37</v>
      </c>
      <c r="F56">
        <v>200</v>
      </c>
      <c r="G56" s="2">
        <v>2.5099999999999998</v>
      </c>
      <c r="H56" s="1">
        <v>46166.625354837961</v>
      </c>
      <c r="I56" s="1">
        <v>46166.625354861113</v>
      </c>
      <c r="J56" t="s">
        <v>15</v>
      </c>
      <c r="K56" t="s">
        <v>16</v>
      </c>
      <c r="L56" s="1">
        <v>46166.625354895834</v>
      </c>
    </row>
    <row r="57" spans="1:12" x14ac:dyDescent="0.25">
      <c r="A57" t="s">
        <v>89</v>
      </c>
      <c r="B57" t="str">
        <f>resultado_db_usuario_1[[#This Row],[metodo]]&amp;" "&amp;SUBSTITUTE(resultado_db_usuario_1[[#This Row],[rota]],"/api/v1","")</f>
        <v>GET /pecas/:id</v>
      </c>
      <c r="C57" t="s">
        <v>12</v>
      </c>
      <c r="D57" t="s">
        <v>36</v>
      </c>
      <c r="E57" t="s">
        <v>37</v>
      </c>
      <c r="F57">
        <v>200</v>
      </c>
      <c r="G57" s="2">
        <v>2.57</v>
      </c>
      <c r="H57" s="1">
        <v>46166.625355833334</v>
      </c>
      <c r="I57" s="1">
        <v>46166.625355856479</v>
      </c>
      <c r="J57" t="s">
        <v>15</v>
      </c>
      <c r="K57" t="s">
        <v>16</v>
      </c>
      <c r="L57" s="1">
        <v>46166.625355891207</v>
      </c>
    </row>
    <row r="58" spans="1:12" x14ac:dyDescent="0.25">
      <c r="A58" t="s">
        <v>99</v>
      </c>
      <c r="B58" t="str">
        <f>resultado_db_usuario_1[[#This Row],[metodo]]&amp;" "&amp;SUBSTITUTE(resultado_db_usuario_1[[#This Row],[rota]],"/api/v1","")</f>
        <v>GET /pecas/:id</v>
      </c>
      <c r="C58" t="s">
        <v>12</v>
      </c>
      <c r="D58" t="s">
        <v>36</v>
      </c>
      <c r="E58" t="s">
        <v>37</v>
      </c>
      <c r="F58">
        <v>200</v>
      </c>
      <c r="G58" s="2">
        <v>3.55</v>
      </c>
      <c r="H58" s="1">
        <v>46166.625356875003</v>
      </c>
      <c r="I58" s="1">
        <v>46166.625356921293</v>
      </c>
      <c r="J58" t="s">
        <v>15</v>
      </c>
      <c r="K58" t="s">
        <v>16</v>
      </c>
      <c r="L58" s="1">
        <v>46166.625356944445</v>
      </c>
    </row>
    <row r="59" spans="1:12" x14ac:dyDescent="0.25">
      <c r="A59" t="s">
        <v>109</v>
      </c>
      <c r="B59" t="str">
        <f>resultado_db_usuario_1[[#This Row],[metodo]]&amp;" "&amp;SUBSTITUTE(resultado_db_usuario_1[[#This Row],[rota]],"/api/v1","")</f>
        <v>GET /pecas/:id</v>
      </c>
      <c r="C59" t="s">
        <v>12</v>
      </c>
      <c r="D59" t="s">
        <v>36</v>
      </c>
      <c r="E59" t="s">
        <v>37</v>
      </c>
      <c r="F59">
        <v>200</v>
      </c>
      <c r="G59" s="2">
        <v>2.14</v>
      </c>
      <c r="H59" s="1">
        <v>46166.625358067133</v>
      </c>
      <c r="I59" s="1">
        <v>46166.625358090278</v>
      </c>
      <c r="J59" t="s">
        <v>15</v>
      </c>
      <c r="K59" t="s">
        <v>16</v>
      </c>
      <c r="L59" s="1">
        <v>46166.625358113422</v>
      </c>
    </row>
    <row r="60" spans="1:12" x14ac:dyDescent="0.25">
      <c r="A60" t="s">
        <v>119</v>
      </c>
      <c r="B60" t="str">
        <f>resultado_db_usuario_1[[#This Row],[metodo]]&amp;" "&amp;SUBSTITUTE(resultado_db_usuario_1[[#This Row],[rota]],"/api/v1","")</f>
        <v>GET /pecas/:id</v>
      </c>
      <c r="C60" t="s">
        <v>12</v>
      </c>
      <c r="D60" t="s">
        <v>36</v>
      </c>
      <c r="E60" t="s">
        <v>37</v>
      </c>
      <c r="F60">
        <v>200</v>
      </c>
      <c r="G60" s="2">
        <v>2.85</v>
      </c>
      <c r="H60" s="1">
        <v>46166.625358969904</v>
      </c>
      <c r="I60" s="1">
        <v>46166.625359004633</v>
      </c>
      <c r="J60" t="s">
        <v>15</v>
      </c>
      <c r="K60" t="s">
        <v>16</v>
      </c>
      <c r="L60" s="1">
        <v>46166.625359039353</v>
      </c>
    </row>
    <row r="61" spans="1:12" x14ac:dyDescent="0.25">
      <c r="A61" t="s">
        <v>129</v>
      </c>
      <c r="B61" t="str">
        <f>resultado_db_usuario_1[[#This Row],[metodo]]&amp;" "&amp;SUBSTITUTE(resultado_db_usuario_1[[#This Row],[rota]],"/api/v1","")</f>
        <v>GET /pecas/:id</v>
      </c>
      <c r="C61" t="s">
        <v>12</v>
      </c>
      <c r="D61" t="s">
        <v>36</v>
      </c>
      <c r="E61" t="s">
        <v>37</v>
      </c>
      <c r="F61">
        <v>200</v>
      </c>
      <c r="G61" s="2">
        <v>2.57</v>
      </c>
      <c r="H61" s="1">
        <v>46166.625359999998</v>
      </c>
      <c r="I61" s="1">
        <v>46166.62536002315</v>
      </c>
      <c r="J61" t="s">
        <v>15</v>
      </c>
      <c r="K61" t="s">
        <v>16</v>
      </c>
      <c r="L61" s="1">
        <v>46166.625360057871</v>
      </c>
    </row>
    <row r="62" spans="1:12" x14ac:dyDescent="0.25">
      <c r="A62" t="s">
        <v>26</v>
      </c>
      <c r="B62" t="str">
        <f>resultado_db_usuario_1[[#This Row],[metodo]]&amp;" "&amp;SUBSTITUTE(resultado_db_usuario_1[[#This Row],[rota]],"/api/v1","")</f>
        <v>GET /relatorios/</v>
      </c>
      <c r="C62" t="s">
        <v>12</v>
      </c>
      <c r="D62" t="s">
        <v>27</v>
      </c>
      <c r="E62" t="s">
        <v>28</v>
      </c>
      <c r="F62">
        <v>200</v>
      </c>
      <c r="G62" s="2">
        <v>5.21</v>
      </c>
      <c r="H62" s="1">
        <v>46166.625350289352</v>
      </c>
      <c r="I62" s="1">
        <v>46166.625350358794</v>
      </c>
      <c r="J62" t="s">
        <v>15</v>
      </c>
      <c r="K62" t="s">
        <v>16</v>
      </c>
      <c r="L62" s="1">
        <v>46166.625350381946</v>
      </c>
    </row>
    <row r="63" spans="1:12" x14ac:dyDescent="0.25">
      <c r="A63" t="s">
        <v>45</v>
      </c>
      <c r="B63" t="str">
        <f>resultado_db_usuario_1[[#This Row],[metodo]]&amp;" "&amp;SUBSTITUTE(resultado_db_usuario_1[[#This Row],[rota]],"/api/v1","")</f>
        <v>GET /relatorios/</v>
      </c>
      <c r="C63" t="s">
        <v>12</v>
      </c>
      <c r="D63" t="s">
        <v>27</v>
      </c>
      <c r="E63" t="s">
        <v>28</v>
      </c>
      <c r="F63">
        <v>200</v>
      </c>
      <c r="G63" s="2">
        <v>4.3099999999999996</v>
      </c>
      <c r="H63" s="1">
        <v>46166.625351435185</v>
      </c>
      <c r="I63" s="1">
        <v>46166.625351481482</v>
      </c>
      <c r="J63" t="s">
        <v>15</v>
      </c>
      <c r="K63" t="s">
        <v>16</v>
      </c>
      <c r="L63" s="1">
        <v>46166.625351516202</v>
      </c>
    </row>
    <row r="64" spans="1:12" x14ac:dyDescent="0.25">
      <c r="A64" t="s">
        <v>55</v>
      </c>
      <c r="B64" t="str">
        <f>resultado_db_usuario_1[[#This Row],[metodo]]&amp;" "&amp;SUBSTITUTE(resultado_db_usuario_1[[#This Row],[rota]],"/api/v1","")</f>
        <v>GET /relatorios/</v>
      </c>
      <c r="C64" t="s">
        <v>12</v>
      </c>
      <c r="D64" t="s">
        <v>27</v>
      </c>
      <c r="E64" t="s">
        <v>28</v>
      </c>
      <c r="F64">
        <v>200</v>
      </c>
      <c r="G64" s="2">
        <v>5.28</v>
      </c>
      <c r="H64" s="1">
        <v>46166.625352453702</v>
      </c>
      <c r="I64" s="1">
        <v>46166.625352511575</v>
      </c>
      <c r="J64" t="s">
        <v>15</v>
      </c>
      <c r="K64" t="s">
        <v>16</v>
      </c>
      <c r="L64" s="1">
        <v>46166.625352546296</v>
      </c>
    </row>
    <row r="65" spans="1:12" x14ac:dyDescent="0.25">
      <c r="A65" t="s">
        <v>65</v>
      </c>
      <c r="B65" t="str">
        <f>resultado_db_usuario_1[[#This Row],[metodo]]&amp;" "&amp;SUBSTITUTE(resultado_db_usuario_1[[#This Row],[rota]],"/api/v1","")</f>
        <v>GET /relatorios/</v>
      </c>
      <c r="C65" t="s">
        <v>12</v>
      </c>
      <c r="D65" t="s">
        <v>27</v>
      </c>
      <c r="E65" t="s">
        <v>28</v>
      </c>
      <c r="F65">
        <v>200</v>
      </c>
      <c r="G65" s="2">
        <v>5.01</v>
      </c>
      <c r="H65" s="1">
        <v>46166.625353402778</v>
      </c>
      <c r="I65" s="1">
        <v>46166.625353460651</v>
      </c>
      <c r="J65" t="s">
        <v>15</v>
      </c>
      <c r="K65" t="s">
        <v>16</v>
      </c>
      <c r="L65" s="1">
        <v>46166.625353495372</v>
      </c>
    </row>
    <row r="66" spans="1:12" x14ac:dyDescent="0.25">
      <c r="A66" t="s">
        <v>75</v>
      </c>
      <c r="B66" t="str">
        <f>resultado_db_usuario_1[[#This Row],[metodo]]&amp;" "&amp;SUBSTITUTE(resultado_db_usuario_1[[#This Row],[rota]],"/api/v1","")</f>
        <v>GET /relatorios/</v>
      </c>
      <c r="C66" t="s">
        <v>12</v>
      </c>
      <c r="D66" t="s">
        <v>27</v>
      </c>
      <c r="E66" t="s">
        <v>28</v>
      </c>
      <c r="F66">
        <v>200</v>
      </c>
      <c r="G66" s="2">
        <v>4.43</v>
      </c>
      <c r="H66" s="1">
        <v>46166.625354432872</v>
      </c>
      <c r="I66" s="1">
        <v>46166.625354479169</v>
      </c>
      <c r="J66" t="s">
        <v>15</v>
      </c>
      <c r="K66" t="s">
        <v>16</v>
      </c>
      <c r="L66" s="1">
        <v>46166.62535451389</v>
      </c>
    </row>
    <row r="67" spans="1:12" x14ac:dyDescent="0.25">
      <c r="A67" t="s">
        <v>85</v>
      </c>
      <c r="B67" t="str">
        <f>resultado_db_usuario_1[[#This Row],[metodo]]&amp;" "&amp;SUBSTITUTE(resultado_db_usuario_1[[#This Row],[rota]],"/api/v1","")</f>
        <v>GET /relatorios/</v>
      </c>
      <c r="C67" t="s">
        <v>12</v>
      </c>
      <c r="D67" t="s">
        <v>27</v>
      </c>
      <c r="E67" t="s">
        <v>28</v>
      </c>
      <c r="F67">
        <v>200</v>
      </c>
      <c r="G67" s="2">
        <v>4.25</v>
      </c>
      <c r="H67" s="1">
        <v>46166.625355428238</v>
      </c>
      <c r="I67" s="1">
        <v>46166.625355474534</v>
      </c>
      <c r="J67" t="s">
        <v>15</v>
      </c>
      <c r="K67" t="s">
        <v>16</v>
      </c>
      <c r="L67" s="1">
        <v>46166.625355509263</v>
      </c>
    </row>
    <row r="68" spans="1:12" x14ac:dyDescent="0.25">
      <c r="A68" t="s">
        <v>95</v>
      </c>
      <c r="B68" t="str">
        <f>resultado_db_usuario_1[[#This Row],[metodo]]&amp;" "&amp;SUBSTITUTE(resultado_db_usuario_1[[#This Row],[rota]],"/api/v1","")</f>
        <v>GET /relatorios/</v>
      </c>
      <c r="C68" t="s">
        <v>12</v>
      </c>
      <c r="D68" t="s">
        <v>27</v>
      </c>
      <c r="E68" t="s">
        <v>28</v>
      </c>
      <c r="F68">
        <v>200</v>
      </c>
      <c r="G68" s="2">
        <v>3.53</v>
      </c>
      <c r="H68" s="1">
        <v>46166.625356504628</v>
      </c>
      <c r="I68" s="1">
        <v>46166.625356539349</v>
      </c>
      <c r="J68" t="s">
        <v>15</v>
      </c>
      <c r="K68" t="s">
        <v>16</v>
      </c>
      <c r="L68" s="1">
        <v>46166.625356574077</v>
      </c>
    </row>
    <row r="69" spans="1:12" x14ac:dyDescent="0.25">
      <c r="A69" t="s">
        <v>105</v>
      </c>
      <c r="B69" t="str">
        <f>resultado_db_usuario_1[[#This Row],[metodo]]&amp;" "&amp;SUBSTITUTE(resultado_db_usuario_1[[#This Row],[rota]],"/api/v1","")</f>
        <v>GET /relatorios/</v>
      </c>
      <c r="C69" t="s">
        <v>12</v>
      </c>
      <c r="D69" t="s">
        <v>27</v>
      </c>
      <c r="E69" t="s">
        <v>28</v>
      </c>
      <c r="F69">
        <v>200</v>
      </c>
      <c r="G69" s="2">
        <v>5.14</v>
      </c>
      <c r="H69" s="1">
        <v>46166.62535761574</v>
      </c>
      <c r="I69" s="1">
        <v>46166.625357673613</v>
      </c>
      <c r="J69" t="s">
        <v>15</v>
      </c>
      <c r="K69" t="s">
        <v>16</v>
      </c>
      <c r="L69" s="1">
        <v>46166.625357708333</v>
      </c>
    </row>
    <row r="70" spans="1:12" x14ac:dyDescent="0.25">
      <c r="A70" t="s">
        <v>115</v>
      </c>
      <c r="B70" t="str">
        <f>resultado_db_usuario_1[[#This Row],[metodo]]&amp;" "&amp;SUBSTITUTE(resultado_db_usuario_1[[#This Row],[rota]],"/api/v1","")</f>
        <v>GET /relatorios/</v>
      </c>
      <c r="C70" t="s">
        <v>12</v>
      </c>
      <c r="D70" t="s">
        <v>27</v>
      </c>
      <c r="E70" t="s">
        <v>28</v>
      </c>
      <c r="F70">
        <v>200</v>
      </c>
      <c r="G70" s="2">
        <v>4.58</v>
      </c>
      <c r="H70" s="1">
        <v>46166.625358564816</v>
      </c>
      <c r="I70" s="1">
        <v>46166.625358611112</v>
      </c>
      <c r="J70" t="s">
        <v>15</v>
      </c>
      <c r="K70" t="s">
        <v>16</v>
      </c>
      <c r="L70" s="1">
        <v>46166.625358645833</v>
      </c>
    </row>
    <row r="71" spans="1:12" x14ac:dyDescent="0.25">
      <c r="A71" t="s">
        <v>125</v>
      </c>
      <c r="B71" t="str">
        <f>resultado_db_usuario_1[[#This Row],[metodo]]&amp;" "&amp;SUBSTITUTE(resultado_db_usuario_1[[#This Row],[rota]],"/api/v1","")</f>
        <v>GET /relatorios/</v>
      </c>
      <c r="C71" t="s">
        <v>12</v>
      </c>
      <c r="D71" t="s">
        <v>27</v>
      </c>
      <c r="E71" t="s">
        <v>28</v>
      </c>
      <c r="F71">
        <v>200</v>
      </c>
      <c r="G71" s="2">
        <v>4.92</v>
      </c>
      <c r="H71" s="1">
        <v>46166.625359571757</v>
      </c>
      <c r="I71" s="1">
        <v>46166.62535962963</v>
      </c>
      <c r="J71" t="s">
        <v>15</v>
      </c>
      <c r="K71" t="s">
        <v>16</v>
      </c>
      <c r="L71" s="1">
        <v>46166.625359664351</v>
      </c>
    </row>
    <row r="72" spans="1:12" x14ac:dyDescent="0.25">
      <c r="A72" t="s">
        <v>29</v>
      </c>
      <c r="B72" t="str">
        <f>resultado_db_usuario_1[[#This Row],[metodo]]&amp;" "&amp;SUBSTITUTE(resultado_db_usuario_1[[#This Row],[rota]],"/api/v1","")</f>
        <v>GET /testes/</v>
      </c>
      <c r="C72" t="s">
        <v>12</v>
      </c>
      <c r="D72" t="s">
        <v>30</v>
      </c>
      <c r="E72" t="s">
        <v>31</v>
      </c>
      <c r="F72">
        <v>200</v>
      </c>
      <c r="G72" s="2">
        <v>3.3</v>
      </c>
      <c r="H72" s="1">
        <v>46166.62535037037</v>
      </c>
      <c r="I72" s="1">
        <v>46166.625350405091</v>
      </c>
      <c r="J72" t="s">
        <v>15</v>
      </c>
      <c r="K72" t="s">
        <v>16</v>
      </c>
      <c r="L72" s="1">
        <v>46166.625350439812</v>
      </c>
    </row>
    <row r="73" spans="1:12" x14ac:dyDescent="0.25">
      <c r="A73" t="s">
        <v>46</v>
      </c>
      <c r="B73" t="str">
        <f>resultado_db_usuario_1[[#This Row],[metodo]]&amp;" "&amp;SUBSTITUTE(resultado_db_usuario_1[[#This Row],[rota]],"/api/v1","")</f>
        <v>GET /testes/</v>
      </c>
      <c r="C73" t="s">
        <v>12</v>
      </c>
      <c r="D73" t="s">
        <v>30</v>
      </c>
      <c r="E73" t="s">
        <v>31</v>
      </c>
      <c r="F73">
        <v>200</v>
      </c>
      <c r="G73" s="2">
        <v>4.13</v>
      </c>
      <c r="H73" s="1">
        <v>46166.625351504626</v>
      </c>
      <c r="I73" s="1">
        <v>46166.625351550923</v>
      </c>
      <c r="J73" t="s">
        <v>15</v>
      </c>
      <c r="K73" t="s">
        <v>16</v>
      </c>
      <c r="L73" s="1">
        <v>46166.625351585652</v>
      </c>
    </row>
    <row r="74" spans="1:12" x14ac:dyDescent="0.25">
      <c r="A74" t="s">
        <v>56</v>
      </c>
      <c r="B74" t="str">
        <f>resultado_db_usuario_1[[#This Row],[metodo]]&amp;" "&amp;SUBSTITUTE(resultado_db_usuario_1[[#This Row],[rota]],"/api/v1","")</f>
        <v>GET /testes/</v>
      </c>
      <c r="C74" t="s">
        <v>12</v>
      </c>
      <c r="D74" t="s">
        <v>30</v>
      </c>
      <c r="E74" t="s">
        <v>31</v>
      </c>
      <c r="F74">
        <v>200</v>
      </c>
      <c r="G74" s="2">
        <v>3.6</v>
      </c>
      <c r="H74" s="1">
        <v>46166.625352523151</v>
      </c>
      <c r="I74" s="1">
        <v>46166.625352569441</v>
      </c>
      <c r="J74" t="s">
        <v>15</v>
      </c>
      <c r="K74" t="s">
        <v>16</v>
      </c>
      <c r="L74" s="1">
        <v>46166.625352604169</v>
      </c>
    </row>
    <row r="75" spans="1:12" x14ac:dyDescent="0.25">
      <c r="A75" t="s">
        <v>66</v>
      </c>
      <c r="B75" t="str">
        <f>resultado_db_usuario_1[[#This Row],[metodo]]&amp;" "&amp;SUBSTITUTE(resultado_db_usuario_1[[#This Row],[rota]],"/api/v1","")</f>
        <v>GET /testes/</v>
      </c>
      <c r="C75" t="s">
        <v>12</v>
      </c>
      <c r="D75" t="s">
        <v>30</v>
      </c>
      <c r="E75" t="s">
        <v>31</v>
      </c>
      <c r="F75">
        <v>200</v>
      </c>
      <c r="G75" s="2">
        <v>3.31</v>
      </c>
      <c r="H75" s="1">
        <v>46166.62535347222</v>
      </c>
      <c r="I75" s="1">
        <v>46166.625353518517</v>
      </c>
      <c r="J75" t="s">
        <v>15</v>
      </c>
      <c r="K75" t="s">
        <v>16</v>
      </c>
      <c r="L75" s="1">
        <v>46166.625353541669</v>
      </c>
    </row>
    <row r="76" spans="1:12" x14ac:dyDescent="0.25">
      <c r="A76" t="s">
        <v>76</v>
      </c>
      <c r="B76" t="str">
        <f>resultado_db_usuario_1[[#This Row],[metodo]]&amp;" "&amp;SUBSTITUTE(resultado_db_usuario_1[[#This Row],[rota]],"/api/v1","")</f>
        <v>GET /testes/</v>
      </c>
      <c r="C76" t="s">
        <v>12</v>
      </c>
      <c r="D76" t="s">
        <v>30</v>
      </c>
      <c r="E76" t="s">
        <v>31</v>
      </c>
      <c r="F76">
        <v>200</v>
      </c>
      <c r="G76" s="2">
        <v>3.28</v>
      </c>
      <c r="H76" s="1">
        <v>46166.625354502314</v>
      </c>
      <c r="I76" s="1">
        <v>46166.625354537035</v>
      </c>
      <c r="J76" t="s">
        <v>15</v>
      </c>
      <c r="K76" t="s">
        <v>16</v>
      </c>
      <c r="L76" s="1">
        <v>46166.625354571763</v>
      </c>
    </row>
    <row r="77" spans="1:12" x14ac:dyDescent="0.25">
      <c r="A77" t="s">
        <v>86</v>
      </c>
      <c r="B77" t="str">
        <f>resultado_db_usuario_1[[#This Row],[metodo]]&amp;" "&amp;SUBSTITUTE(resultado_db_usuario_1[[#This Row],[rota]],"/api/v1","")</f>
        <v>GET /testes/</v>
      </c>
      <c r="C77" t="s">
        <v>12</v>
      </c>
      <c r="D77" t="s">
        <v>30</v>
      </c>
      <c r="E77" t="s">
        <v>31</v>
      </c>
      <c r="F77">
        <v>200</v>
      </c>
      <c r="G77" s="2">
        <v>4.16</v>
      </c>
      <c r="H77" s="1">
        <v>46166.62535548611</v>
      </c>
      <c r="I77" s="1">
        <v>46166.625355543983</v>
      </c>
      <c r="J77" t="s">
        <v>15</v>
      </c>
      <c r="K77" t="s">
        <v>16</v>
      </c>
      <c r="L77" s="1">
        <v>46166.625355567128</v>
      </c>
    </row>
    <row r="78" spans="1:12" x14ac:dyDescent="0.25">
      <c r="A78" t="s">
        <v>96</v>
      </c>
      <c r="B78" t="str">
        <f>resultado_db_usuario_1[[#This Row],[metodo]]&amp;" "&amp;SUBSTITUTE(resultado_db_usuario_1[[#This Row],[rota]],"/api/v1","")</f>
        <v>GET /testes/</v>
      </c>
      <c r="C78" t="s">
        <v>12</v>
      </c>
      <c r="D78" t="s">
        <v>30</v>
      </c>
      <c r="E78" t="s">
        <v>31</v>
      </c>
      <c r="F78">
        <v>200</v>
      </c>
      <c r="G78" s="2">
        <v>4.38</v>
      </c>
      <c r="H78" s="1">
        <v>46166.625356562501</v>
      </c>
      <c r="I78" s="1">
        <v>46166.625356608798</v>
      </c>
      <c r="J78" t="s">
        <v>15</v>
      </c>
      <c r="K78" t="s">
        <v>16</v>
      </c>
      <c r="L78" s="1">
        <v>46166.625356643519</v>
      </c>
    </row>
    <row r="79" spans="1:12" x14ac:dyDescent="0.25">
      <c r="A79" t="s">
        <v>106</v>
      </c>
      <c r="B79" t="str">
        <f>resultado_db_usuario_1[[#This Row],[metodo]]&amp;" "&amp;SUBSTITUTE(resultado_db_usuario_1[[#This Row],[rota]],"/api/v1","")</f>
        <v>GET /testes/</v>
      </c>
      <c r="C79" t="s">
        <v>12</v>
      </c>
      <c r="D79" t="s">
        <v>30</v>
      </c>
      <c r="E79" t="s">
        <v>31</v>
      </c>
      <c r="F79">
        <v>200</v>
      </c>
      <c r="G79" s="2">
        <v>4.4800000000000004</v>
      </c>
      <c r="H79" s="1">
        <v>46166.625357696757</v>
      </c>
      <c r="I79" s="1">
        <v>46166.625357743054</v>
      </c>
      <c r="J79" t="s">
        <v>15</v>
      </c>
      <c r="K79" t="s">
        <v>16</v>
      </c>
      <c r="L79" s="1">
        <v>46166.625357777775</v>
      </c>
    </row>
    <row r="80" spans="1:12" x14ac:dyDescent="0.25">
      <c r="A80" t="s">
        <v>116</v>
      </c>
      <c r="B80" t="str">
        <f>resultado_db_usuario_1[[#This Row],[metodo]]&amp;" "&amp;SUBSTITUTE(resultado_db_usuario_1[[#This Row],[rota]],"/api/v1","")</f>
        <v>GET /testes/</v>
      </c>
      <c r="C80" t="s">
        <v>12</v>
      </c>
      <c r="D80" t="s">
        <v>30</v>
      </c>
      <c r="E80" t="s">
        <v>31</v>
      </c>
      <c r="F80">
        <v>200</v>
      </c>
      <c r="G80" s="2">
        <v>2.72</v>
      </c>
      <c r="H80" s="1">
        <v>46166.625358634257</v>
      </c>
      <c r="I80" s="1">
        <v>46166.625358657409</v>
      </c>
      <c r="J80" t="s">
        <v>15</v>
      </c>
      <c r="K80" t="s">
        <v>16</v>
      </c>
      <c r="L80" s="1">
        <v>46166.62535869213</v>
      </c>
    </row>
    <row r="81" spans="1:12" x14ac:dyDescent="0.25">
      <c r="A81" t="s">
        <v>126</v>
      </c>
      <c r="B81" t="str">
        <f>resultado_db_usuario_1[[#This Row],[metodo]]&amp;" "&amp;SUBSTITUTE(resultado_db_usuario_1[[#This Row],[rota]],"/api/v1","")</f>
        <v>GET /testes/</v>
      </c>
      <c r="C81" t="s">
        <v>12</v>
      </c>
      <c r="D81" t="s">
        <v>30</v>
      </c>
      <c r="E81" t="s">
        <v>31</v>
      </c>
      <c r="F81">
        <v>200</v>
      </c>
      <c r="G81" s="2">
        <v>4.17</v>
      </c>
      <c r="H81" s="1">
        <v>46166.625359652775</v>
      </c>
      <c r="I81" s="1">
        <v>46166.625359699072</v>
      </c>
      <c r="J81" t="s">
        <v>15</v>
      </c>
      <c r="K81" t="s">
        <v>16</v>
      </c>
      <c r="L81" s="1">
        <v>46166.625359733793</v>
      </c>
    </row>
    <row r="82" spans="1:12" x14ac:dyDescent="0.25">
      <c r="A82" t="s">
        <v>34</v>
      </c>
      <c r="B82" t="str">
        <f>resultado_db_usuario_1[[#This Row],[metodo]]&amp;" "&amp;SUBSTITUTE(resultado_db_usuario_1[[#This Row],[rota]],"/api/v1","")</f>
        <v>PATCH /pecas/:id</v>
      </c>
      <c r="C82" t="s">
        <v>35</v>
      </c>
      <c r="D82" t="s">
        <v>36</v>
      </c>
      <c r="E82" t="s">
        <v>37</v>
      </c>
      <c r="F82">
        <v>200</v>
      </c>
      <c r="G82" s="2">
        <v>12.61</v>
      </c>
      <c r="H82" s="1">
        <v>46166.625350682873</v>
      </c>
      <c r="I82" s="1">
        <v>46166.625350833332</v>
      </c>
      <c r="J82" t="s">
        <v>15</v>
      </c>
      <c r="K82" t="s">
        <v>16</v>
      </c>
      <c r="L82" s="1">
        <v>46166.625350856484</v>
      </c>
    </row>
    <row r="83" spans="1:12" x14ac:dyDescent="0.25">
      <c r="A83" t="s">
        <v>48</v>
      </c>
      <c r="B83" t="str">
        <f>resultado_db_usuario_1[[#This Row],[metodo]]&amp;" "&amp;SUBSTITUTE(resultado_db_usuario_1[[#This Row],[rota]],"/api/v1","")</f>
        <v>PATCH /pecas/:id</v>
      </c>
      <c r="C83" t="s">
        <v>35</v>
      </c>
      <c r="D83" t="s">
        <v>36</v>
      </c>
      <c r="E83" t="s">
        <v>37</v>
      </c>
      <c r="F83">
        <v>200</v>
      </c>
      <c r="G83" s="2">
        <v>11.41</v>
      </c>
      <c r="H83" s="1">
        <v>46166.625351736111</v>
      </c>
      <c r="I83" s="1">
        <v>46166.625351863426</v>
      </c>
      <c r="J83" t="s">
        <v>15</v>
      </c>
      <c r="K83" t="s">
        <v>16</v>
      </c>
      <c r="L83" s="1">
        <v>46166.625351898147</v>
      </c>
    </row>
    <row r="84" spans="1:12" x14ac:dyDescent="0.25">
      <c r="A84" t="s">
        <v>58</v>
      </c>
      <c r="B84" t="str">
        <f>resultado_db_usuario_1[[#This Row],[metodo]]&amp;" "&amp;SUBSTITUTE(resultado_db_usuario_1[[#This Row],[rota]],"/api/v1","")</f>
        <v>PATCH /pecas/:id</v>
      </c>
      <c r="C84" t="s">
        <v>35</v>
      </c>
      <c r="D84" t="s">
        <v>36</v>
      </c>
      <c r="E84" t="s">
        <v>37</v>
      </c>
      <c r="F84">
        <v>200</v>
      </c>
      <c r="G84" s="2">
        <v>9.43</v>
      </c>
      <c r="H84" s="1">
        <v>46166.625352719908</v>
      </c>
      <c r="I84" s="1">
        <v>46166.625352824078</v>
      </c>
      <c r="J84" t="s">
        <v>15</v>
      </c>
      <c r="K84" t="s">
        <v>16</v>
      </c>
      <c r="L84" s="1">
        <v>46166.625352847223</v>
      </c>
    </row>
    <row r="85" spans="1:12" x14ac:dyDescent="0.25">
      <c r="A85" t="s">
        <v>68</v>
      </c>
      <c r="B85" t="str">
        <f>resultado_db_usuario_1[[#This Row],[metodo]]&amp;" "&amp;SUBSTITUTE(resultado_db_usuario_1[[#This Row],[rota]],"/api/v1","")</f>
        <v>PATCH /pecas/:id</v>
      </c>
      <c r="C85" t="s">
        <v>35</v>
      </c>
      <c r="D85" t="s">
        <v>36</v>
      </c>
      <c r="E85" t="s">
        <v>37</v>
      </c>
      <c r="F85">
        <v>200</v>
      </c>
      <c r="G85" s="2">
        <v>11.89</v>
      </c>
      <c r="H85" s="1">
        <v>46166.625353692129</v>
      </c>
      <c r="I85" s="1">
        <v>46166.625353831019</v>
      </c>
      <c r="J85" t="s">
        <v>15</v>
      </c>
      <c r="K85" t="s">
        <v>16</v>
      </c>
      <c r="L85" s="1">
        <v>46166.62535386574</v>
      </c>
    </row>
    <row r="86" spans="1:12" x14ac:dyDescent="0.25">
      <c r="A86" t="s">
        <v>78</v>
      </c>
      <c r="B86" t="str">
        <f>resultado_db_usuario_1[[#This Row],[metodo]]&amp;" "&amp;SUBSTITUTE(resultado_db_usuario_1[[#This Row],[rota]],"/api/v1","")</f>
        <v>PATCH /pecas/:id</v>
      </c>
      <c r="C86" t="s">
        <v>35</v>
      </c>
      <c r="D86" t="s">
        <v>36</v>
      </c>
      <c r="E86" t="s">
        <v>37</v>
      </c>
      <c r="F86">
        <v>200</v>
      </c>
      <c r="G86" s="2">
        <v>9.23</v>
      </c>
      <c r="H86" s="1">
        <v>46166.625354710646</v>
      </c>
      <c r="I86" s="1">
        <v>46166.625354814816</v>
      </c>
      <c r="J86" t="s">
        <v>15</v>
      </c>
      <c r="K86" t="s">
        <v>16</v>
      </c>
      <c r="L86" s="1">
        <v>46166.625354849537</v>
      </c>
    </row>
    <row r="87" spans="1:12" x14ac:dyDescent="0.25">
      <c r="A87" t="s">
        <v>88</v>
      </c>
      <c r="B87" t="str">
        <f>resultado_db_usuario_1[[#This Row],[metodo]]&amp;" "&amp;SUBSTITUTE(resultado_db_usuario_1[[#This Row],[rota]],"/api/v1","")</f>
        <v>PATCH /pecas/:id</v>
      </c>
      <c r="C87" t="s">
        <v>35</v>
      </c>
      <c r="D87" t="s">
        <v>36</v>
      </c>
      <c r="E87" t="s">
        <v>37</v>
      </c>
      <c r="F87">
        <v>200</v>
      </c>
      <c r="G87" s="2">
        <v>9.3800000000000008</v>
      </c>
      <c r="H87" s="1">
        <v>46166.625355706019</v>
      </c>
      <c r="I87" s="1">
        <v>46166.625355810182</v>
      </c>
      <c r="J87" t="s">
        <v>15</v>
      </c>
      <c r="K87" t="s">
        <v>16</v>
      </c>
      <c r="L87" s="1">
        <v>46166.62535584491</v>
      </c>
    </row>
    <row r="88" spans="1:12" x14ac:dyDescent="0.25">
      <c r="A88" t="s">
        <v>98</v>
      </c>
      <c r="B88" t="str">
        <f>resultado_db_usuario_1[[#This Row],[metodo]]&amp;" "&amp;SUBSTITUTE(resultado_db_usuario_1[[#This Row],[rota]],"/api/v1","")</f>
        <v>PATCH /pecas/:id</v>
      </c>
      <c r="C88" t="s">
        <v>35</v>
      </c>
      <c r="D88" t="s">
        <v>36</v>
      </c>
      <c r="E88" t="s">
        <v>37</v>
      </c>
      <c r="F88">
        <v>200</v>
      </c>
      <c r="G88" s="2">
        <v>8.3699999999999992</v>
      </c>
      <c r="H88" s="1">
        <v>46166.625356770834</v>
      </c>
      <c r="I88" s="1">
        <v>46166.625356863427</v>
      </c>
      <c r="J88" t="s">
        <v>15</v>
      </c>
      <c r="K88" t="s">
        <v>16</v>
      </c>
      <c r="L88" s="1">
        <v>46166.625356886572</v>
      </c>
    </row>
    <row r="89" spans="1:12" x14ac:dyDescent="0.25">
      <c r="A89" t="s">
        <v>108</v>
      </c>
      <c r="B89" t="str">
        <f>resultado_db_usuario_1[[#This Row],[metodo]]&amp;" "&amp;SUBSTITUTE(resultado_db_usuario_1[[#This Row],[rota]],"/api/v1","")</f>
        <v>PATCH /pecas/:id</v>
      </c>
      <c r="C89" t="s">
        <v>35</v>
      </c>
      <c r="D89" t="s">
        <v>36</v>
      </c>
      <c r="E89" t="s">
        <v>37</v>
      </c>
      <c r="F89">
        <v>200</v>
      </c>
      <c r="G89" s="2">
        <v>10.95</v>
      </c>
      <c r="H89" s="1">
        <v>46166.625357916666</v>
      </c>
      <c r="I89" s="1">
        <v>46166.625358043981</v>
      </c>
      <c r="J89" t="s">
        <v>15</v>
      </c>
      <c r="K89" t="s">
        <v>16</v>
      </c>
      <c r="L89" s="1">
        <v>46166.625358078702</v>
      </c>
    </row>
    <row r="90" spans="1:12" x14ac:dyDescent="0.25">
      <c r="A90" t="s">
        <v>118</v>
      </c>
      <c r="B90" t="str">
        <f>resultado_db_usuario_1[[#This Row],[metodo]]&amp;" "&amp;SUBSTITUTE(resultado_db_usuario_1[[#This Row],[rota]],"/api/v1","")</f>
        <v>PATCH /pecas/:id</v>
      </c>
      <c r="C90" t="s">
        <v>35</v>
      </c>
      <c r="D90" t="s">
        <v>36</v>
      </c>
      <c r="E90" t="s">
        <v>37</v>
      </c>
      <c r="F90">
        <v>200</v>
      </c>
      <c r="G90" s="2">
        <v>11.26</v>
      </c>
      <c r="H90" s="1">
        <v>46166.625358831021</v>
      </c>
      <c r="I90" s="1">
        <v>46166.625358958336</v>
      </c>
      <c r="J90" t="s">
        <v>15</v>
      </c>
      <c r="K90" t="s">
        <v>16</v>
      </c>
      <c r="L90" s="1">
        <v>46166.625358993057</v>
      </c>
    </row>
    <row r="91" spans="1:12" x14ac:dyDescent="0.25">
      <c r="A91" t="s">
        <v>128</v>
      </c>
      <c r="B91" t="str">
        <f>resultado_db_usuario_1[[#This Row],[metodo]]&amp;" "&amp;SUBSTITUTE(resultado_db_usuario_1[[#This Row],[rota]],"/api/v1","")</f>
        <v>PATCH /pecas/:id</v>
      </c>
      <c r="C91" t="s">
        <v>35</v>
      </c>
      <c r="D91" t="s">
        <v>36</v>
      </c>
      <c r="E91" t="s">
        <v>37</v>
      </c>
      <c r="F91">
        <v>200</v>
      </c>
      <c r="G91" s="2">
        <v>9.6300000000000008</v>
      </c>
      <c r="H91" s="1">
        <v>46166.625359872683</v>
      </c>
      <c r="I91" s="1">
        <v>46166.625359976853</v>
      </c>
      <c r="J91" t="s">
        <v>15</v>
      </c>
      <c r="K91" t="s">
        <v>16</v>
      </c>
      <c r="L91" s="1">
        <v>46166.625360011574</v>
      </c>
    </row>
    <row r="92" spans="1:12" x14ac:dyDescent="0.25">
      <c r="A92" t="s">
        <v>32</v>
      </c>
      <c r="B92" t="str">
        <f>resultado_db_usuario_1[[#This Row],[metodo]]&amp;" "&amp;SUBSTITUTE(resultado_db_usuario_1[[#This Row],[rota]],"/api/v1","")</f>
        <v>POST /pecas/</v>
      </c>
      <c r="C92" t="s">
        <v>33</v>
      </c>
      <c r="D92" t="s">
        <v>24</v>
      </c>
      <c r="E92" t="s">
        <v>25</v>
      </c>
      <c r="F92">
        <v>201</v>
      </c>
      <c r="G92" s="2">
        <v>18.97</v>
      </c>
      <c r="H92" s="1">
        <v>46166.625350428243</v>
      </c>
      <c r="I92" s="1">
        <v>46166.625350648152</v>
      </c>
      <c r="J92" t="s">
        <v>15</v>
      </c>
      <c r="K92" t="s">
        <v>16</v>
      </c>
      <c r="L92" s="1">
        <v>46166.625350682873</v>
      </c>
    </row>
    <row r="93" spans="1:12" x14ac:dyDescent="0.25">
      <c r="A93" t="s">
        <v>47</v>
      </c>
      <c r="B93" t="str">
        <f>resultado_db_usuario_1[[#This Row],[metodo]]&amp;" "&amp;SUBSTITUTE(resultado_db_usuario_1[[#This Row],[rota]],"/api/v1","")</f>
        <v>POST /pecas/</v>
      </c>
      <c r="C93" t="s">
        <v>33</v>
      </c>
      <c r="D93" t="s">
        <v>24</v>
      </c>
      <c r="E93" t="s">
        <v>25</v>
      </c>
      <c r="F93">
        <v>201</v>
      </c>
      <c r="G93" s="2">
        <v>11.93</v>
      </c>
      <c r="H93" s="1">
        <v>46166.625351574075</v>
      </c>
      <c r="I93" s="1">
        <v>46166.625351712966</v>
      </c>
      <c r="J93" t="s">
        <v>15</v>
      </c>
      <c r="K93" t="s">
        <v>16</v>
      </c>
      <c r="L93" s="1">
        <v>46166.625351747687</v>
      </c>
    </row>
    <row r="94" spans="1:12" x14ac:dyDescent="0.25">
      <c r="A94" t="s">
        <v>57</v>
      </c>
      <c r="B94" t="str">
        <f>resultado_db_usuario_1[[#This Row],[metodo]]&amp;" "&amp;SUBSTITUTE(resultado_db_usuario_1[[#This Row],[rota]],"/api/v1","")</f>
        <v>POST /pecas/</v>
      </c>
      <c r="C94" t="s">
        <v>33</v>
      </c>
      <c r="D94" t="s">
        <v>24</v>
      </c>
      <c r="E94" t="s">
        <v>25</v>
      </c>
      <c r="F94">
        <v>201</v>
      </c>
      <c r="G94" s="2">
        <v>9.18</v>
      </c>
      <c r="H94" s="1">
        <v>46166.625352592593</v>
      </c>
      <c r="I94" s="1">
        <v>46166.625352696756</v>
      </c>
      <c r="J94" t="s">
        <v>15</v>
      </c>
      <c r="K94" t="s">
        <v>16</v>
      </c>
      <c r="L94" s="1">
        <v>46166.625352719908</v>
      </c>
    </row>
    <row r="95" spans="1:12" x14ac:dyDescent="0.25">
      <c r="A95" t="s">
        <v>67</v>
      </c>
      <c r="B95" t="str">
        <f>resultado_db_usuario_1[[#This Row],[metodo]]&amp;" "&amp;SUBSTITUTE(resultado_db_usuario_1[[#This Row],[rota]],"/api/v1","")</f>
        <v>POST /pecas/</v>
      </c>
      <c r="C95" t="s">
        <v>33</v>
      </c>
      <c r="D95" t="s">
        <v>24</v>
      </c>
      <c r="E95" t="s">
        <v>25</v>
      </c>
      <c r="F95">
        <v>201</v>
      </c>
      <c r="G95" s="2">
        <v>12.25</v>
      </c>
      <c r="H95" s="1">
        <v>46166.625353530093</v>
      </c>
      <c r="I95" s="1">
        <v>46166.625353680553</v>
      </c>
      <c r="J95" t="s">
        <v>15</v>
      </c>
      <c r="K95" t="s">
        <v>16</v>
      </c>
      <c r="L95" s="1">
        <v>46166.625353703705</v>
      </c>
    </row>
    <row r="96" spans="1:12" x14ac:dyDescent="0.25">
      <c r="A96" t="s">
        <v>77</v>
      </c>
      <c r="B96" t="str">
        <f>resultado_db_usuario_1[[#This Row],[metodo]]&amp;" "&amp;SUBSTITUTE(resultado_db_usuario_1[[#This Row],[rota]],"/api/v1","")</f>
        <v>POST /pecas/</v>
      </c>
      <c r="C96" t="s">
        <v>33</v>
      </c>
      <c r="D96" t="s">
        <v>24</v>
      </c>
      <c r="E96" t="s">
        <v>25</v>
      </c>
      <c r="F96">
        <v>201</v>
      </c>
      <c r="G96" s="2">
        <v>11.14</v>
      </c>
      <c r="H96" s="1">
        <v>46166.625354560187</v>
      </c>
      <c r="I96" s="1">
        <v>46166.625354687501</v>
      </c>
      <c r="J96" t="s">
        <v>15</v>
      </c>
      <c r="K96" t="s">
        <v>16</v>
      </c>
      <c r="L96" s="1">
        <v>46166.625354722222</v>
      </c>
    </row>
    <row r="97" spans="1:12" x14ac:dyDescent="0.25">
      <c r="A97" t="s">
        <v>87</v>
      </c>
      <c r="B97" t="str">
        <f>resultado_db_usuario_1[[#This Row],[metodo]]&amp;" "&amp;SUBSTITUTE(resultado_db_usuario_1[[#This Row],[rota]],"/api/v1","")</f>
        <v>POST /pecas/</v>
      </c>
      <c r="C97" t="s">
        <v>33</v>
      </c>
      <c r="D97" t="s">
        <v>24</v>
      </c>
      <c r="E97" t="s">
        <v>25</v>
      </c>
      <c r="F97">
        <v>201</v>
      </c>
      <c r="G97" s="2">
        <v>10.87</v>
      </c>
      <c r="H97" s="1">
        <v>46166.625355567128</v>
      </c>
      <c r="I97" s="1">
        <v>46166.625355682867</v>
      </c>
      <c r="J97" t="s">
        <v>15</v>
      </c>
      <c r="K97" t="s">
        <v>16</v>
      </c>
      <c r="L97" s="1">
        <v>46166.625355717595</v>
      </c>
    </row>
    <row r="98" spans="1:12" x14ac:dyDescent="0.25">
      <c r="A98" t="s">
        <v>97</v>
      </c>
      <c r="B98" t="str">
        <f>resultado_db_usuario_1[[#This Row],[metodo]]&amp;" "&amp;SUBSTITUTE(resultado_db_usuario_1[[#This Row],[rota]],"/api/v1","")</f>
        <v>POST /pecas/</v>
      </c>
      <c r="C98" t="s">
        <v>33</v>
      </c>
      <c r="D98" t="s">
        <v>24</v>
      </c>
      <c r="E98" t="s">
        <v>25</v>
      </c>
      <c r="F98">
        <v>201</v>
      </c>
      <c r="G98" s="2">
        <v>9.6199999999999992</v>
      </c>
      <c r="H98" s="1">
        <v>46166.625356631943</v>
      </c>
      <c r="I98" s="1">
        <v>46166.625356747689</v>
      </c>
      <c r="J98" t="s">
        <v>15</v>
      </c>
      <c r="K98" t="s">
        <v>16</v>
      </c>
      <c r="L98" s="1">
        <v>46166.625356770834</v>
      </c>
    </row>
    <row r="99" spans="1:12" x14ac:dyDescent="0.25">
      <c r="A99" t="s">
        <v>107</v>
      </c>
      <c r="B99" t="str">
        <f>resultado_db_usuario_1[[#This Row],[metodo]]&amp;" "&amp;SUBSTITUTE(resultado_db_usuario_1[[#This Row],[rota]],"/api/v1","")</f>
        <v>POST /pecas/</v>
      </c>
      <c r="C99" t="s">
        <v>33</v>
      </c>
      <c r="D99" t="s">
        <v>24</v>
      </c>
      <c r="E99" t="s">
        <v>25</v>
      </c>
      <c r="F99">
        <v>201</v>
      </c>
      <c r="G99" s="2">
        <v>11.19</v>
      </c>
      <c r="H99" s="1">
        <v>46166.625357766206</v>
      </c>
      <c r="I99" s="1">
        <v>46166.62535790509</v>
      </c>
      <c r="J99" t="s">
        <v>15</v>
      </c>
      <c r="K99" t="s">
        <v>16</v>
      </c>
      <c r="L99" s="1">
        <v>46166.625357928242</v>
      </c>
    </row>
    <row r="100" spans="1:12" x14ac:dyDescent="0.25">
      <c r="A100" t="s">
        <v>117</v>
      </c>
      <c r="B100" t="str">
        <f>resultado_db_usuario_1[[#This Row],[metodo]]&amp;" "&amp;SUBSTITUTE(resultado_db_usuario_1[[#This Row],[rota]],"/api/v1","")</f>
        <v>POST /pecas/</v>
      </c>
      <c r="C100" t="s">
        <v>33</v>
      </c>
      <c r="D100" t="s">
        <v>24</v>
      </c>
      <c r="E100" t="s">
        <v>25</v>
      </c>
      <c r="F100">
        <v>201</v>
      </c>
      <c r="G100" s="2">
        <v>9.9499999999999993</v>
      </c>
      <c r="H100" s="1">
        <v>46166.625358680554</v>
      </c>
      <c r="I100" s="1">
        <v>46166.625358796293</v>
      </c>
      <c r="J100" t="s">
        <v>15</v>
      </c>
      <c r="K100" t="s">
        <v>16</v>
      </c>
      <c r="L100" s="1">
        <v>46166.625358831021</v>
      </c>
    </row>
    <row r="101" spans="1:12" x14ac:dyDescent="0.25">
      <c r="A101" t="s">
        <v>127</v>
      </c>
      <c r="B101" t="str">
        <f>resultado_db_usuario_1[[#This Row],[metodo]]&amp;" "&amp;SUBSTITUTE(resultado_db_usuario_1[[#This Row],[rota]],"/api/v1","")</f>
        <v>POST /pecas/</v>
      </c>
      <c r="C101" t="s">
        <v>33</v>
      </c>
      <c r="D101" t="s">
        <v>24</v>
      </c>
      <c r="E101" t="s">
        <v>25</v>
      </c>
      <c r="F101">
        <v>201</v>
      </c>
      <c r="G101" s="2">
        <v>11.11</v>
      </c>
      <c r="H101" s="1">
        <v>46166.625359722224</v>
      </c>
      <c r="I101" s="1">
        <v>46166.625359849539</v>
      </c>
      <c r="J101" t="s">
        <v>15</v>
      </c>
      <c r="K101" t="s">
        <v>16</v>
      </c>
      <c r="L101" s="1">
        <v>46166.62535988426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8D43-7211-4278-81F5-5A75E257E446}">
  <dimension ref="A1:L501"/>
  <sheetViews>
    <sheetView workbookViewId="0"/>
  </sheetViews>
  <sheetFormatPr defaultRowHeight="15" x14ac:dyDescent="0.25"/>
  <cols>
    <col min="1" max="1" width="30.5703125" bestFit="1" customWidth="1"/>
    <col min="2" max="2" width="20.28515625" customWidth="1"/>
    <col min="3" max="3" width="10.28515625" bestFit="1" customWidth="1"/>
    <col min="4" max="4" width="34.7109375" bestFit="1" customWidth="1"/>
    <col min="5" max="5" width="20.140625" bestFit="1" customWidth="1"/>
    <col min="6" max="6" width="13.7109375" bestFit="1" customWidth="1"/>
    <col min="7" max="7" width="13" bestFit="1" customWidth="1"/>
    <col min="8" max="9" width="15.5703125" bestFit="1" customWidth="1"/>
    <col min="10" max="10" width="12.7109375" bestFit="1" customWidth="1"/>
    <col min="11" max="11" width="36.140625" bestFit="1" customWidth="1"/>
    <col min="12" max="12" width="15.5703125" bestFit="1" customWidth="1"/>
  </cols>
  <sheetData>
    <row r="1" spans="1:12" x14ac:dyDescent="0.25">
      <c r="A1" t="s">
        <v>0</v>
      </c>
      <c r="B1" t="s">
        <v>135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147</v>
      </c>
      <c r="B2" t="str">
        <f>resultado_db_usuario_5[[#This Row],[metodo]]&amp;" "&amp;SUBSTITUTE(resultado_db_usuario_5[[#This Row],[rota]],"/api/v1","")</f>
        <v>DELETE /pecas/:id</v>
      </c>
      <c r="C2" t="s">
        <v>40</v>
      </c>
      <c r="D2" t="s">
        <v>36</v>
      </c>
      <c r="E2" t="s">
        <v>37</v>
      </c>
      <c r="F2">
        <v>204</v>
      </c>
      <c r="G2" s="2">
        <v>5.55</v>
      </c>
      <c r="H2" s="1">
        <v>46166.637414629629</v>
      </c>
      <c r="I2" s="1">
        <v>46166.637414687502</v>
      </c>
      <c r="J2" t="s">
        <v>15</v>
      </c>
      <c r="K2" t="s">
        <v>16</v>
      </c>
      <c r="L2" s="1">
        <v>46166.637414733799</v>
      </c>
    </row>
    <row r="3" spans="1:12" x14ac:dyDescent="0.25">
      <c r="A3" t="s">
        <v>157</v>
      </c>
      <c r="B3" t="str">
        <f>resultado_db_usuario_5[[#This Row],[metodo]]&amp;" "&amp;SUBSTITUTE(resultado_db_usuario_5[[#This Row],[rota]],"/api/v1","")</f>
        <v>DELETE /pecas/:id</v>
      </c>
      <c r="C3" t="s">
        <v>40</v>
      </c>
      <c r="D3" t="s">
        <v>36</v>
      </c>
      <c r="E3" t="s">
        <v>37</v>
      </c>
      <c r="F3">
        <v>204</v>
      </c>
      <c r="G3" s="2">
        <v>9.5</v>
      </c>
      <c r="H3" s="1">
        <v>46166.637415717596</v>
      </c>
      <c r="I3" s="1">
        <v>46166.637415833335</v>
      </c>
      <c r="J3" t="s">
        <v>15</v>
      </c>
      <c r="K3" t="s">
        <v>16</v>
      </c>
      <c r="L3" s="1">
        <v>46166.637415868056</v>
      </c>
    </row>
    <row r="4" spans="1:12" x14ac:dyDescent="0.25">
      <c r="A4" t="s">
        <v>176</v>
      </c>
      <c r="B4" t="str">
        <f>resultado_db_usuario_5[[#This Row],[metodo]]&amp;" "&amp;SUBSTITUTE(resultado_db_usuario_5[[#This Row],[rota]],"/api/v1","")</f>
        <v>DELETE /pecas/:id</v>
      </c>
      <c r="C4" t="s">
        <v>40</v>
      </c>
      <c r="D4" t="s">
        <v>173</v>
      </c>
      <c r="E4" t="s">
        <v>37</v>
      </c>
      <c r="F4">
        <v>404</v>
      </c>
      <c r="G4" s="2">
        <v>7.61</v>
      </c>
      <c r="H4" s="1">
        <v>46166.637417256941</v>
      </c>
      <c r="I4" s="1">
        <v>46166.637417349535</v>
      </c>
      <c r="J4" t="s">
        <v>15</v>
      </c>
      <c r="K4" t="s">
        <v>16</v>
      </c>
      <c r="L4" s="1">
        <v>46166.637417372687</v>
      </c>
    </row>
    <row r="5" spans="1:12" x14ac:dyDescent="0.25">
      <c r="A5" t="s">
        <v>179</v>
      </c>
      <c r="B5" t="str">
        <f>resultado_db_usuario_5[[#This Row],[metodo]]&amp;" "&amp;SUBSTITUTE(resultado_db_usuario_5[[#This Row],[rota]],"/api/v1","")</f>
        <v>DELETE /pecas/:id</v>
      </c>
      <c r="C5" t="s">
        <v>40</v>
      </c>
      <c r="D5" t="s">
        <v>36</v>
      </c>
      <c r="E5" t="s">
        <v>37</v>
      </c>
      <c r="F5">
        <v>204</v>
      </c>
      <c r="G5" s="2">
        <v>14.37</v>
      </c>
      <c r="H5" s="1">
        <v>46166.63741747685</v>
      </c>
      <c r="I5" s="1">
        <v>46166.637417650461</v>
      </c>
      <c r="J5" t="s">
        <v>15</v>
      </c>
      <c r="K5" t="s">
        <v>16</v>
      </c>
      <c r="L5" s="1">
        <v>46166.637417673614</v>
      </c>
    </row>
    <row r="6" spans="1:12" x14ac:dyDescent="0.25">
      <c r="A6" t="s">
        <v>205</v>
      </c>
      <c r="B6" t="str">
        <f>resultado_db_usuario_5[[#This Row],[metodo]]&amp;" "&amp;SUBSTITUTE(resultado_db_usuario_5[[#This Row],[rota]],"/api/v1","")</f>
        <v>DELETE /pecas/:id</v>
      </c>
      <c r="C6" t="s">
        <v>40</v>
      </c>
      <c r="D6" t="s">
        <v>36</v>
      </c>
      <c r="E6" t="s">
        <v>37</v>
      </c>
      <c r="F6">
        <v>204</v>
      </c>
      <c r="G6" s="2">
        <v>6.95</v>
      </c>
      <c r="H6" s="1">
        <v>46166.637419363426</v>
      </c>
      <c r="I6" s="1">
        <v>46166.637419444443</v>
      </c>
      <c r="J6" t="s">
        <v>15</v>
      </c>
      <c r="K6" t="s">
        <v>16</v>
      </c>
      <c r="L6" s="1">
        <v>46166.637419467595</v>
      </c>
    </row>
    <row r="7" spans="1:12" x14ac:dyDescent="0.25">
      <c r="A7" t="s">
        <v>209</v>
      </c>
      <c r="B7" t="str">
        <f>resultado_db_usuario_5[[#This Row],[metodo]]&amp;" "&amp;SUBSTITUTE(resultado_db_usuario_5[[#This Row],[rota]],"/api/v1","")</f>
        <v>DELETE /pecas/:id</v>
      </c>
      <c r="C7" t="s">
        <v>40</v>
      </c>
      <c r="D7" t="s">
        <v>204</v>
      </c>
      <c r="E7" t="s">
        <v>37</v>
      </c>
      <c r="F7">
        <v>204</v>
      </c>
      <c r="G7" s="2">
        <v>11.74</v>
      </c>
      <c r="H7" s="1">
        <v>46166.637419502316</v>
      </c>
      <c r="I7" s="1">
        <v>46166.637419641207</v>
      </c>
      <c r="J7" t="s">
        <v>15</v>
      </c>
      <c r="K7" t="s">
        <v>16</v>
      </c>
      <c r="L7" s="1">
        <v>46166.637419664352</v>
      </c>
    </row>
    <row r="8" spans="1:12" x14ac:dyDescent="0.25">
      <c r="A8" t="s">
        <v>213</v>
      </c>
      <c r="B8" t="str">
        <f>resultado_db_usuario_5[[#This Row],[metodo]]&amp;" "&amp;SUBSTITUTE(resultado_db_usuario_5[[#This Row],[rota]],"/api/v1","")</f>
        <v>DELETE /pecas/:id</v>
      </c>
      <c r="C8" t="s">
        <v>40</v>
      </c>
      <c r="D8" t="s">
        <v>208</v>
      </c>
      <c r="E8" t="s">
        <v>37</v>
      </c>
      <c r="F8">
        <v>204</v>
      </c>
      <c r="G8" s="2">
        <v>14.18</v>
      </c>
      <c r="H8" s="1">
        <v>46166.637419814811</v>
      </c>
      <c r="I8" s="1">
        <v>46166.637419976854</v>
      </c>
      <c r="J8" t="s">
        <v>15</v>
      </c>
      <c r="K8" t="s">
        <v>16</v>
      </c>
      <c r="L8" s="1">
        <v>46166.637420011575</v>
      </c>
    </row>
    <row r="9" spans="1:12" x14ac:dyDescent="0.25">
      <c r="A9" t="s">
        <v>247</v>
      </c>
      <c r="B9" t="str">
        <f>resultado_db_usuario_5[[#This Row],[metodo]]&amp;" "&amp;SUBSTITUTE(resultado_db_usuario_5[[#This Row],[rota]],"/api/v1","")</f>
        <v>DELETE /pecas/:id</v>
      </c>
      <c r="C9" t="s">
        <v>40</v>
      </c>
      <c r="D9" t="s">
        <v>173</v>
      </c>
      <c r="E9" t="s">
        <v>37</v>
      </c>
      <c r="F9">
        <v>404</v>
      </c>
      <c r="G9" s="2">
        <v>7.62</v>
      </c>
      <c r="H9" s="1">
        <v>46166.637421712963</v>
      </c>
      <c r="I9" s="1">
        <v>46166.637421805557</v>
      </c>
      <c r="J9" t="s">
        <v>15</v>
      </c>
      <c r="K9" t="s">
        <v>16</v>
      </c>
      <c r="L9" s="1">
        <v>46166.637421828702</v>
      </c>
    </row>
    <row r="10" spans="1:12" x14ac:dyDescent="0.25">
      <c r="A10" t="s">
        <v>250</v>
      </c>
      <c r="B10" t="str">
        <f>resultado_db_usuario_5[[#This Row],[metodo]]&amp;" "&amp;SUBSTITUTE(resultado_db_usuario_5[[#This Row],[rota]],"/api/v1","")</f>
        <v>DELETE /pecas/:id</v>
      </c>
      <c r="C10" t="s">
        <v>40</v>
      </c>
      <c r="D10" t="s">
        <v>36</v>
      </c>
      <c r="E10" t="s">
        <v>37</v>
      </c>
      <c r="F10">
        <v>204</v>
      </c>
      <c r="G10" s="2">
        <v>19.55</v>
      </c>
      <c r="H10" s="1">
        <v>46166.637421817133</v>
      </c>
      <c r="I10" s="1">
        <v>46166.63742204861</v>
      </c>
      <c r="J10" t="s">
        <v>15</v>
      </c>
      <c r="K10" t="s">
        <v>16</v>
      </c>
      <c r="L10" s="1">
        <v>46166.637422071763</v>
      </c>
    </row>
    <row r="11" spans="1:12" x14ac:dyDescent="0.25">
      <c r="A11" t="s">
        <v>255</v>
      </c>
      <c r="B11" t="str">
        <f>resultado_db_usuario_5[[#This Row],[metodo]]&amp;" "&amp;SUBSTITUTE(resultado_db_usuario_5[[#This Row],[rota]],"/api/v1","")</f>
        <v>DELETE /pecas/:id</v>
      </c>
      <c r="C11" t="s">
        <v>40</v>
      </c>
      <c r="D11" t="s">
        <v>204</v>
      </c>
      <c r="E11" t="s">
        <v>37</v>
      </c>
      <c r="F11">
        <v>204</v>
      </c>
      <c r="G11" s="2">
        <v>14.57</v>
      </c>
      <c r="H11" s="1">
        <v>46166.637422280095</v>
      </c>
      <c r="I11" s="1">
        <v>46166.637422453707</v>
      </c>
      <c r="J11" t="s">
        <v>15</v>
      </c>
      <c r="K11" t="s">
        <v>16</v>
      </c>
      <c r="L11" s="1">
        <v>46166.637422476851</v>
      </c>
    </row>
    <row r="12" spans="1:12" x14ac:dyDescent="0.25">
      <c r="A12" t="s">
        <v>262</v>
      </c>
      <c r="B12" t="str">
        <f>resultado_db_usuario_5[[#This Row],[metodo]]&amp;" "&amp;SUBSTITUTE(resultado_db_usuario_5[[#This Row],[rota]],"/api/v1","")</f>
        <v>DELETE /pecas/:id</v>
      </c>
      <c r="C12" t="s">
        <v>40</v>
      </c>
      <c r="D12" t="s">
        <v>208</v>
      </c>
      <c r="E12" t="s">
        <v>37</v>
      </c>
      <c r="F12">
        <v>204</v>
      </c>
      <c r="G12" s="2">
        <v>26.4</v>
      </c>
      <c r="H12" s="1">
        <v>46166.637422743057</v>
      </c>
      <c r="I12" s="1">
        <v>46166.637423043983</v>
      </c>
      <c r="J12" t="s">
        <v>15</v>
      </c>
      <c r="K12" t="s">
        <v>16</v>
      </c>
      <c r="L12" s="1">
        <v>46166.637423078704</v>
      </c>
    </row>
    <row r="13" spans="1:12" x14ac:dyDescent="0.25">
      <c r="A13" t="s">
        <v>293</v>
      </c>
      <c r="B13" t="str">
        <f>resultado_db_usuario_5[[#This Row],[metodo]]&amp;" "&amp;SUBSTITUTE(resultado_db_usuario_5[[#This Row],[rota]],"/api/v1","")</f>
        <v>DELETE /pecas/:id</v>
      </c>
      <c r="C13" t="s">
        <v>40</v>
      </c>
      <c r="D13" t="s">
        <v>36</v>
      </c>
      <c r="E13" t="s">
        <v>37</v>
      </c>
      <c r="F13">
        <v>204</v>
      </c>
      <c r="G13" s="2">
        <v>6.79</v>
      </c>
      <c r="H13" s="1">
        <v>46166.637424456021</v>
      </c>
      <c r="I13" s="1">
        <v>46166.637424537039</v>
      </c>
      <c r="J13" t="s">
        <v>15</v>
      </c>
      <c r="K13" t="s">
        <v>16</v>
      </c>
      <c r="L13" s="1">
        <v>46166.637424560184</v>
      </c>
    </row>
    <row r="14" spans="1:12" x14ac:dyDescent="0.25">
      <c r="A14" t="s">
        <v>299</v>
      </c>
      <c r="B14" t="str">
        <f>resultado_db_usuario_5[[#This Row],[metodo]]&amp;" "&amp;SUBSTITUTE(resultado_db_usuario_5[[#This Row],[rota]],"/api/v1","")</f>
        <v>DELETE /pecas/:id</v>
      </c>
      <c r="C14" t="s">
        <v>40</v>
      </c>
      <c r="D14" t="s">
        <v>204</v>
      </c>
      <c r="E14" t="s">
        <v>37</v>
      </c>
      <c r="F14">
        <v>204</v>
      </c>
      <c r="G14" s="2">
        <v>11.16</v>
      </c>
      <c r="H14" s="1">
        <v>46166.637424641202</v>
      </c>
      <c r="I14" s="1">
        <v>46166.637424768516</v>
      </c>
      <c r="J14" t="s">
        <v>15</v>
      </c>
      <c r="K14" t="s">
        <v>16</v>
      </c>
      <c r="L14" s="1">
        <v>46166.637424791668</v>
      </c>
    </row>
    <row r="15" spans="1:12" x14ac:dyDescent="0.25">
      <c r="A15" t="s">
        <v>302</v>
      </c>
      <c r="B15" t="str">
        <f>resultado_db_usuario_5[[#This Row],[metodo]]&amp;" "&amp;SUBSTITUTE(resultado_db_usuario_5[[#This Row],[rota]],"/api/v1","")</f>
        <v>DELETE /pecas/:id</v>
      </c>
      <c r="C15" t="s">
        <v>40</v>
      </c>
      <c r="D15" t="s">
        <v>173</v>
      </c>
      <c r="E15" t="s">
        <v>37</v>
      </c>
      <c r="F15">
        <v>404</v>
      </c>
      <c r="G15" s="2">
        <v>9.52</v>
      </c>
      <c r="H15" s="1">
        <v>46166.637424872686</v>
      </c>
      <c r="I15" s="1">
        <v>46166.637424976849</v>
      </c>
      <c r="J15" t="s">
        <v>15</v>
      </c>
      <c r="K15" t="s">
        <v>16</v>
      </c>
      <c r="L15" s="1">
        <v>46166.637425000001</v>
      </c>
    </row>
    <row r="16" spans="1:12" x14ac:dyDescent="0.25">
      <c r="A16" t="s">
        <v>306</v>
      </c>
      <c r="B16" t="str">
        <f>resultado_db_usuario_5[[#This Row],[metodo]]&amp;" "&amp;SUBSTITUTE(resultado_db_usuario_5[[#This Row],[rota]],"/api/v1","")</f>
        <v>DELETE /pecas/:id</v>
      </c>
      <c r="C16" t="s">
        <v>40</v>
      </c>
      <c r="D16" t="s">
        <v>208</v>
      </c>
      <c r="E16" t="s">
        <v>37</v>
      </c>
      <c r="F16">
        <v>204</v>
      </c>
      <c r="G16" s="2">
        <v>12.83</v>
      </c>
      <c r="H16" s="1">
        <v>46166.637424988425</v>
      </c>
      <c r="I16" s="1">
        <v>46166.637425138892</v>
      </c>
      <c r="J16" t="s">
        <v>15</v>
      </c>
      <c r="K16" t="s">
        <v>16</v>
      </c>
      <c r="L16" s="1">
        <v>46166.637425162036</v>
      </c>
    </row>
    <row r="17" spans="1:12" x14ac:dyDescent="0.25">
      <c r="A17" t="s">
        <v>314</v>
      </c>
      <c r="B17" t="str">
        <f>resultado_db_usuario_5[[#This Row],[metodo]]&amp;" "&amp;SUBSTITUTE(resultado_db_usuario_5[[#This Row],[rota]],"/api/v1","")</f>
        <v>DELETE /pecas/:id</v>
      </c>
      <c r="C17" t="s">
        <v>40</v>
      </c>
      <c r="D17" t="s">
        <v>305</v>
      </c>
      <c r="E17" t="s">
        <v>37</v>
      </c>
      <c r="F17">
        <v>204</v>
      </c>
      <c r="G17" s="2">
        <v>19.29</v>
      </c>
      <c r="H17" s="1">
        <v>46166.637425439818</v>
      </c>
      <c r="I17" s="1">
        <v>46166.637425659719</v>
      </c>
      <c r="J17" t="s">
        <v>15</v>
      </c>
      <c r="K17" t="s">
        <v>16</v>
      </c>
      <c r="L17" s="1">
        <v>46166.637425694447</v>
      </c>
    </row>
    <row r="18" spans="1:12" x14ac:dyDescent="0.25">
      <c r="A18" t="s">
        <v>349</v>
      </c>
      <c r="B18" t="str">
        <f>resultado_db_usuario_5[[#This Row],[metodo]]&amp;" "&amp;SUBSTITUTE(resultado_db_usuario_5[[#This Row],[rota]],"/api/v1","")</f>
        <v>DELETE /pecas/:id</v>
      </c>
      <c r="C18" t="s">
        <v>40</v>
      </c>
      <c r="D18" t="s">
        <v>36</v>
      </c>
      <c r="E18" t="s">
        <v>37</v>
      </c>
      <c r="F18">
        <v>204</v>
      </c>
      <c r="G18" s="2">
        <v>5.76</v>
      </c>
      <c r="H18" s="1">
        <v>46166.637426990739</v>
      </c>
      <c r="I18" s="1">
        <v>46166.637427060188</v>
      </c>
      <c r="J18" t="s">
        <v>15</v>
      </c>
      <c r="K18" t="s">
        <v>16</v>
      </c>
      <c r="L18" s="1">
        <v>46166.637427083333</v>
      </c>
    </row>
    <row r="19" spans="1:12" x14ac:dyDescent="0.25">
      <c r="A19" t="s">
        <v>352</v>
      </c>
      <c r="B19" t="str">
        <f>resultado_db_usuario_5[[#This Row],[metodo]]&amp;" "&amp;SUBSTITUTE(resultado_db_usuario_5[[#This Row],[rota]],"/api/v1","")</f>
        <v>DELETE /pecas/:id</v>
      </c>
      <c r="C19" t="s">
        <v>40</v>
      </c>
      <c r="D19" t="s">
        <v>204</v>
      </c>
      <c r="E19" t="s">
        <v>37</v>
      </c>
      <c r="F19">
        <v>204</v>
      </c>
      <c r="G19" s="2">
        <v>13.19</v>
      </c>
      <c r="H19" s="1">
        <v>46166.637427118054</v>
      </c>
      <c r="I19" s="1">
        <v>46166.637427268521</v>
      </c>
      <c r="J19" t="s">
        <v>15</v>
      </c>
      <c r="K19" t="s">
        <v>16</v>
      </c>
      <c r="L19" s="1">
        <v>46166.637427303242</v>
      </c>
    </row>
    <row r="20" spans="1:12" x14ac:dyDescent="0.25">
      <c r="A20" t="s">
        <v>355</v>
      </c>
      <c r="B20" t="str">
        <f>resultado_db_usuario_5[[#This Row],[metodo]]&amp;" "&amp;SUBSTITUTE(resultado_db_usuario_5[[#This Row],[rota]],"/api/v1","")</f>
        <v>DELETE /pecas/:id</v>
      </c>
      <c r="C20" t="s">
        <v>40</v>
      </c>
      <c r="D20" t="s">
        <v>208</v>
      </c>
      <c r="E20" t="s">
        <v>37</v>
      </c>
      <c r="F20">
        <v>204</v>
      </c>
      <c r="G20" s="2">
        <v>10.64</v>
      </c>
      <c r="H20" s="1">
        <v>46166.637427303242</v>
      </c>
      <c r="I20" s="1">
        <v>46166.63742741898</v>
      </c>
      <c r="J20" t="s">
        <v>15</v>
      </c>
      <c r="K20" t="s">
        <v>16</v>
      </c>
      <c r="L20" s="1">
        <v>46166.637427453701</v>
      </c>
    </row>
    <row r="21" spans="1:12" x14ac:dyDescent="0.25">
      <c r="A21" t="s">
        <v>356</v>
      </c>
      <c r="B21" t="str">
        <f>resultado_db_usuario_5[[#This Row],[metodo]]&amp;" "&amp;SUBSTITUTE(resultado_db_usuario_5[[#This Row],[rota]],"/api/v1","")</f>
        <v>DELETE /pecas/:id</v>
      </c>
      <c r="C21" t="s">
        <v>40</v>
      </c>
      <c r="D21" t="s">
        <v>173</v>
      </c>
      <c r="E21" t="s">
        <v>37</v>
      </c>
      <c r="F21">
        <v>404</v>
      </c>
      <c r="G21" s="2">
        <v>10.58</v>
      </c>
      <c r="H21" s="1">
        <v>46166.637427361115</v>
      </c>
      <c r="I21" s="1">
        <v>46166.637427476853</v>
      </c>
      <c r="J21" t="s">
        <v>15</v>
      </c>
      <c r="K21" t="s">
        <v>16</v>
      </c>
      <c r="L21" s="1">
        <v>46166.637427511574</v>
      </c>
    </row>
    <row r="22" spans="1:12" x14ac:dyDescent="0.25">
      <c r="A22" t="s">
        <v>369</v>
      </c>
      <c r="B22" t="str">
        <f>resultado_db_usuario_5[[#This Row],[metodo]]&amp;" "&amp;SUBSTITUTE(resultado_db_usuario_5[[#This Row],[rota]],"/api/v1","")</f>
        <v>DELETE /pecas/:id</v>
      </c>
      <c r="C22" t="s">
        <v>40</v>
      </c>
      <c r="D22" t="s">
        <v>305</v>
      </c>
      <c r="E22" t="s">
        <v>37</v>
      </c>
      <c r="F22">
        <v>204</v>
      </c>
      <c r="G22" s="2">
        <v>14.99</v>
      </c>
      <c r="H22" s="1">
        <v>46166.637428333335</v>
      </c>
      <c r="I22" s="1">
        <v>46166.637428506947</v>
      </c>
      <c r="J22" t="s">
        <v>15</v>
      </c>
      <c r="K22" t="s">
        <v>16</v>
      </c>
      <c r="L22" s="1">
        <v>46166.637428541668</v>
      </c>
    </row>
    <row r="23" spans="1:12" x14ac:dyDescent="0.25">
      <c r="A23" t="s">
        <v>402</v>
      </c>
      <c r="B23" t="str">
        <f>resultado_db_usuario_5[[#This Row],[metodo]]&amp;" "&amp;SUBSTITUTE(resultado_db_usuario_5[[#This Row],[rota]],"/api/v1","")</f>
        <v>DELETE /pecas/:id</v>
      </c>
      <c r="C23" t="s">
        <v>40</v>
      </c>
      <c r="D23" t="s">
        <v>36</v>
      </c>
      <c r="E23" t="s">
        <v>37</v>
      </c>
      <c r="F23">
        <v>204</v>
      </c>
      <c r="G23" s="2">
        <v>13.87</v>
      </c>
      <c r="H23" s="1">
        <v>46166.63742997685</v>
      </c>
      <c r="I23" s="1">
        <v>46166.637430138886</v>
      </c>
      <c r="J23" t="s">
        <v>15</v>
      </c>
      <c r="K23" t="s">
        <v>16</v>
      </c>
      <c r="L23" s="1">
        <v>46166.637430185183</v>
      </c>
    </row>
    <row r="24" spans="1:12" x14ac:dyDescent="0.25">
      <c r="A24" t="s">
        <v>406</v>
      </c>
      <c r="B24" t="str">
        <f>resultado_db_usuario_5[[#This Row],[metodo]]&amp;" "&amp;SUBSTITUTE(resultado_db_usuario_5[[#This Row],[rota]],"/api/v1","")</f>
        <v>DELETE /pecas/:id</v>
      </c>
      <c r="C24" t="s">
        <v>40</v>
      </c>
      <c r="D24" t="s">
        <v>204</v>
      </c>
      <c r="E24" t="s">
        <v>37</v>
      </c>
      <c r="F24">
        <v>204</v>
      </c>
      <c r="G24" s="2">
        <v>17.63</v>
      </c>
      <c r="H24" s="1">
        <v>46166.637430196759</v>
      </c>
      <c r="I24" s="1">
        <v>46166.637430393515</v>
      </c>
      <c r="J24" t="s">
        <v>15</v>
      </c>
      <c r="K24" t="s">
        <v>16</v>
      </c>
      <c r="L24" s="1">
        <v>46166.637430428244</v>
      </c>
    </row>
    <row r="25" spans="1:12" x14ac:dyDescent="0.25">
      <c r="A25" t="s">
        <v>407</v>
      </c>
      <c r="B25" t="str">
        <f>resultado_db_usuario_5[[#This Row],[metodo]]&amp;" "&amp;SUBSTITUTE(resultado_db_usuario_5[[#This Row],[rota]],"/api/v1","")</f>
        <v>DELETE /pecas/:id</v>
      </c>
      <c r="C25" t="s">
        <v>40</v>
      </c>
      <c r="D25" t="s">
        <v>173</v>
      </c>
      <c r="E25" t="s">
        <v>37</v>
      </c>
      <c r="F25">
        <v>404</v>
      </c>
      <c r="G25" s="2">
        <v>23.94</v>
      </c>
      <c r="H25" s="1">
        <v>46166.63743033565</v>
      </c>
      <c r="I25" s="1">
        <v>46166.637430613424</v>
      </c>
      <c r="J25" t="s">
        <v>15</v>
      </c>
      <c r="K25" t="s">
        <v>16</v>
      </c>
      <c r="L25" s="1">
        <v>46166.637430648145</v>
      </c>
    </row>
    <row r="26" spans="1:12" x14ac:dyDescent="0.25">
      <c r="A26" t="s">
        <v>409</v>
      </c>
      <c r="B26" t="str">
        <f>resultado_db_usuario_5[[#This Row],[metodo]]&amp;" "&amp;SUBSTITUTE(resultado_db_usuario_5[[#This Row],[rota]],"/api/v1","")</f>
        <v>DELETE /pecas/:id</v>
      </c>
      <c r="C26" t="s">
        <v>40</v>
      </c>
      <c r="D26" t="s">
        <v>208</v>
      </c>
      <c r="E26" t="s">
        <v>37</v>
      </c>
      <c r="F26">
        <v>204</v>
      </c>
      <c r="G26" s="2">
        <v>18.489999999999998</v>
      </c>
      <c r="H26" s="1">
        <v>46166.637430636576</v>
      </c>
      <c r="I26" s="1">
        <v>46166.637430856485</v>
      </c>
      <c r="J26" t="s">
        <v>15</v>
      </c>
      <c r="K26" t="s">
        <v>16</v>
      </c>
      <c r="L26" s="1">
        <v>46166.637430891205</v>
      </c>
    </row>
    <row r="27" spans="1:12" x14ac:dyDescent="0.25">
      <c r="A27" t="s">
        <v>419</v>
      </c>
      <c r="B27" t="str">
        <f>resultado_db_usuario_5[[#This Row],[metodo]]&amp;" "&amp;SUBSTITUTE(resultado_db_usuario_5[[#This Row],[rota]],"/api/v1","")</f>
        <v>DELETE /pecas/:id</v>
      </c>
      <c r="C27" t="s">
        <v>40</v>
      </c>
      <c r="D27" t="s">
        <v>305</v>
      </c>
      <c r="E27" t="s">
        <v>37</v>
      </c>
      <c r="F27">
        <v>204</v>
      </c>
      <c r="G27" s="2">
        <v>5.52</v>
      </c>
      <c r="H27" s="1">
        <v>46166.637431377312</v>
      </c>
      <c r="I27" s="1">
        <v>46166.637431446761</v>
      </c>
      <c r="J27" t="s">
        <v>15</v>
      </c>
      <c r="K27" t="s">
        <v>16</v>
      </c>
      <c r="L27" s="1">
        <v>46166.637431469906</v>
      </c>
    </row>
    <row r="28" spans="1:12" x14ac:dyDescent="0.25">
      <c r="A28" t="s">
        <v>454</v>
      </c>
      <c r="B28" t="str">
        <f>resultado_db_usuario_5[[#This Row],[metodo]]&amp;" "&amp;SUBSTITUTE(resultado_db_usuario_5[[#This Row],[rota]],"/api/v1","")</f>
        <v>DELETE /pecas/:id</v>
      </c>
      <c r="C28" t="s">
        <v>40</v>
      </c>
      <c r="D28" t="s">
        <v>36</v>
      </c>
      <c r="E28" t="s">
        <v>37</v>
      </c>
      <c r="F28">
        <v>204</v>
      </c>
      <c r="G28" s="2">
        <v>8.4700000000000006</v>
      </c>
      <c r="H28" s="1">
        <v>46166.637432754629</v>
      </c>
      <c r="I28" s="1">
        <v>46166.637432847223</v>
      </c>
      <c r="J28" t="s">
        <v>15</v>
      </c>
      <c r="K28" t="s">
        <v>16</v>
      </c>
      <c r="L28" s="1">
        <v>46166.637432881944</v>
      </c>
    </row>
    <row r="29" spans="1:12" x14ac:dyDescent="0.25">
      <c r="A29" t="s">
        <v>456</v>
      </c>
      <c r="B29" t="str">
        <f>resultado_db_usuario_5[[#This Row],[metodo]]&amp;" "&amp;SUBSTITUTE(resultado_db_usuario_5[[#This Row],[rota]],"/api/v1","")</f>
        <v>DELETE /pecas/:id</v>
      </c>
      <c r="C29" t="s">
        <v>40</v>
      </c>
      <c r="D29" t="s">
        <v>173</v>
      </c>
      <c r="E29" t="s">
        <v>37</v>
      </c>
      <c r="F29">
        <v>404</v>
      </c>
      <c r="G29" s="2">
        <v>10.5</v>
      </c>
      <c r="H29" s="1">
        <v>46166.637432835647</v>
      </c>
      <c r="I29" s="1">
        <v>46166.637432951386</v>
      </c>
      <c r="J29" t="s">
        <v>15</v>
      </c>
      <c r="K29" t="s">
        <v>16</v>
      </c>
      <c r="L29" s="1">
        <v>46166.637432986114</v>
      </c>
    </row>
    <row r="30" spans="1:12" x14ac:dyDescent="0.25">
      <c r="A30" t="s">
        <v>458</v>
      </c>
      <c r="B30" t="str">
        <f>resultado_db_usuario_5[[#This Row],[metodo]]&amp;" "&amp;SUBSTITUTE(resultado_db_usuario_5[[#This Row],[rota]],"/api/v1","")</f>
        <v>DELETE /pecas/:id</v>
      </c>
      <c r="C30" t="s">
        <v>40</v>
      </c>
      <c r="D30" t="s">
        <v>173</v>
      </c>
      <c r="E30" t="s">
        <v>37</v>
      </c>
      <c r="F30">
        <v>404</v>
      </c>
      <c r="G30" s="2">
        <v>12.03</v>
      </c>
      <c r="H30" s="1">
        <v>46166.637432881944</v>
      </c>
      <c r="I30" s="1">
        <v>46166.637433020835</v>
      </c>
      <c r="J30" t="s">
        <v>15</v>
      </c>
      <c r="K30" t="s">
        <v>16</v>
      </c>
      <c r="L30" s="1">
        <v>46166.637433043979</v>
      </c>
    </row>
    <row r="31" spans="1:12" x14ac:dyDescent="0.25">
      <c r="A31" t="s">
        <v>460</v>
      </c>
      <c r="B31" t="str">
        <f>resultado_db_usuario_5[[#This Row],[metodo]]&amp;" "&amp;SUBSTITUTE(resultado_db_usuario_5[[#This Row],[rota]],"/api/v1","")</f>
        <v>DELETE /pecas/:id</v>
      </c>
      <c r="C31" t="s">
        <v>40</v>
      </c>
      <c r="D31" t="s">
        <v>204</v>
      </c>
      <c r="E31" t="s">
        <v>37</v>
      </c>
      <c r="F31">
        <v>204</v>
      </c>
      <c r="G31" s="2">
        <v>23.67</v>
      </c>
      <c r="H31" s="1">
        <v>46166.637433101852</v>
      </c>
      <c r="I31" s="1">
        <v>46166.637433368058</v>
      </c>
      <c r="J31" t="s">
        <v>15</v>
      </c>
      <c r="K31" t="s">
        <v>16</v>
      </c>
      <c r="L31" s="1">
        <v>46166.637433402779</v>
      </c>
    </row>
    <row r="32" spans="1:12" x14ac:dyDescent="0.25">
      <c r="A32" t="s">
        <v>474</v>
      </c>
      <c r="B32" t="str">
        <f>resultado_db_usuario_5[[#This Row],[metodo]]&amp;" "&amp;SUBSTITUTE(resultado_db_usuario_5[[#This Row],[rota]],"/api/v1","")</f>
        <v>DELETE /pecas/:id</v>
      </c>
      <c r="C32" t="s">
        <v>40</v>
      </c>
      <c r="D32" t="s">
        <v>208</v>
      </c>
      <c r="E32" t="s">
        <v>37</v>
      </c>
      <c r="F32">
        <v>204</v>
      </c>
      <c r="G32" s="2">
        <v>15.26</v>
      </c>
      <c r="H32" s="1">
        <v>46166.637434212964</v>
      </c>
      <c r="I32" s="1">
        <v>46166.637434398152</v>
      </c>
      <c r="J32" t="s">
        <v>15</v>
      </c>
      <c r="K32" t="s">
        <v>16</v>
      </c>
      <c r="L32" s="1">
        <v>46166.637434421296</v>
      </c>
    </row>
    <row r="33" spans="1:12" x14ac:dyDescent="0.25">
      <c r="A33" t="s">
        <v>502</v>
      </c>
      <c r="B33" t="str">
        <f>resultado_db_usuario_5[[#This Row],[metodo]]&amp;" "&amp;SUBSTITUTE(resultado_db_usuario_5[[#This Row],[rota]],"/api/v1","")</f>
        <v>DELETE /pecas/:id</v>
      </c>
      <c r="C33" t="s">
        <v>40</v>
      </c>
      <c r="D33" t="s">
        <v>173</v>
      </c>
      <c r="E33" t="s">
        <v>37</v>
      </c>
      <c r="F33">
        <v>404</v>
      </c>
      <c r="G33" s="2">
        <v>5.78</v>
      </c>
      <c r="H33" s="1">
        <v>46166.637436064811</v>
      </c>
      <c r="I33" s="1">
        <v>46166.63743613426</v>
      </c>
      <c r="J33" t="s">
        <v>15</v>
      </c>
      <c r="K33" t="s">
        <v>16</v>
      </c>
      <c r="L33" s="1">
        <v>46166.637436157405</v>
      </c>
    </row>
    <row r="34" spans="1:12" x14ac:dyDescent="0.25">
      <c r="A34" t="s">
        <v>504</v>
      </c>
      <c r="B34" t="str">
        <f>resultado_db_usuario_5[[#This Row],[metodo]]&amp;" "&amp;SUBSTITUTE(resultado_db_usuario_5[[#This Row],[rota]],"/api/v1","")</f>
        <v>DELETE /pecas/:id</v>
      </c>
      <c r="C34" t="s">
        <v>40</v>
      </c>
      <c r="D34" t="s">
        <v>173</v>
      </c>
      <c r="E34" t="s">
        <v>37</v>
      </c>
      <c r="F34">
        <v>404</v>
      </c>
      <c r="G34" s="2">
        <v>6.43</v>
      </c>
      <c r="H34" s="1">
        <v>46166.637436111108</v>
      </c>
      <c r="I34" s="1">
        <v>46166.637436180557</v>
      </c>
      <c r="J34" t="s">
        <v>15</v>
      </c>
      <c r="K34" t="s">
        <v>16</v>
      </c>
      <c r="L34" s="1">
        <v>46166.637436215278</v>
      </c>
    </row>
    <row r="35" spans="1:12" x14ac:dyDescent="0.25">
      <c r="A35" t="s">
        <v>506</v>
      </c>
      <c r="B35" t="str">
        <f>resultado_db_usuario_5[[#This Row],[metodo]]&amp;" "&amp;SUBSTITUTE(resultado_db_usuario_5[[#This Row],[rota]],"/api/v1","")</f>
        <v>DELETE /pecas/:id</v>
      </c>
      <c r="C35" t="s">
        <v>40</v>
      </c>
      <c r="D35" t="s">
        <v>36</v>
      </c>
      <c r="E35" t="s">
        <v>37</v>
      </c>
      <c r="F35">
        <v>204</v>
      </c>
      <c r="G35" s="2">
        <v>10.72</v>
      </c>
      <c r="H35" s="1">
        <v>46166.637436238423</v>
      </c>
      <c r="I35" s="1">
        <v>46166.637436354169</v>
      </c>
      <c r="J35" t="s">
        <v>15</v>
      </c>
      <c r="K35" t="s">
        <v>16</v>
      </c>
      <c r="L35" s="1">
        <v>46166.637436377314</v>
      </c>
    </row>
    <row r="36" spans="1:12" x14ac:dyDescent="0.25">
      <c r="A36" t="s">
        <v>512</v>
      </c>
      <c r="B36" t="str">
        <f>resultado_db_usuario_5[[#This Row],[metodo]]&amp;" "&amp;SUBSTITUTE(resultado_db_usuario_5[[#This Row],[rota]],"/api/v1","")</f>
        <v>DELETE /pecas/:id</v>
      </c>
      <c r="C36" t="s">
        <v>40</v>
      </c>
      <c r="D36" t="s">
        <v>204</v>
      </c>
      <c r="E36" t="s">
        <v>37</v>
      </c>
      <c r="F36">
        <v>204</v>
      </c>
      <c r="G36" s="2">
        <v>11.09</v>
      </c>
      <c r="H36" s="1">
        <v>46166.637436550925</v>
      </c>
      <c r="I36" s="1">
        <v>46166.63743667824</v>
      </c>
      <c r="J36" t="s">
        <v>15</v>
      </c>
      <c r="K36" t="s">
        <v>16</v>
      </c>
      <c r="L36" s="1">
        <v>46166.637436701392</v>
      </c>
    </row>
    <row r="37" spans="1:12" x14ac:dyDescent="0.25">
      <c r="A37" t="s">
        <v>526</v>
      </c>
      <c r="B37" t="str">
        <f>resultado_db_usuario_5[[#This Row],[metodo]]&amp;" "&amp;SUBSTITUTE(resultado_db_usuario_5[[#This Row],[rota]],"/api/v1","")</f>
        <v>DELETE /pecas/:id</v>
      </c>
      <c r="C37" t="s">
        <v>40</v>
      </c>
      <c r="D37" t="s">
        <v>208</v>
      </c>
      <c r="E37" t="s">
        <v>37</v>
      </c>
      <c r="F37">
        <v>204</v>
      </c>
      <c r="G37" s="2">
        <v>8.56</v>
      </c>
      <c r="H37" s="1">
        <v>46166.637437060184</v>
      </c>
      <c r="I37" s="1">
        <v>46166.637437152778</v>
      </c>
      <c r="J37" t="s">
        <v>15</v>
      </c>
      <c r="K37" t="s">
        <v>16</v>
      </c>
      <c r="L37" s="1">
        <v>46166.637437175923</v>
      </c>
    </row>
    <row r="38" spans="1:12" x14ac:dyDescent="0.25">
      <c r="A38" t="s">
        <v>542</v>
      </c>
      <c r="B38" t="str">
        <f>resultado_db_usuario_5[[#This Row],[metodo]]&amp;" "&amp;SUBSTITUTE(resultado_db_usuario_5[[#This Row],[rota]],"/api/v1","")</f>
        <v>DELETE /pecas/:id</v>
      </c>
      <c r="C38" t="s">
        <v>40</v>
      </c>
      <c r="D38" t="s">
        <v>173</v>
      </c>
      <c r="E38" t="s">
        <v>37</v>
      </c>
      <c r="F38">
        <v>404</v>
      </c>
      <c r="G38" s="2">
        <v>4.7300000000000004</v>
      </c>
      <c r="H38" s="1">
        <v>46166.637437777776</v>
      </c>
      <c r="I38" s="1">
        <v>46166.637437824073</v>
      </c>
      <c r="J38" t="s">
        <v>15</v>
      </c>
      <c r="K38" t="s">
        <v>16</v>
      </c>
      <c r="L38" s="1">
        <v>46166.637437858793</v>
      </c>
    </row>
    <row r="39" spans="1:12" x14ac:dyDescent="0.25">
      <c r="A39" t="s">
        <v>548</v>
      </c>
      <c r="B39" t="str">
        <f>resultado_db_usuario_5[[#This Row],[metodo]]&amp;" "&amp;SUBSTITUTE(resultado_db_usuario_5[[#This Row],[rota]],"/api/v1","")</f>
        <v>DELETE /pecas/:id</v>
      </c>
      <c r="C39" t="s">
        <v>40</v>
      </c>
      <c r="D39" t="s">
        <v>36</v>
      </c>
      <c r="E39" t="s">
        <v>37</v>
      </c>
      <c r="F39">
        <v>204</v>
      </c>
      <c r="G39" s="2">
        <v>10.1</v>
      </c>
      <c r="H39" s="1">
        <v>46166.637437939811</v>
      </c>
      <c r="I39" s="1">
        <v>46166.637438055557</v>
      </c>
      <c r="J39" t="s">
        <v>15</v>
      </c>
      <c r="K39" t="s">
        <v>16</v>
      </c>
      <c r="L39" s="1">
        <v>46166.637438078702</v>
      </c>
    </row>
    <row r="40" spans="1:12" x14ac:dyDescent="0.25">
      <c r="A40" t="s">
        <v>550</v>
      </c>
      <c r="B40" t="str">
        <f>resultado_db_usuario_5[[#This Row],[metodo]]&amp;" "&amp;SUBSTITUTE(resultado_db_usuario_5[[#This Row],[rota]],"/api/v1","")</f>
        <v>DELETE /pecas/:id</v>
      </c>
      <c r="C40" t="s">
        <v>40</v>
      </c>
      <c r="D40" t="s">
        <v>204</v>
      </c>
      <c r="E40" t="s">
        <v>37</v>
      </c>
      <c r="F40">
        <v>204</v>
      </c>
      <c r="G40" s="2">
        <v>10.93</v>
      </c>
      <c r="H40" s="1">
        <v>46166.637438217593</v>
      </c>
      <c r="I40" s="1">
        <v>46166.637438344907</v>
      </c>
      <c r="J40" t="s">
        <v>15</v>
      </c>
      <c r="K40" t="s">
        <v>16</v>
      </c>
      <c r="L40" s="1">
        <v>46166.63743840278</v>
      </c>
    </row>
    <row r="41" spans="1:12" x14ac:dyDescent="0.25">
      <c r="A41" t="s">
        <v>563</v>
      </c>
      <c r="B41" t="str">
        <f>resultado_db_usuario_5[[#This Row],[metodo]]&amp;" "&amp;SUBSTITUTE(resultado_db_usuario_5[[#This Row],[rota]],"/api/v1","")</f>
        <v>DELETE /pecas/:id</v>
      </c>
      <c r="C41" t="s">
        <v>40</v>
      </c>
      <c r="D41" t="s">
        <v>208</v>
      </c>
      <c r="E41" t="s">
        <v>37</v>
      </c>
      <c r="F41">
        <v>204</v>
      </c>
      <c r="G41" s="2">
        <v>6.58</v>
      </c>
      <c r="H41" s="1">
        <v>46166.637439062499</v>
      </c>
      <c r="I41" s="1">
        <v>46166.637439143517</v>
      </c>
      <c r="J41" t="s">
        <v>15</v>
      </c>
      <c r="K41" t="s">
        <v>16</v>
      </c>
      <c r="L41" s="1">
        <v>46166.637439166669</v>
      </c>
    </row>
    <row r="42" spans="1:12" x14ac:dyDescent="0.25">
      <c r="A42" t="s">
        <v>585</v>
      </c>
      <c r="B42" t="str">
        <f>resultado_db_usuario_5[[#This Row],[metodo]]&amp;" "&amp;SUBSTITUTE(resultado_db_usuario_5[[#This Row],[rota]],"/api/v1","")</f>
        <v>DELETE /pecas/:id</v>
      </c>
      <c r="C42" t="s">
        <v>40</v>
      </c>
      <c r="D42" t="s">
        <v>36</v>
      </c>
      <c r="E42" t="s">
        <v>37</v>
      </c>
      <c r="F42">
        <v>204</v>
      </c>
      <c r="G42" s="2">
        <v>9.52</v>
      </c>
      <c r="H42" s="1">
        <v>46166.637440150465</v>
      </c>
      <c r="I42" s="1">
        <v>46166.637440266204</v>
      </c>
      <c r="J42" t="s">
        <v>15</v>
      </c>
      <c r="K42" t="s">
        <v>16</v>
      </c>
      <c r="L42" s="1">
        <v>46166.637440300925</v>
      </c>
    </row>
    <row r="43" spans="1:12" x14ac:dyDescent="0.25">
      <c r="A43" t="s">
        <v>588</v>
      </c>
      <c r="B43" t="str">
        <f>resultado_db_usuario_5[[#This Row],[metodo]]&amp;" "&amp;SUBSTITUTE(resultado_db_usuario_5[[#This Row],[rota]],"/api/v1","")</f>
        <v>DELETE /pecas/:id</v>
      </c>
      <c r="C43" t="s">
        <v>40</v>
      </c>
      <c r="D43" t="s">
        <v>204</v>
      </c>
      <c r="E43" t="s">
        <v>37</v>
      </c>
      <c r="F43">
        <v>204</v>
      </c>
      <c r="G43" s="2">
        <v>11.79</v>
      </c>
      <c r="H43" s="1">
        <v>46166.637440312501</v>
      </c>
      <c r="I43" s="1">
        <v>46166.637440451392</v>
      </c>
      <c r="J43" t="s">
        <v>15</v>
      </c>
      <c r="K43" t="s">
        <v>16</v>
      </c>
      <c r="L43" s="1">
        <v>46166.637440486113</v>
      </c>
    </row>
    <row r="44" spans="1:12" x14ac:dyDescent="0.25">
      <c r="A44" t="s">
        <v>592</v>
      </c>
      <c r="B44" t="str">
        <f>resultado_db_usuario_5[[#This Row],[metodo]]&amp;" "&amp;SUBSTITUTE(resultado_db_usuario_5[[#This Row],[rota]],"/api/v1","")</f>
        <v>DELETE /pecas/:id</v>
      </c>
      <c r="C44" t="s">
        <v>40</v>
      </c>
      <c r="D44" t="s">
        <v>208</v>
      </c>
      <c r="E44" t="s">
        <v>37</v>
      </c>
      <c r="F44">
        <v>204</v>
      </c>
      <c r="G44" s="2" t="s">
        <v>593</v>
      </c>
      <c r="H44" s="1">
        <v>46166.637440694445</v>
      </c>
      <c r="I44" s="1">
        <v>46166.637440833336</v>
      </c>
      <c r="J44" t="s">
        <v>15</v>
      </c>
      <c r="K44" t="s">
        <v>16</v>
      </c>
      <c r="L44" s="1">
        <v>46166.637440856481</v>
      </c>
    </row>
    <row r="45" spans="1:12" x14ac:dyDescent="0.25">
      <c r="A45" t="s">
        <v>605</v>
      </c>
      <c r="B45" t="str">
        <f>resultado_db_usuario_5[[#This Row],[metodo]]&amp;" "&amp;SUBSTITUTE(resultado_db_usuario_5[[#This Row],[rota]],"/api/v1","")</f>
        <v>DELETE /pecas/:id</v>
      </c>
      <c r="C45" t="s">
        <v>40</v>
      </c>
      <c r="D45" t="s">
        <v>305</v>
      </c>
      <c r="E45" t="s">
        <v>37</v>
      </c>
      <c r="F45">
        <v>204</v>
      </c>
      <c r="G45" s="2">
        <v>8.84</v>
      </c>
      <c r="H45" s="1">
        <v>46166.637441226849</v>
      </c>
      <c r="I45" s="1">
        <v>46166.637441331019</v>
      </c>
      <c r="J45" t="s">
        <v>15</v>
      </c>
      <c r="K45" t="s">
        <v>16</v>
      </c>
      <c r="L45" s="1">
        <v>46166.637441354163</v>
      </c>
    </row>
    <row r="46" spans="1:12" x14ac:dyDescent="0.25">
      <c r="A46" t="s">
        <v>618</v>
      </c>
      <c r="B46" t="str">
        <f>resultado_db_usuario_5[[#This Row],[metodo]]&amp;" "&amp;SUBSTITUTE(resultado_db_usuario_5[[#This Row],[rota]],"/api/v1","")</f>
        <v>DELETE /pecas/:id</v>
      </c>
      <c r="C46" t="s">
        <v>40</v>
      </c>
      <c r="D46" t="s">
        <v>36</v>
      </c>
      <c r="E46" t="s">
        <v>37</v>
      </c>
      <c r="F46">
        <v>204</v>
      </c>
      <c r="G46" s="2">
        <v>7.38</v>
      </c>
      <c r="H46" s="1">
        <v>46166.637442013889</v>
      </c>
      <c r="I46" s="1">
        <v>46166.637442094907</v>
      </c>
      <c r="J46" t="s">
        <v>15</v>
      </c>
      <c r="K46" t="s">
        <v>16</v>
      </c>
      <c r="L46" s="1">
        <v>46166.637442118059</v>
      </c>
    </row>
    <row r="47" spans="1:12" x14ac:dyDescent="0.25">
      <c r="A47" t="s">
        <v>621</v>
      </c>
      <c r="B47" t="str">
        <f>resultado_db_usuario_5[[#This Row],[metodo]]&amp;" "&amp;SUBSTITUTE(resultado_db_usuario_5[[#This Row],[rota]],"/api/v1","")</f>
        <v>DELETE /pecas/:id</v>
      </c>
      <c r="C47" t="s">
        <v>40</v>
      </c>
      <c r="D47" t="s">
        <v>204</v>
      </c>
      <c r="E47" t="s">
        <v>37</v>
      </c>
      <c r="F47">
        <v>204</v>
      </c>
      <c r="G47" s="2">
        <v>11.04</v>
      </c>
      <c r="H47" s="1">
        <v>46166.637442187501</v>
      </c>
      <c r="I47" s="1">
        <v>46166.637442314815</v>
      </c>
      <c r="J47" t="s">
        <v>15</v>
      </c>
      <c r="K47" t="s">
        <v>16</v>
      </c>
      <c r="L47" s="1">
        <v>46166.63744233796</v>
      </c>
    </row>
    <row r="48" spans="1:12" x14ac:dyDescent="0.25">
      <c r="A48" t="s">
        <v>632</v>
      </c>
      <c r="B48" t="str">
        <f>resultado_db_usuario_5[[#This Row],[metodo]]&amp;" "&amp;SUBSTITUTE(resultado_db_usuario_5[[#This Row],[rota]],"/api/v1","")</f>
        <v>DELETE /pecas/:id</v>
      </c>
      <c r="C48" t="s">
        <v>40</v>
      </c>
      <c r="D48" t="s">
        <v>36</v>
      </c>
      <c r="E48" t="s">
        <v>37</v>
      </c>
      <c r="F48">
        <v>204</v>
      </c>
      <c r="G48" s="2">
        <v>5.89</v>
      </c>
      <c r="H48" s="1">
        <v>46166.637442847219</v>
      </c>
      <c r="I48" s="1">
        <v>46166.637442916668</v>
      </c>
      <c r="J48" t="s">
        <v>15</v>
      </c>
      <c r="K48" t="s">
        <v>16</v>
      </c>
      <c r="L48" s="1">
        <v>46166.637442939813</v>
      </c>
    </row>
    <row r="49" spans="1:12" x14ac:dyDescent="0.25">
      <c r="A49" t="s">
        <v>640</v>
      </c>
      <c r="B49" t="str">
        <f>resultado_db_usuario_5[[#This Row],[metodo]]&amp;" "&amp;SUBSTITUTE(resultado_db_usuario_5[[#This Row],[rota]],"/api/v1","")</f>
        <v>DELETE /pecas/:id</v>
      </c>
      <c r="C49" t="s">
        <v>40</v>
      </c>
      <c r="D49" t="s">
        <v>36</v>
      </c>
      <c r="E49" t="s">
        <v>37</v>
      </c>
      <c r="F49">
        <v>204</v>
      </c>
      <c r="G49" s="2">
        <v>5.22</v>
      </c>
      <c r="H49" s="1">
        <v>46166.637443622683</v>
      </c>
      <c r="I49" s="1">
        <v>46166.637443680556</v>
      </c>
      <c r="J49" t="s">
        <v>15</v>
      </c>
      <c r="K49" t="s">
        <v>16</v>
      </c>
      <c r="L49" s="1">
        <v>46166.637443715277</v>
      </c>
    </row>
    <row r="50" spans="1:12" x14ac:dyDescent="0.25">
      <c r="A50" t="s">
        <v>652</v>
      </c>
      <c r="B50" t="str">
        <f>resultado_db_usuario_5[[#This Row],[metodo]]&amp;" "&amp;SUBSTITUTE(resultado_db_usuario_5[[#This Row],[rota]],"/api/v1","")</f>
        <v>DELETE /pecas/:id</v>
      </c>
      <c r="C50" t="s">
        <v>40</v>
      </c>
      <c r="D50" t="s">
        <v>36</v>
      </c>
      <c r="E50" t="s">
        <v>37</v>
      </c>
      <c r="F50">
        <v>204</v>
      </c>
      <c r="G50" s="2">
        <v>5.15</v>
      </c>
      <c r="H50" s="1">
        <v>46166.637444201391</v>
      </c>
      <c r="I50" s="1">
        <v>46166.637444259257</v>
      </c>
      <c r="J50" t="s">
        <v>15</v>
      </c>
      <c r="K50" t="s">
        <v>16</v>
      </c>
      <c r="L50" s="1">
        <v>46166.637444282409</v>
      </c>
    </row>
    <row r="51" spans="1:12" x14ac:dyDescent="0.25">
      <c r="A51" t="s">
        <v>657</v>
      </c>
      <c r="B51" t="str">
        <f>resultado_db_usuario_5[[#This Row],[metodo]]&amp;" "&amp;SUBSTITUTE(resultado_db_usuario_5[[#This Row],[rota]],"/api/v1","")</f>
        <v>DELETE /pecas/:id</v>
      </c>
      <c r="C51" t="s">
        <v>40</v>
      </c>
      <c r="D51" t="s">
        <v>36</v>
      </c>
      <c r="E51" t="s">
        <v>37</v>
      </c>
      <c r="F51">
        <v>204</v>
      </c>
      <c r="G51" s="2">
        <v>5.77</v>
      </c>
      <c r="H51" s="1">
        <v>46166.637444513886</v>
      </c>
      <c r="I51" s="1">
        <v>46166.637444583335</v>
      </c>
      <c r="J51" t="s">
        <v>15</v>
      </c>
      <c r="K51" t="s">
        <v>16</v>
      </c>
      <c r="L51" s="1">
        <v>46166.63744460648</v>
      </c>
    </row>
    <row r="52" spans="1:12" x14ac:dyDescent="0.25">
      <c r="A52" t="s">
        <v>136</v>
      </c>
      <c r="B52" t="str">
        <f>resultado_db_usuario_5[[#This Row],[metodo]]&amp;" "&amp;SUBSTITUTE(resultado_db_usuario_5[[#This Row],[rota]],"/api/v1","")</f>
        <v>GET /aeronaves/</v>
      </c>
      <c r="C52" t="s">
        <v>12</v>
      </c>
      <c r="D52" t="s">
        <v>13</v>
      </c>
      <c r="E52" t="s">
        <v>14</v>
      </c>
      <c r="F52">
        <v>200</v>
      </c>
      <c r="G52" s="2">
        <v>31.42</v>
      </c>
      <c r="H52" s="1">
        <v>46166.637413391203</v>
      </c>
      <c r="I52" s="1">
        <v>46166.637413750002</v>
      </c>
      <c r="J52" t="s">
        <v>15</v>
      </c>
      <c r="K52" t="s">
        <v>16</v>
      </c>
      <c r="L52" s="1">
        <v>46166.637413784723</v>
      </c>
    </row>
    <row r="53" spans="1:12" x14ac:dyDescent="0.25">
      <c r="A53" t="s">
        <v>148</v>
      </c>
      <c r="B53" t="str">
        <f>resultado_db_usuario_5[[#This Row],[metodo]]&amp;" "&amp;SUBSTITUTE(resultado_db_usuario_5[[#This Row],[rota]],"/api/v1","")</f>
        <v>GET /aeronaves/</v>
      </c>
      <c r="C53" t="s">
        <v>12</v>
      </c>
      <c r="D53" t="s">
        <v>13</v>
      </c>
      <c r="E53" t="s">
        <v>14</v>
      </c>
      <c r="F53">
        <v>200</v>
      </c>
      <c r="G53" s="2">
        <v>18.510000000000002</v>
      </c>
      <c r="H53" s="1">
        <v>46166.637414722223</v>
      </c>
      <c r="I53" s="1">
        <v>46166.637414942132</v>
      </c>
      <c r="J53" t="s">
        <v>15</v>
      </c>
      <c r="K53" t="s">
        <v>16</v>
      </c>
      <c r="L53" s="1">
        <v>46166.637414965277</v>
      </c>
    </row>
    <row r="54" spans="1:12" x14ac:dyDescent="0.25">
      <c r="A54" t="s">
        <v>158</v>
      </c>
      <c r="B54" t="str">
        <f>resultado_db_usuario_5[[#This Row],[metodo]]&amp;" "&amp;SUBSTITUTE(resultado_db_usuario_5[[#This Row],[rota]],"/api/v1","")</f>
        <v>GET /aeronaves/</v>
      </c>
      <c r="C54" t="s">
        <v>12</v>
      </c>
      <c r="D54" t="s">
        <v>13</v>
      </c>
      <c r="E54" t="s">
        <v>14</v>
      </c>
      <c r="F54">
        <v>200</v>
      </c>
      <c r="G54" s="2">
        <v>23.02</v>
      </c>
      <c r="H54" s="1">
        <v>46166.637415740741</v>
      </c>
      <c r="I54" s="1">
        <v>46166.637416006946</v>
      </c>
      <c r="J54" t="s">
        <v>15</v>
      </c>
      <c r="K54" t="s">
        <v>16</v>
      </c>
      <c r="L54" s="1">
        <v>46166.637416041667</v>
      </c>
    </row>
    <row r="55" spans="1:12" x14ac:dyDescent="0.25">
      <c r="A55" t="s">
        <v>159</v>
      </c>
      <c r="B55" t="str">
        <f>resultado_db_usuario_5[[#This Row],[metodo]]&amp;" "&amp;SUBSTITUTE(resultado_db_usuario_5[[#This Row],[rota]],"/api/v1","")</f>
        <v>GET /aeronaves/</v>
      </c>
      <c r="C55" t="s">
        <v>12</v>
      </c>
      <c r="D55" t="s">
        <v>13</v>
      </c>
      <c r="E55" t="s">
        <v>14</v>
      </c>
      <c r="F55">
        <v>200</v>
      </c>
      <c r="G55" s="2">
        <v>26.63</v>
      </c>
      <c r="H55" s="1">
        <v>46166.637415937497</v>
      </c>
      <c r="I55" s="1">
        <v>46166.63741625</v>
      </c>
      <c r="J55" t="s">
        <v>15</v>
      </c>
      <c r="K55" t="s">
        <v>16</v>
      </c>
      <c r="L55" s="1">
        <v>46166.637416284721</v>
      </c>
    </row>
    <row r="56" spans="1:12" x14ac:dyDescent="0.25">
      <c r="A56" t="s">
        <v>178</v>
      </c>
      <c r="B56" t="str">
        <f>resultado_db_usuario_5[[#This Row],[metodo]]&amp;" "&amp;SUBSTITUTE(resultado_db_usuario_5[[#This Row],[rota]],"/api/v1","")</f>
        <v>GET /aeronaves/</v>
      </c>
      <c r="C56" t="s">
        <v>12</v>
      </c>
      <c r="D56" t="s">
        <v>13</v>
      </c>
      <c r="E56" t="s">
        <v>14</v>
      </c>
      <c r="F56">
        <v>200</v>
      </c>
      <c r="G56" s="2">
        <v>21.33</v>
      </c>
      <c r="H56" s="1">
        <v>46166.637417372687</v>
      </c>
      <c r="I56" s="1">
        <v>46166.637417615741</v>
      </c>
      <c r="J56" t="s">
        <v>15</v>
      </c>
      <c r="K56" t="s">
        <v>16</v>
      </c>
      <c r="L56" s="1">
        <v>46166.637417650461</v>
      </c>
    </row>
    <row r="57" spans="1:12" x14ac:dyDescent="0.25">
      <c r="A57" t="s">
        <v>181</v>
      </c>
      <c r="B57" t="str">
        <f>resultado_db_usuario_5[[#This Row],[metodo]]&amp;" "&amp;SUBSTITUTE(resultado_db_usuario_5[[#This Row],[rota]],"/api/v1","")</f>
        <v>GET /aeronaves/</v>
      </c>
      <c r="C57" t="s">
        <v>12</v>
      </c>
      <c r="D57" t="s">
        <v>13</v>
      </c>
      <c r="E57" t="s">
        <v>14</v>
      </c>
      <c r="F57">
        <v>200</v>
      </c>
      <c r="G57" s="2">
        <v>25.32</v>
      </c>
      <c r="H57" s="1">
        <v>46166.637417696758</v>
      </c>
      <c r="I57" s="1">
        <v>46166.637417986109</v>
      </c>
      <c r="J57" t="s">
        <v>15</v>
      </c>
      <c r="K57" t="s">
        <v>16</v>
      </c>
      <c r="L57" s="1">
        <v>46166.637418020837</v>
      </c>
    </row>
    <row r="58" spans="1:12" x14ac:dyDescent="0.25">
      <c r="A58" t="s">
        <v>187</v>
      </c>
      <c r="B58" t="str">
        <f>resultado_db_usuario_5[[#This Row],[metodo]]&amp;" "&amp;SUBSTITUTE(resultado_db_usuario_5[[#This Row],[rota]],"/api/v1","")</f>
        <v>GET /aeronaves/</v>
      </c>
      <c r="C58" t="s">
        <v>12</v>
      </c>
      <c r="D58" t="s">
        <v>13</v>
      </c>
      <c r="E58" t="s">
        <v>14</v>
      </c>
      <c r="F58">
        <v>200</v>
      </c>
      <c r="G58" s="2">
        <v>36.61</v>
      </c>
      <c r="H58" s="1">
        <v>46166.637418206017</v>
      </c>
      <c r="I58" s="1">
        <v>46166.637418622682</v>
      </c>
      <c r="J58" t="s">
        <v>15</v>
      </c>
      <c r="K58" t="s">
        <v>16</v>
      </c>
      <c r="L58" s="1">
        <v>46166.63741865741</v>
      </c>
    </row>
    <row r="59" spans="1:12" x14ac:dyDescent="0.25">
      <c r="A59" t="s">
        <v>211</v>
      </c>
      <c r="B59" t="str">
        <f>resultado_db_usuario_5[[#This Row],[metodo]]&amp;" "&amp;SUBSTITUTE(resultado_db_usuario_5[[#This Row],[rota]],"/api/v1","")</f>
        <v>GET /aeronaves/</v>
      </c>
      <c r="C59" t="s">
        <v>12</v>
      </c>
      <c r="D59" t="s">
        <v>13</v>
      </c>
      <c r="E59" t="s">
        <v>14</v>
      </c>
      <c r="F59">
        <v>200</v>
      </c>
      <c r="G59" s="2">
        <v>30.95</v>
      </c>
      <c r="H59" s="1">
        <v>46166.63741949074</v>
      </c>
      <c r="I59" s="1">
        <v>46166.63741984954</v>
      </c>
      <c r="J59" t="s">
        <v>15</v>
      </c>
      <c r="K59" t="s">
        <v>16</v>
      </c>
      <c r="L59" s="1">
        <v>46166.63741988426</v>
      </c>
    </row>
    <row r="60" spans="1:12" x14ac:dyDescent="0.25">
      <c r="A60" t="s">
        <v>212</v>
      </c>
      <c r="B60" t="str">
        <f>resultado_db_usuario_5[[#This Row],[metodo]]&amp;" "&amp;SUBSTITUTE(resultado_db_usuario_5[[#This Row],[rota]],"/api/v1","")</f>
        <v>GET /aeronaves/</v>
      </c>
      <c r="C60" t="s">
        <v>12</v>
      </c>
      <c r="D60" t="s">
        <v>13</v>
      </c>
      <c r="E60" t="s">
        <v>14</v>
      </c>
      <c r="F60">
        <v>200</v>
      </c>
      <c r="G60" s="2">
        <v>21.55</v>
      </c>
      <c r="H60" s="1">
        <v>46166.637419699073</v>
      </c>
      <c r="I60" s="1">
        <v>46166.637419942126</v>
      </c>
      <c r="J60" t="s">
        <v>15</v>
      </c>
      <c r="K60" t="s">
        <v>16</v>
      </c>
      <c r="L60" s="1">
        <v>46166.637419976854</v>
      </c>
    </row>
    <row r="61" spans="1:12" x14ac:dyDescent="0.25">
      <c r="A61" t="s">
        <v>217</v>
      </c>
      <c r="B61" t="str">
        <f>resultado_db_usuario_5[[#This Row],[metodo]]&amp;" "&amp;SUBSTITUTE(resultado_db_usuario_5[[#This Row],[rota]],"/api/v1","")</f>
        <v>GET /aeronaves/</v>
      </c>
      <c r="C61" t="s">
        <v>12</v>
      </c>
      <c r="D61" t="s">
        <v>13</v>
      </c>
      <c r="E61" t="s">
        <v>14</v>
      </c>
      <c r="F61">
        <v>200</v>
      </c>
      <c r="G61" s="2">
        <v>33.69</v>
      </c>
      <c r="H61" s="1">
        <v>46166.637420046296</v>
      </c>
      <c r="I61" s="1">
        <v>46166.637420439816</v>
      </c>
      <c r="J61" t="s">
        <v>15</v>
      </c>
      <c r="K61" t="s">
        <v>16</v>
      </c>
      <c r="L61" s="1">
        <v>46166.637420474537</v>
      </c>
    </row>
    <row r="62" spans="1:12" x14ac:dyDescent="0.25">
      <c r="A62" t="s">
        <v>223</v>
      </c>
      <c r="B62" t="str">
        <f>resultado_db_usuario_5[[#This Row],[metodo]]&amp;" "&amp;SUBSTITUTE(resultado_db_usuario_5[[#This Row],[rota]],"/api/v1","")</f>
        <v>GET /aeronaves/</v>
      </c>
      <c r="C62" t="s">
        <v>12</v>
      </c>
      <c r="D62" t="s">
        <v>13</v>
      </c>
      <c r="E62" t="s">
        <v>14</v>
      </c>
      <c r="F62">
        <v>200</v>
      </c>
      <c r="G62" s="2" t="s">
        <v>224</v>
      </c>
      <c r="H62" s="1">
        <v>46166.637420543979</v>
      </c>
      <c r="I62" s="1">
        <v>46166.637420810184</v>
      </c>
      <c r="J62" t="s">
        <v>15</v>
      </c>
      <c r="K62" t="s">
        <v>16</v>
      </c>
      <c r="L62" s="1">
        <v>46166.637420833336</v>
      </c>
    </row>
    <row r="63" spans="1:12" x14ac:dyDescent="0.25">
      <c r="A63" t="s">
        <v>251</v>
      </c>
      <c r="B63" t="str">
        <f>resultado_db_usuario_5[[#This Row],[metodo]]&amp;" "&amp;SUBSTITUTE(resultado_db_usuario_5[[#This Row],[rota]],"/api/v1","")</f>
        <v>GET /aeronaves/</v>
      </c>
      <c r="C63" t="s">
        <v>12</v>
      </c>
      <c r="D63" t="s">
        <v>13</v>
      </c>
      <c r="E63" t="s">
        <v>14</v>
      </c>
      <c r="F63">
        <v>200</v>
      </c>
      <c r="G63" s="2">
        <v>30.15</v>
      </c>
      <c r="H63" s="1">
        <v>46166.637421828702</v>
      </c>
      <c r="I63" s="1">
        <v>46166.637422175925</v>
      </c>
      <c r="J63" t="s">
        <v>15</v>
      </c>
      <c r="K63" t="s">
        <v>16</v>
      </c>
      <c r="L63" s="1">
        <v>46166.637422210646</v>
      </c>
    </row>
    <row r="64" spans="1:12" x14ac:dyDescent="0.25">
      <c r="A64" t="s">
        <v>256</v>
      </c>
      <c r="B64" t="str">
        <f>resultado_db_usuario_5[[#This Row],[metodo]]&amp;" "&amp;SUBSTITUTE(resultado_db_usuario_5[[#This Row],[rota]],"/api/v1","")</f>
        <v>GET /aeronaves/</v>
      </c>
      <c r="C64" t="s">
        <v>12</v>
      </c>
      <c r="D64" t="s">
        <v>13</v>
      </c>
      <c r="E64" t="s">
        <v>14</v>
      </c>
      <c r="F64">
        <v>200</v>
      </c>
      <c r="G64" s="2">
        <v>27.2</v>
      </c>
      <c r="H64" s="1">
        <v>46166.637422222222</v>
      </c>
      <c r="I64" s="1">
        <v>46166.637422534724</v>
      </c>
      <c r="J64" t="s">
        <v>15</v>
      </c>
      <c r="K64" t="s">
        <v>16</v>
      </c>
      <c r="L64" s="1">
        <v>46166.637422569445</v>
      </c>
    </row>
    <row r="65" spans="1:12" x14ac:dyDescent="0.25">
      <c r="A65" t="s">
        <v>260</v>
      </c>
      <c r="B65" t="str">
        <f>resultado_db_usuario_5[[#This Row],[metodo]]&amp;" "&amp;SUBSTITUTE(resultado_db_usuario_5[[#This Row],[rota]],"/api/v1","")</f>
        <v>GET /aeronaves/</v>
      </c>
      <c r="C65" t="s">
        <v>12</v>
      </c>
      <c r="D65" t="s">
        <v>13</v>
      </c>
      <c r="E65" t="s">
        <v>14</v>
      </c>
      <c r="F65">
        <v>200</v>
      </c>
      <c r="G65" s="2">
        <v>28.97</v>
      </c>
      <c r="H65" s="1">
        <v>46166.637422569445</v>
      </c>
      <c r="I65" s="1">
        <v>46166.637422905093</v>
      </c>
      <c r="J65" t="s">
        <v>15</v>
      </c>
      <c r="K65" t="s">
        <v>16</v>
      </c>
      <c r="L65" s="1">
        <v>46166.637422928237</v>
      </c>
    </row>
    <row r="66" spans="1:12" x14ac:dyDescent="0.25">
      <c r="A66" t="s">
        <v>263</v>
      </c>
      <c r="B66" t="str">
        <f>resultado_db_usuario_5[[#This Row],[metodo]]&amp;" "&amp;SUBSTITUTE(resultado_db_usuario_5[[#This Row],[rota]],"/api/v1","")</f>
        <v>GET /aeronaves/</v>
      </c>
      <c r="C66" t="s">
        <v>12</v>
      </c>
      <c r="D66" t="s">
        <v>13</v>
      </c>
      <c r="E66" t="s">
        <v>14</v>
      </c>
      <c r="F66">
        <v>200</v>
      </c>
      <c r="G66" s="2">
        <v>37.450000000000003</v>
      </c>
      <c r="H66" s="1">
        <v>46166.637422731481</v>
      </c>
      <c r="I66" s="1">
        <v>46166.637423159722</v>
      </c>
      <c r="J66" t="s">
        <v>15</v>
      </c>
      <c r="K66" t="s">
        <v>16</v>
      </c>
      <c r="L66" s="1">
        <v>46166.637423194443</v>
      </c>
    </row>
    <row r="67" spans="1:12" x14ac:dyDescent="0.25">
      <c r="A67" t="s">
        <v>268</v>
      </c>
      <c r="B67" t="str">
        <f>resultado_db_usuario_5[[#This Row],[metodo]]&amp;" "&amp;SUBSTITUTE(resultado_db_usuario_5[[#This Row],[rota]],"/api/v1","")</f>
        <v>GET /aeronaves/</v>
      </c>
      <c r="C67" t="s">
        <v>12</v>
      </c>
      <c r="D67" t="s">
        <v>13</v>
      </c>
      <c r="E67" t="s">
        <v>14</v>
      </c>
      <c r="F67">
        <v>200</v>
      </c>
      <c r="G67" s="2">
        <v>32.03</v>
      </c>
      <c r="H67" s="1">
        <v>46166.637423194443</v>
      </c>
      <c r="I67" s="1">
        <v>46166.637423564818</v>
      </c>
      <c r="J67" t="s">
        <v>15</v>
      </c>
      <c r="K67" t="s">
        <v>16</v>
      </c>
      <c r="L67" s="1">
        <v>46166.637423587963</v>
      </c>
    </row>
    <row r="68" spans="1:12" x14ac:dyDescent="0.25">
      <c r="A68" t="s">
        <v>300</v>
      </c>
      <c r="B68" t="str">
        <f>resultado_db_usuario_5[[#This Row],[metodo]]&amp;" "&amp;SUBSTITUTE(resultado_db_usuario_5[[#This Row],[rota]],"/api/v1","")</f>
        <v>GET /aeronaves/</v>
      </c>
      <c r="C68" t="s">
        <v>12</v>
      </c>
      <c r="D68" t="s">
        <v>13</v>
      </c>
      <c r="E68" t="s">
        <v>14</v>
      </c>
      <c r="F68">
        <v>200</v>
      </c>
      <c r="G68" s="2">
        <v>21.21</v>
      </c>
      <c r="H68" s="1">
        <v>46166.637424606481</v>
      </c>
      <c r="I68" s="1">
        <v>46166.637424849534</v>
      </c>
      <c r="J68" t="s">
        <v>15</v>
      </c>
      <c r="K68" t="s">
        <v>16</v>
      </c>
      <c r="L68" s="1">
        <v>46166.637424872686</v>
      </c>
    </row>
    <row r="69" spans="1:12" x14ac:dyDescent="0.25">
      <c r="A69" t="s">
        <v>307</v>
      </c>
      <c r="B69" t="str">
        <f>resultado_db_usuario_5[[#This Row],[metodo]]&amp;" "&amp;SUBSTITUTE(resultado_db_usuario_5[[#This Row],[rota]],"/api/v1","")</f>
        <v>GET /aeronaves/</v>
      </c>
      <c r="C69" t="s">
        <v>12</v>
      </c>
      <c r="D69" t="s">
        <v>13</v>
      </c>
      <c r="E69" t="s">
        <v>14</v>
      </c>
      <c r="F69">
        <v>200</v>
      </c>
      <c r="G69" s="2">
        <v>21.84</v>
      </c>
      <c r="H69" s="1">
        <v>46166.637424918983</v>
      </c>
      <c r="I69" s="1">
        <v>46166.637425173612</v>
      </c>
      <c r="J69" t="s">
        <v>15</v>
      </c>
      <c r="K69" t="s">
        <v>16</v>
      </c>
      <c r="L69" s="1">
        <v>46166.637425196757</v>
      </c>
    </row>
    <row r="70" spans="1:12" x14ac:dyDescent="0.25">
      <c r="A70" t="s">
        <v>310</v>
      </c>
      <c r="B70" t="str">
        <f>resultado_db_usuario_5[[#This Row],[metodo]]&amp;" "&amp;SUBSTITUTE(resultado_db_usuario_5[[#This Row],[rota]],"/api/v1","")</f>
        <v>GET /aeronaves/</v>
      </c>
      <c r="C70" t="s">
        <v>12</v>
      </c>
      <c r="D70" t="s">
        <v>13</v>
      </c>
      <c r="E70" t="s">
        <v>14</v>
      </c>
      <c r="F70">
        <v>200</v>
      </c>
      <c r="G70" s="2">
        <v>22.22</v>
      </c>
      <c r="H70" s="1">
        <v>46166.637425092595</v>
      </c>
      <c r="I70" s="1">
        <v>46166.637425347224</v>
      </c>
      <c r="J70" t="s">
        <v>15</v>
      </c>
      <c r="K70" t="s">
        <v>16</v>
      </c>
      <c r="L70" s="1">
        <v>46166.637425370369</v>
      </c>
    </row>
    <row r="71" spans="1:12" x14ac:dyDescent="0.25">
      <c r="A71" t="s">
        <v>312</v>
      </c>
      <c r="B71" t="str">
        <f>resultado_db_usuario_5[[#This Row],[metodo]]&amp;" "&amp;SUBSTITUTE(resultado_db_usuario_5[[#This Row],[rota]],"/api/v1","")</f>
        <v>GET /aeronaves/</v>
      </c>
      <c r="C71" t="s">
        <v>12</v>
      </c>
      <c r="D71" t="s">
        <v>13</v>
      </c>
      <c r="E71" t="s">
        <v>14</v>
      </c>
      <c r="F71">
        <v>200</v>
      </c>
      <c r="G71" s="2">
        <v>31.46</v>
      </c>
      <c r="H71" s="1">
        <v>46166.637425219909</v>
      </c>
      <c r="I71" s="1">
        <v>46166.637425590277</v>
      </c>
      <c r="J71" t="s">
        <v>15</v>
      </c>
      <c r="K71" t="s">
        <v>16</v>
      </c>
      <c r="L71" s="1">
        <v>46166.637425624998</v>
      </c>
    </row>
    <row r="72" spans="1:12" x14ac:dyDescent="0.25">
      <c r="A72" t="s">
        <v>322</v>
      </c>
      <c r="B72" t="str">
        <f>resultado_db_usuario_5[[#This Row],[metodo]]&amp;" "&amp;SUBSTITUTE(resultado_db_usuario_5[[#This Row],[rota]],"/api/v1","")</f>
        <v>GET /aeronaves/</v>
      </c>
      <c r="C72" t="s">
        <v>12</v>
      </c>
      <c r="D72" t="s">
        <v>13</v>
      </c>
      <c r="E72" t="s">
        <v>14</v>
      </c>
      <c r="F72">
        <v>200</v>
      </c>
      <c r="G72" s="2">
        <v>21.37</v>
      </c>
      <c r="H72" s="1">
        <v>46166.637425752313</v>
      </c>
      <c r="I72" s="1">
        <v>46166.637426006942</v>
      </c>
      <c r="J72" t="s">
        <v>15</v>
      </c>
      <c r="K72" t="s">
        <v>16</v>
      </c>
      <c r="L72" s="1">
        <v>46166.637426030095</v>
      </c>
    </row>
    <row r="73" spans="1:12" x14ac:dyDescent="0.25">
      <c r="A73" t="s">
        <v>353</v>
      </c>
      <c r="B73" t="str">
        <f>resultado_db_usuario_5[[#This Row],[metodo]]&amp;" "&amp;SUBSTITUTE(resultado_db_usuario_5[[#This Row],[rota]],"/api/v1","")</f>
        <v>GET /aeronaves/</v>
      </c>
      <c r="C73" t="s">
        <v>12</v>
      </c>
      <c r="D73" t="s">
        <v>13</v>
      </c>
      <c r="E73" t="s">
        <v>14</v>
      </c>
      <c r="F73">
        <v>200</v>
      </c>
      <c r="G73" s="2">
        <v>21.08</v>
      </c>
      <c r="H73" s="1">
        <v>46166.637427094909</v>
      </c>
      <c r="I73" s="1">
        <v>46166.637427337962</v>
      </c>
      <c r="J73" t="s">
        <v>15</v>
      </c>
      <c r="K73" t="s">
        <v>16</v>
      </c>
      <c r="L73" s="1">
        <v>46166.637427372683</v>
      </c>
    </row>
    <row r="74" spans="1:12" x14ac:dyDescent="0.25">
      <c r="A74" t="s">
        <v>358</v>
      </c>
      <c r="B74" t="str">
        <f>resultado_db_usuario_5[[#This Row],[metodo]]&amp;" "&amp;SUBSTITUTE(resultado_db_usuario_5[[#This Row],[rota]],"/api/v1","")</f>
        <v>GET /aeronaves/</v>
      </c>
      <c r="C74" t="s">
        <v>12</v>
      </c>
      <c r="D74" t="s">
        <v>13</v>
      </c>
      <c r="E74" t="s">
        <v>14</v>
      </c>
      <c r="F74">
        <v>200</v>
      </c>
      <c r="G74" s="2">
        <v>29.17</v>
      </c>
      <c r="H74" s="1">
        <v>46166.637427395835</v>
      </c>
      <c r="I74" s="1">
        <v>46166.637427731483</v>
      </c>
      <c r="J74" t="s">
        <v>15</v>
      </c>
      <c r="K74" t="s">
        <v>16</v>
      </c>
      <c r="L74" s="1">
        <v>46166.637427766203</v>
      </c>
    </row>
    <row r="75" spans="1:12" x14ac:dyDescent="0.25">
      <c r="A75" t="s">
        <v>360</v>
      </c>
      <c r="B75" t="str">
        <f>resultado_db_usuario_5[[#This Row],[metodo]]&amp;" "&amp;SUBSTITUTE(resultado_db_usuario_5[[#This Row],[rota]],"/api/v1","")</f>
        <v>GET /aeronaves/</v>
      </c>
      <c r="C75" t="s">
        <v>12</v>
      </c>
      <c r="D75" t="s">
        <v>13</v>
      </c>
      <c r="E75" t="s">
        <v>14</v>
      </c>
      <c r="F75">
        <v>200</v>
      </c>
      <c r="G75" s="2">
        <v>43.48</v>
      </c>
      <c r="H75" s="1">
        <v>46166.637427534719</v>
      </c>
      <c r="I75" s="1">
        <v>46166.637428032409</v>
      </c>
      <c r="J75" t="s">
        <v>15</v>
      </c>
      <c r="K75" t="s">
        <v>16</v>
      </c>
      <c r="L75" s="1">
        <v>46166.63742806713</v>
      </c>
    </row>
    <row r="76" spans="1:12" x14ac:dyDescent="0.25">
      <c r="A76" t="s">
        <v>362</v>
      </c>
      <c r="B76" t="str">
        <f>resultado_db_usuario_5[[#This Row],[metodo]]&amp;" "&amp;SUBSTITUTE(resultado_db_usuario_5[[#This Row],[rota]],"/api/v1","")</f>
        <v>GET /aeronaves/</v>
      </c>
      <c r="C76" t="s">
        <v>12</v>
      </c>
      <c r="D76" t="s">
        <v>13</v>
      </c>
      <c r="E76" t="s">
        <v>14</v>
      </c>
      <c r="F76">
        <v>200</v>
      </c>
      <c r="G76" s="2">
        <v>51.2</v>
      </c>
      <c r="H76" s="1">
        <v>46166.637427604168</v>
      </c>
      <c r="I76" s="1">
        <v>46166.637428194445</v>
      </c>
      <c r="J76" t="s">
        <v>15</v>
      </c>
      <c r="K76" t="s">
        <v>16</v>
      </c>
      <c r="L76" s="1">
        <v>46166.637428217589</v>
      </c>
    </row>
    <row r="77" spans="1:12" x14ac:dyDescent="0.25">
      <c r="A77" t="s">
        <v>375</v>
      </c>
      <c r="B77" t="str">
        <f>resultado_db_usuario_5[[#This Row],[metodo]]&amp;" "&amp;SUBSTITUTE(resultado_db_usuario_5[[#This Row],[rota]],"/api/v1","")</f>
        <v>GET /aeronaves/</v>
      </c>
      <c r="C77" t="s">
        <v>12</v>
      </c>
      <c r="D77" t="s">
        <v>13</v>
      </c>
      <c r="E77" t="s">
        <v>14</v>
      </c>
      <c r="F77">
        <v>200</v>
      </c>
      <c r="G77" s="2">
        <v>30.11</v>
      </c>
      <c r="H77" s="1">
        <v>46166.637428576389</v>
      </c>
      <c r="I77" s="1">
        <v>46166.637428923612</v>
      </c>
      <c r="J77" t="s">
        <v>15</v>
      </c>
      <c r="K77" t="s">
        <v>16</v>
      </c>
      <c r="L77" s="1">
        <v>46166.637428958333</v>
      </c>
    </row>
    <row r="78" spans="1:12" x14ac:dyDescent="0.25">
      <c r="A78" t="s">
        <v>408</v>
      </c>
      <c r="B78" t="str">
        <f>resultado_db_usuario_5[[#This Row],[metodo]]&amp;" "&amp;SUBSTITUTE(resultado_db_usuario_5[[#This Row],[rota]],"/api/v1","")</f>
        <v>GET /aeronaves/</v>
      </c>
      <c r="C78" t="s">
        <v>12</v>
      </c>
      <c r="D78" t="s">
        <v>13</v>
      </c>
      <c r="E78" t="s">
        <v>14</v>
      </c>
      <c r="F78">
        <v>200</v>
      </c>
      <c r="G78" s="2">
        <v>40.31</v>
      </c>
      <c r="H78" s="1">
        <v>46166.637430277777</v>
      </c>
      <c r="I78" s="1">
        <v>46166.637430740739</v>
      </c>
      <c r="J78" t="s">
        <v>15</v>
      </c>
      <c r="K78" t="s">
        <v>16</v>
      </c>
      <c r="L78" s="1">
        <v>46166.63743077546</v>
      </c>
    </row>
    <row r="79" spans="1:12" x14ac:dyDescent="0.25">
      <c r="A79" t="s">
        <v>411</v>
      </c>
      <c r="B79" t="str">
        <f>resultado_db_usuario_5[[#This Row],[metodo]]&amp;" "&amp;SUBSTITUTE(resultado_db_usuario_5[[#This Row],[rota]],"/api/v1","")</f>
        <v>GET /aeronaves/</v>
      </c>
      <c r="C79" t="s">
        <v>12</v>
      </c>
      <c r="D79" t="s">
        <v>13</v>
      </c>
      <c r="E79" t="s">
        <v>14</v>
      </c>
      <c r="F79">
        <v>200</v>
      </c>
      <c r="G79" s="2">
        <v>33.369999999999997</v>
      </c>
      <c r="H79" s="1">
        <v>46166.637430648145</v>
      </c>
      <c r="I79" s="1">
        <v>46166.637431041665</v>
      </c>
      <c r="J79" t="s">
        <v>15</v>
      </c>
      <c r="K79" t="s">
        <v>16</v>
      </c>
      <c r="L79" s="1">
        <v>46166.637431064817</v>
      </c>
    </row>
    <row r="80" spans="1:12" x14ac:dyDescent="0.25">
      <c r="A80" t="s">
        <v>413</v>
      </c>
      <c r="B80" t="str">
        <f>resultado_db_usuario_5[[#This Row],[metodo]]&amp;" "&amp;SUBSTITUTE(resultado_db_usuario_5[[#This Row],[rota]],"/api/v1","")</f>
        <v>GET /aeronaves/</v>
      </c>
      <c r="C80" t="s">
        <v>12</v>
      </c>
      <c r="D80" t="s">
        <v>13</v>
      </c>
      <c r="E80" t="s">
        <v>14</v>
      </c>
      <c r="F80">
        <v>200</v>
      </c>
      <c r="G80" s="2">
        <v>34.36</v>
      </c>
      <c r="H80" s="1">
        <v>46166.637430763891</v>
      </c>
      <c r="I80" s="1">
        <v>46166.637431157411</v>
      </c>
      <c r="J80" t="s">
        <v>15</v>
      </c>
      <c r="K80" t="s">
        <v>16</v>
      </c>
      <c r="L80" s="1">
        <v>46166.637431180556</v>
      </c>
    </row>
    <row r="81" spans="1:12" x14ac:dyDescent="0.25">
      <c r="A81" t="s">
        <v>415</v>
      </c>
      <c r="B81" t="str">
        <f>resultado_db_usuario_5[[#This Row],[metodo]]&amp;" "&amp;SUBSTITUTE(resultado_db_usuario_5[[#This Row],[rota]],"/api/v1","")</f>
        <v>GET /aeronaves/</v>
      </c>
      <c r="C81" t="s">
        <v>12</v>
      </c>
      <c r="D81" t="s">
        <v>13</v>
      </c>
      <c r="E81" t="s">
        <v>14</v>
      </c>
      <c r="F81">
        <v>200</v>
      </c>
      <c r="G81" s="2">
        <v>27.95</v>
      </c>
      <c r="H81" s="1">
        <v>46166.637430995368</v>
      </c>
      <c r="I81" s="1">
        <v>46166.63743130787</v>
      </c>
      <c r="J81" t="s">
        <v>15</v>
      </c>
      <c r="K81" t="s">
        <v>16</v>
      </c>
      <c r="L81" s="1">
        <v>46166.637431331015</v>
      </c>
    </row>
    <row r="82" spans="1:12" x14ac:dyDescent="0.25">
      <c r="A82" t="s">
        <v>427</v>
      </c>
      <c r="B82" t="str">
        <f>resultado_db_usuario_5[[#This Row],[metodo]]&amp;" "&amp;SUBSTITUTE(resultado_db_usuario_5[[#This Row],[rota]],"/api/v1","")</f>
        <v>GET /aeronaves/</v>
      </c>
      <c r="C82" t="s">
        <v>12</v>
      </c>
      <c r="D82" t="s">
        <v>13</v>
      </c>
      <c r="E82" t="s">
        <v>14</v>
      </c>
      <c r="F82">
        <v>200</v>
      </c>
      <c r="G82" s="2">
        <v>22.19</v>
      </c>
      <c r="H82" s="1">
        <v>46166.637431516203</v>
      </c>
      <c r="I82" s="1">
        <v>46166.637431770832</v>
      </c>
      <c r="J82" t="s">
        <v>15</v>
      </c>
      <c r="K82" t="s">
        <v>16</v>
      </c>
      <c r="L82" s="1">
        <v>46166.637431793984</v>
      </c>
    </row>
    <row r="83" spans="1:12" x14ac:dyDescent="0.25">
      <c r="A83" t="s">
        <v>459</v>
      </c>
      <c r="B83" t="str">
        <f>resultado_db_usuario_5[[#This Row],[metodo]]&amp;" "&amp;SUBSTITUTE(resultado_db_usuario_5[[#This Row],[rota]],"/api/v1","")</f>
        <v>GET /aeronaves/</v>
      </c>
      <c r="C83" t="s">
        <v>12</v>
      </c>
      <c r="D83" t="s">
        <v>13</v>
      </c>
      <c r="E83" t="s">
        <v>14</v>
      </c>
      <c r="F83">
        <v>200</v>
      </c>
      <c r="G83" s="2">
        <v>22.71</v>
      </c>
      <c r="H83" s="1">
        <v>46166.637432974538</v>
      </c>
      <c r="I83" s="1">
        <v>46166.637433229167</v>
      </c>
      <c r="J83" t="s">
        <v>15</v>
      </c>
      <c r="K83" t="s">
        <v>16</v>
      </c>
      <c r="L83" s="1">
        <v>46166.637433263888</v>
      </c>
    </row>
    <row r="84" spans="1:12" x14ac:dyDescent="0.25">
      <c r="A84" t="s">
        <v>461</v>
      </c>
      <c r="B84" t="str">
        <f>resultado_db_usuario_5[[#This Row],[metodo]]&amp;" "&amp;SUBSTITUTE(resultado_db_usuario_5[[#This Row],[rota]],"/api/v1","")</f>
        <v>GET /aeronaves/</v>
      </c>
      <c r="C84" t="s">
        <v>12</v>
      </c>
      <c r="D84" t="s">
        <v>13</v>
      </c>
      <c r="E84" t="s">
        <v>14</v>
      </c>
      <c r="F84">
        <v>200</v>
      </c>
      <c r="G84" s="2">
        <v>40.57</v>
      </c>
      <c r="H84" s="1">
        <v>46166.6374330787</v>
      </c>
      <c r="I84" s="1">
        <v>46166.637433553238</v>
      </c>
      <c r="J84" t="s">
        <v>15</v>
      </c>
      <c r="K84" t="s">
        <v>16</v>
      </c>
      <c r="L84" s="1">
        <v>46166.63743357639</v>
      </c>
    </row>
    <row r="85" spans="1:12" x14ac:dyDescent="0.25">
      <c r="A85" t="s">
        <v>462</v>
      </c>
      <c r="B85" t="str">
        <f>resultado_db_usuario_5[[#This Row],[metodo]]&amp;" "&amp;SUBSTITUTE(resultado_db_usuario_5[[#This Row],[rota]],"/api/v1","")</f>
        <v>GET /aeronaves/</v>
      </c>
      <c r="C85" t="s">
        <v>12</v>
      </c>
      <c r="D85" t="s">
        <v>13</v>
      </c>
      <c r="E85" t="s">
        <v>14</v>
      </c>
      <c r="F85">
        <v>200</v>
      </c>
      <c r="G85" s="2">
        <v>46.2</v>
      </c>
      <c r="H85" s="1">
        <v>46166.637433113428</v>
      </c>
      <c r="I85" s="1">
        <v>46166.637433645832</v>
      </c>
      <c r="J85" t="s">
        <v>15</v>
      </c>
      <c r="K85" t="s">
        <v>16</v>
      </c>
      <c r="L85" s="1">
        <v>46166.637433680553</v>
      </c>
    </row>
    <row r="86" spans="1:12" x14ac:dyDescent="0.25">
      <c r="A86" t="s">
        <v>466</v>
      </c>
      <c r="B86" t="str">
        <f>resultado_db_usuario_5[[#This Row],[metodo]]&amp;" "&amp;SUBSTITUTE(resultado_db_usuario_5[[#This Row],[rota]],"/api/v1","")</f>
        <v>GET /aeronaves/</v>
      </c>
      <c r="C86" t="s">
        <v>12</v>
      </c>
      <c r="D86" t="s">
        <v>13</v>
      </c>
      <c r="E86" t="s">
        <v>14</v>
      </c>
      <c r="F86">
        <v>200</v>
      </c>
      <c r="G86" s="2">
        <v>39.380000000000003</v>
      </c>
      <c r="H86" s="1">
        <v>46166.63743357639</v>
      </c>
      <c r="I86" s="1">
        <v>46166.637434039352</v>
      </c>
      <c r="J86" t="s">
        <v>15</v>
      </c>
      <c r="K86" t="s">
        <v>16</v>
      </c>
      <c r="L86" s="1">
        <v>46166.637434074073</v>
      </c>
    </row>
    <row r="87" spans="1:12" x14ac:dyDescent="0.25">
      <c r="A87" t="s">
        <v>482</v>
      </c>
      <c r="B87" t="str">
        <f>resultado_db_usuario_5[[#This Row],[metodo]]&amp;" "&amp;SUBSTITUTE(resultado_db_usuario_5[[#This Row],[rota]],"/api/v1","")</f>
        <v>GET /aeronaves/</v>
      </c>
      <c r="C87" t="s">
        <v>12</v>
      </c>
      <c r="D87" t="s">
        <v>13</v>
      </c>
      <c r="E87" t="s">
        <v>14</v>
      </c>
      <c r="F87">
        <v>200</v>
      </c>
      <c r="G87" s="2">
        <v>68.8</v>
      </c>
      <c r="H87" s="1">
        <v>46166.637434421296</v>
      </c>
      <c r="I87" s="1">
        <v>46166.637435219905</v>
      </c>
      <c r="J87" t="s">
        <v>15</v>
      </c>
      <c r="K87" t="s">
        <v>16</v>
      </c>
      <c r="L87" s="1">
        <v>46166.637435266202</v>
      </c>
    </row>
    <row r="88" spans="1:12" x14ac:dyDescent="0.25">
      <c r="A88" t="s">
        <v>507</v>
      </c>
      <c r="B88" t="str">
        <f>resultado_db_usuario_5[[#This Row],[metodo]]&amp;" "&amp;SUBSTITUTE(resultado_db_usuario_5[[#This Row],[rota]],"/api/v1","")</f>
        <v>GET /aeronaves/</v>
      </c>
      <c r="C88" t="s">
        <v>12</v>
      </c>
      <c r="D88" t="s">
        <v>13</v>
      </c>
      <c r="E88" t="s">
        <v>14</v>
      </c>
      <c r="F88">
        <v>200</v>
      </c>
      <c r="G88" s="2">
        <v>16.66</v>
      </c>
      <c r="H88" s="1">
        <v>46166.637436203702</v>
      </c>
      <c r="I88" s="1">
        <v>46166.63743638889</v>
      </c>
      <c r="J88" t="s">
        <v>15</v>
      </c>
      <c r="K88" t="s">
        <v>16</v>
      </c>
      <c r="L88" s="1">
        <v>46166.637436423611</v>
      </c>
    </row>
    <row r="89" spans="1:12" x14ac:dyDescent="0.25">
      <c r="A89" t="s">
        <v>510</v>
      </c>
      <c r="B89" t="str">
        <f>resultado_db_usuario_5[[#This Row],[metodo]]&amp;" "&amp;SUBSTITUTE(resultado_db_usuario_5[[#This Row],[rota]],"/api/v1","")</f>
        <v>GET /aeronaves/</v>
      </c>
      <c r="C89" t="s">
        <v>12</v>
      </c>
      <c r="D89" t="s">
        <v>13</v>
      </c>
      <c r="E89" t="s">
        <v>14</v>
      </c>
      <c r="F89">
        <v>200</v>
      </c>
      <c r="G89" s="2">
        <v>23.51</v>
      </c>
      <c r="H89" s="1">
        <v>46166.637436238423</v>
      </c>
      <c r="I89" s="1">
        <v>46166.637436516205</v>
      </c>
      <c r="J89" t="s">
        <v>15</v>
      </c>
      <c r="K89" t="s">
        <v>16</v>
      </c>
      <c r="L89" s="1">
        <v>46166.637436539349</v>
      </c>
    </row>
    <row r="90" spans="1:12" x14ac:dyDescent="0.25">
      <c r="A90" t="s">
        <v>514</v>
      </c>
      <c r="B90" t="str">
        <f>resultado_db_usuario_5[[#This Row],[metodo]]&amp;" "&amp;SUBSTITUTE(resultado_db_usuario_5[[#This Row],[rota]],"/api/v1","")</f>
        <v>GET /aeronaves/</v>
      </c>
      <c r="C90" t="s">
        <v>12</v>
      </c>
      <c r="D90" t="s">
        <v>13</v>
      </c>
      <c r="E90" t="s">
        <v>14</v>
      </c>
      <c r="F90">
        <v>200</v>
      </c>
      <c r="G90" s="2">
        <v>26.42</v>
      </c>
      <c r="H90" s="1">
        <v>46166.637436527781</v>
      </c>
      <c r="I90" s="1">
        <v>46166.637436840276</v>
      </c>
      <c r="J90" t="s">
        <v>15</v>
      </c>
      <c r="K90" t="s">
        <v>16</v>
      </c>
      <c r="L90" s="1">
        <v>46166.637436863428</v>
      </c>
    </row>
    <row r="91" spans="1:12" x14ac:dyDescent="0.25">
      <c r="A91" t="s">
        <v>531</v>
      </c>
      <c r="B91" t="str">
        <f>resultado_db_usuario_5[[#This Row],[metodo]]&amp;" "&amp;SUBSTITUTE(resultado_db_usuario_5[[#This Row],[rota]],"/api/v1","")</f>
        <v>GET /aeronaves/</v>
      </c>
      <c r="C91" t="s">
        <v>12</v>
      </c>
      <c r="D91" t="s">
        <v>13</v>
      </c>
      <c r="E91" t="s">
        <v>14</v>
      </c>
      <c r="F91">
        <v>200</v>
      </c>
      <c r="G91" s="2">
        <v>16.989999999999998</v>
      </c>
      <c r="H91" s="1">
        <v>46166.637437210651</v>
      </c>
      <c r="I91" s="1">
        <v>46166.637437407408</v>
      </c>
      <c r="J91" t="s">
        <v>15</v>
      </c>
      <c r="K91" t="s">
        <v>16</v>
      </c>
      <c r="L91" s="1">
        <v>46166.637437430552</v>
      </c>
    </row>
    <row r="92" spans="1:12" x14ac:dyDescent="0.25">
      <c r="A92" t="s">
        <v>549</v>
      </c>
      <c r="B92" t="str">
        <f>resultado_db_usuario_5[[#This Row],[metodo]]&amp;" "&amp;SUBSTITUTE(resultado_db_usuario_5[[#This Row],[rota]],"/api/v1","")</f>
        <v>GET /aeronaves/</v>
      </c>
      <c r="C92" t="s">
        <v>12</v>
      </c>
      <c r="D92" t="s">
        <v>13</v>
      </c>
      <c r="E92" t="s">
        <v>14</v>
      </c>
      <c r="F92">
        <v>200</v>
      </c>
      <c r="G92" s="2">
        <v>24.21</v>
      </c>
      <c r="H92" s="1">
        <v>46166.637437916666</v>
      </c>
      <c r="I92" s="1">
        <v>46166.637438194448</v>
      </c>
      <c r="J92" t="s">
        <v>15</v>
      </c>
      <c r="K92" t="s">
        <v>16</v>
      </c>
      <c r="L92" s="1">
        <v>46166.637438229169</v>
      </c>
    </row>
    <row r="93" spans="1:12" x14ac:dyDescent="0.25">
      <c r="A93" t="s">
        <v>552</v>
      </c>
      <c r="B93" t="str">
        <f>resultado_db_usuario_5[[#This Row],[metodo]]&amp;" "&amp;SUBSTITUTE(resultado_db_usuario_5[[#This Row],[rota]],"/api/v1","")</f>
        <v>GET /aeronaves/</v>
      </c>
      <c r="C93" t="s">
        <v>12</v>
      </c>
      <c r="D93" t="s">
        <v>13</v>
      </c>
      <c r="E93" t="s">
        <v>14</v>
      </c>
      <c r="F93">
        <v>200</v>
      </c>
      <c r="G93" s="2">
        <v>27.68</v>
      </c>
      <c r="H93" s="1">
        <v>46166.637438240738</v>
      </c>
      <c r="I93" s="1">
        <v>46166.637438564816</v>
      </c>
      <c r="J93" t="s">
        <v>15</v>
      </c>
      <c r="K93" t="s">
        <v>16</v>
      </c>
      <c r="L93" s="1">
        <v>46166.637438587961</v>
      </c>
    </row>
    <row r="94" spans="1:12" x14ac:dyDescent="0.25">
      <c r="A94" t="s">
        <v>555</v>
      </c>
      <c r="B94" t="str">
        <f>resultado_db_usuario_5[[#This Row],[metodo]]&amp;" "&amp;SUBSTITUTE(resultado_db_usuario_5[[#This Row],[rota]],"/api/v1","")</f>
        <v>GET /aeronaves/</v>
      </c>
      <c r="C94" t="s">
        <v>12</v>
      </c>
      <c r="D94" t="s">
        <v>13</v>
      </c>
      <c r="E94" t="s">
        <v>14</v>
      </c>
      <c r="F94">
        <v>200</v>
      </c>
      <c r="G94" s="2">
        <v>27.04</v>
      </c>
      <c r="H94" s="1">
        <v>46166.637438483798</v>
      </c>
      <c r="I94" s="1">
        <v>46166.637438796293</v>
      </c>
      <c r="J94" t="s">
        <v>15</v>
      </c>
      <c r="K94" t="s">
        <v>16</v>
      </c>
      <c r="L94" s="1">
        <v>46166.637438819445</v>
      </c>
    </row>
    <row r="95" spans="1:12" x14ac:dyDescent="0.25">
      <c r="A95" t="s">
        <v>568</v>
      </c>
      <c r="B95" t="str">
        <f>resultado_db_usuario_5[[#This Row],[metodo]]&amp;" "&amp;SUBSTITUTE(resultado_db_usuario_5[[#This Row],[rota]],"/api/v1","")</f>
        <v>GET /aeronaves/</v>
      </c>
      <c r="C95" t="s">
        <v>12</v>
      </c>
      <c r="D95" t="s">
        <v>13</v>
      </c>
      <c r="E95" t="s">
        <v>14</v>
      </c>
      <c r="F95">
        <v>200</v>
      </c>
      <c r="G95" s="2">
        <v>24.28</v>
      </c>
      <c r="H95" s="1">
        <v>46166.637439224534</v>
      </c>
      <c r="I95" s="1">
        <v>46166.637439502316</v>
      </c>
      <c r="J95" t="s">
        <v>15</v>
      </c>
      <c r="K95" t="s">
        <v>16</v>
      </c>
      <c r="L95" s="1">
        <v>46166.637439537037</v>
      </c>
    </row>
    <row r="96" spans="1:12" x14ac:dyDescent="0.25">
      <c r="A96" t="s">
        <v>590</v>
      </c>
      <c r="B96" t="str">
        <f>resultado_db_usuario_5[[#This Row],[metodo]]&amp;" "&amp;SUBSTITUTE(resultado_db_usuario_5[[#This Row],[rota]],"/api/v1","")</f>
        <v>GET /aeronaves/</v>
      </c>
      <c r="C96" t="s">
        <v>12</v>
      </c>
      <c r="D96" t="s">
        <v>13</v>
      </c>
      <c r="E96" t="s">
        <v>14</v>
      </c>
      <c r="F96">
        <v>200</v>
      </c>
      <c r="G96" s="2">
        <v>23.57</v>
      </c>
      <c r="H96" s="1">
        <v>46166.637440324077</v>
      </c>
      <c r="I96" s="1">
        <v>46166.637440601851</v>
      </c>
      <c r="J96" t="s">
        <v>15</v>
      </c>
      <c r="K96" t="s">
        <v>16</v>
      </c>
      <c r="L96" s="1">
        <v>46166.637440636572</v>
      </c>
    </row>
    <row r="97" spans="1:12" x14ac:dyDescent="0.25">
      <c r="A97" t="s">
        <v>595</v>
      </c>
      <c r="B97" t="str">
        <f>resultado_db_usuario_5[[#This Row],[metodo]]&amp;" "&amp;SUBSTITUTE(resultado_db_usuario_5[[#This Row],[rota]],"/api/v1","")</f>
        <v>GET /aeronaves/</v>
      </c>
      <c r="C97" t="s">
        <v>12</v>
      </c>
      <c r="D97" t="s">
        <v>13</v>
      </c>
      <c r="E97" t="s">
        <v>14</v>
      </c>
      <c r="F97">
        <v>200</v>
      </c>
      <c r="G97" s="2">
        <v>27.11</v>
      </c>
      <c r="H97" s="1">
        <v>46166.637440625003</v>
      </c>
      <c r="I97" s="1">
        <v>46166.637440949075</v>
      </c>
      <c r="J97" t="s">
        <v>15</v>
      </c>
      <c r="K97" t="s">
        <v>16</v>
      </c>
      <c r="L97" s="1">
        <v>46166.637440972219</v>
      </c>
    </row>
    <row r="98" spans="1:12" x14ac:dyDescent="0.25">
      <c r="A98" t="s">
        <v>608</v>
      </c>
      <c r="B98" t="str">
        <f>resultado_db_usuario_5[[#This Row],[metodo]]&amp;" "&amp;SUBSTITUTE(resultado_db_usuario_5[[#This Row],[rota]],"/api/v1","")</f>
        <v>GET /aeronaves/</v>
      </c>
      <c r="C98" t="s">
        <v>12</v>
      </c>
      <c r="D98" t="s">
        <v>13</v>
      </c>
      <c r="E98" t="s">
        <v>14</v>
      </c>
      <c r="F98">
        <v>200</v>
      </c>
      <c r="G98" s="2">
        <v>23.37</v>
      </c>
      <c r="H98" s="1">
        <v>46166.63744136574</v>
      </c>
      <c r="I98" s="1">
        <v>46166.637441631945</v>
      </c>
      <c r="J98" t="s">
        <v>15</v>
      </c>
      <c r="K98" t="s">
        <v>16</v>
      </c>
      <c r="L98" s="1">
        <v>46166.637441666666</v>
      </c>
    </row>
    <row r="99" spans="1:12" x14ac:dyDescent="0.25">
      <c r="A99" t="s">
        <v>622</v>
      </c>
      <c r="B99" t="str">
        <f>resultado_db_usuario_5[[#This Row],[metodo]]&amp;" "&amp;SUBSTITUTE(resultado_db_usuario_5[[#This Row],[rota]],"/api/v1","")</f>
        <v>GET /aeronaves/</v>
      </c>
      <c r="C99" t="s">
        <v>12</v>
      </c>
      <c r="D99" t="s">
        <v>13</v>
      </c>
      <c r="E99" t="s">
        <v>14</v>
      </c>
      <c r="F99">
        <v>200</v>
      </c>
      <c r="G99" s="2">
        <v>22.11</v>
      </c>
      <c r="H99" s="1">
        <v>46166.637442129628</v>
      </c>
      <c r="I99" s="1">
        <v>46166.637442384257</v>
      </c>
      <c r="J99" t="s">
        <v>15</v>
      </c>
      <c r="K99" t="s">
        <v>16</v>
      </c>
      <c r="L99" s="1">
        <v>46166.637442418978</v>
      </c>
    </row>
    <row r="100" spans="1:12" x14ac:dyDescent="0.25">
      <c r="A100" t="s">
        <v>633</v>
      </c>
      <c r="B100" t="str">
        <f>resultado_db_usuario_5[[#This Row],[metodo]]&amp;" "&amp;SUBSTITUTE(resultado_db_usuario_5[[#This Row],[rota]],"/api/v1","")</f>
        <v>GET /aeronaves/</v>
      </c>
      <c r="C100" t="s">
        <v>12</v>
      </c>
      <c r="D100" t="s">
        <v>13</v>
      </c>
      <c r="E100" t="s">
        <v>14</v>
      </c>
      <c r="F100">
        <v>200</v>
      </c>
      <c r="G100" s="2">
        <v>30.37</v>
      </c>
      <c r="H100" s="1">
        <v>46166.637442928244</v>
      </c>
      <c r="I100" s="1">
        <v>46166.63744327546</v>
      </c>
      <c r="J100" t="s">
        <v>15</v>
      </c>
      <c r="K100" t="s">
        <v>16</v>
      </c>
      <c r="L100" s="1">
        <v>46166.637443310188</v>
      </c>
    </row>
    <row r="101" spans="1:12" x14ac:dyDescent="0.25">
      <c r="A101" t="s">
        <v>643</v>
      </c>
      <c r="B101" t="str">
        <f>resultado_db_usuario_5[[#This Row],[metodo]]&amp;" "&amp;SUBSTITUTE(resultado_db_usuario_5[[#This Row],[rota]],"/api/v1","")</f>
        <v>GET /aeronaves/</v>
      </c>
      <c r="C101" t="s">
        <v>12</v>
      </c>
      <c r="D101" t="s">
        <v>13</v>
      </c>
      <c r="E101" t="s">
        <v>14</v>
      </c>
      <c r="F101">
        <v>200</v>
      </c>
      <c r="G101" s="2">
        <v>14.3</v>
      </c>
      <c r="H101" s="1">
        <v>46166.637443715277</v>
      </c>
      <c r="I101" s="1">
        <v>46166.637443877313</v>
      </c>
      <c r="J101" t="s">
        <v>15</v>
      </c>
      <c r="K101" t="s">
        <v>16</v>
      </c>
      <c r="L101" s="1">
        <v>46166.637443912034</v>
      </c>
    </row>
    <row r="102" spans="1:12" x14ac:dyDescent="0.25">
      <c r="A102" t="s">
        <v>137</v>
      </c>
      <c r="B102" t="str">
        <f>resultado_db_usuario_5[[#This Row],[metodo]]&amp;" "&amp;SUBSTITUTE(resultado_db_usuario_5[[#This Row],[rota]],"/api/v1","")</f>
        <v>GET /etapas/</v>
      </c>
      <c r="C102" t="s">
        <v>12</v>
      </c>
      <c r="D102" t="s">
        <v>18</v>
      </c>
      <c r="E102" t="s">
        <v>19</v>
      </c>
      <c r="F102">
        <v>200</v>
      </c>
      <c r="G102" s="2">
        <v>6.77</v>
      </c>
      <c r="H102" s="1">
        <v>46166.637413773147</v>
      </c>
      <c r="I102" s="1">
        <v>46166.637413854165</v>
      </c>
      <c r="J102" t="s">
        <v>15</v>
      </c>
      <c r="K102" t="s">
        <v>16</v>
      </c>
      <c r="L102" s="1">
        <v>46166.637413877317</v>
      </c>
    </row>
    <row r="103" spans="1:12" x14ac:dyDescent="0.25">
      <c r="A103" t="s">
        <v>149</v>
      </c>
      <c r="B103" t="str">
        <f>resultado_db_usuario_5[[#This Row],[metodo]]&amp;" "&amp;SUBSTITUTE(resultado_db_usuario_5[[#This Row],[rota]],"/api/v1","")</f>
        <v>GET /etapas/</v>
      </c>
      <c r="C103" t="s">
        <v>12</v>
      </c>
      <c r="D103" t="s">
        <v>18</v>
      </c>
      <c r="E103" t="s">
        <v>19</v>
      </c>
      <c r="F103">
        <v>200</v>
      </c>
      <c r="G103" s="2">
        <v>7.2</v>
      </c>
      <c r="H103" s="1">
        <v>46166.637414976853</v>
      </c>
      <c r="I103" s="1">
        <v>46166.63741505787</v>
      </c>
      <c r="J103" t="s">
        <v>15</v>
      </c>
      <c r="K103" t="s">
        <v>16</v>
      </c>
      <c r="L103" s="1">
        <v>46166.637415092591</v>
      </c>
    </row>
    <row r="104" spans="1:12" x14ac:dyDescent="0.25">
      <c r="A104" t="s">
        <v>160</v>
      </c>
      <c r="B104" t="str">
        <f>resultado_db_usuario_5[[#This Row],[metodo]]&amp;" "&amp;SUBSTITUTE(resultado_db_usuario_5[[#This Row],[rota]],"/api/v1","")</f>
        <v>GET /etapas/</v>
      </c>
      <c r="C104" t="s">
        <v>12</v>
      </c>
      <c r="D104" t="s">
        <v>18</v>
      </c>
      <c r="E104" t="s">
        <v>19</v>
      </c>
      <c r="F104">
        <v>200</v>
      </c>
      <c r="G104" s="2">
        <v>16.11</v>
      </c>
      <c r="H104" s="1">
        <v>46166.63741609954</v>
      </c>
      <c r="I104" s="1">
        <v>46166.637416284721</v>
      </c>
      <c r="J104" t="s">
        <v>15</v>
      </c>
      <c r="K104" t="s">
        <v>16</v>
      </c>
      <c r="L104" s="1">
        <v>46166.637416319441</v>
      </c>
    </row>
    <row r="105" spans="1:12" x14ac:dyDescent="0.25">
      <c r="A105" t="s">
        <v>162</v>
      </c>
      <c r="B105" t="str">
        <f>resultado_db_usuario_5[[#This Row],[metodo]]&amp;" "&amp;SUBSTITUTE(resultado_db_usuario_5[[#This Row],[rota]],"/api/v1","")</f>
        <v>GET /etapas/</v>
      </c>
      <c r="C105" t="s">
        <v>12</v>
      </c>
      <c r="D105" t="s">
        <v>18</v>
      </c>
      <c r="E105" t="s">
        <v>19</v>
      </c>
      <c r="F105">
        <v>200</v>
      </c>
      <c r="G105" s="2">
        <v>10.33</v>
      </c>
      <c r="H105" s="1">
        <v>46166.637416307873</v>
      </c>
      <c r="I105" s="1">
        <v>46166.637416435187</v>
      </c>
      <c r="J105" t="s">
        <v>15</v>
      </c>
      <c r="K105" t="s">
        <v>16</v>
      </c>
      <c r="L105" s="1">
        <v>46166.637416469908</v>
      </c>
    </row>
    <row r="106" spans="1:12" x14ac:dyDescent="0.25">
      <c r="A106" t="s">
        <v>180</v>
      </c>
      <c r="B106" t="str">
        <f>resultado_db_usuario_5[[#This Row],[metodo]]&amp;" "&amp;SUBSTITUTE(resultado_db_usuario_5[[#This Row],[rota]],"/api/v1","")</f>
        <v>GET /etapas/</v>
      </c>
      <c r="C106" t="s">
        <v>12</v>
      </c>
      <c r="D106" t="s">
        <v>18</v>
      </c>
      <c r="E106" t="s">
        <v>19</v>
      </c>
      <c r="F106">
        <v>200</v>
      </c>
      <c r="G106" s="2">
        <v>13.68</v>
      </c>
      <c r="H106" s="1">
        <v>46166.637417662037</v>
      </c>
      <c r="I106" s="1">
        <v>46166.637417824073</v>
      </c>
      <c r="J106" t="s">
        <v>15</v>
      </c>
      <c r="K106" t="s">
        <v>16</v>
      </c>
      <c r="L106" s="1">
        <v>46166.637417858794</v>
      </c>
    </row>
    <row r="107" spans="1:12" x14ac:dyDescent="0.25">
      <c r="A107" t="s">
        <v>184</v>
      </c>
      <c r="B107" t="str">
        <f>resultado_db_usuario_5[[#This Row],[metodo]]&amp;" "&amp;SUBSTITUTE(resultado_db_usuario_5[[#This Row],[rota]],"/api/v1","")</f>
        <v>GET /etapas/</v>
      </c>
      <c r="C107" t="s">
        <v>12</v>
      </c>
      <c r="D107" t="s">
        <v>18</v>
      </c>
      <c r="E107" t="s">
        <v>19</v>
      </c>
      <c r="F107">
        <v>200</v>
      </c>
      <c r="G107" s="2">
        <v>16.809999999999999</v>
      </c>
      <c r="H107" s="1">
        <v>46166.637418067126</v>
      </c>
      <c r="I107" s="1">
        <v>46166.637418252314</v>
      </c>
      <c r="J107" t="s">
        <v>15</v>
      </c>
      <c r="K107" t="s">
        <v>16</v>
      </c>
      <c r="L107" s="1">
        <v>46166.637418287035</v>
      </c>
    </row>
    <row r="108" spans="1:12" x14ac:dyDescent="0.25">
      <c r="A108" t="s">
        <v>190</v>
      </c>
      <c r="B108" t="str">
        <f>resultado_db_usuario_5[[#This Row],[metodo]]&amp;" "&amp;SUBSTITUTE(resultado_db_usuario_5[[#This Row],[rota]],"/api/v1","")</f>
        <v>GET /etapas/</v>
      </c>
      <c r="C108" t="s">
        <v>12</v>
      </c>
      <c r="D108" t="s">
        <v>18</v>
      </c>
      <c r="E108" t="s">
        <v>19</v>
      </c>
      <c r="F108">
        <v>200</v>
      </c>
      <c r="G108" s="2">
        <v>13.51</v>
      </c>
      <c r="H108" s="1">
        <v>46166.637418692131</v>
      </c>
      <c r="I108" s="1">
        <v>46166.637418842591</v>
      </c>
      <c r="J108" t="s">
        <v>15</v>
      </c>
      <c r="K108" t="s">
        <v>16</v>
      </c>
      <c r="L108" s="1">
        <v>46166.637418877312</v>
      </c>
    </row>
    <row r="109" spans="1:12" x14ac:dyDescent="0.25">
      <c r="A109" t="s">
        <v>214</v>
      </c>
      <c r="B109" t="str">
        <f>resultado_db_usuario_5[[#This Row],[metodo]]&amp;" "&amp;SUBSTITUTE(resultado_db_usuario_5[[#This Row],[rota]],"/api/v1","")</f>
        <v>GET /etapas/</v>
      </c>
      <c r="C109" t="s">
        <v>12</v>
      </c>
      <c r="D109" t="s">
        <v>18</v>
      </c>
      <c r="E109" t="s">
        <v>19</v>
      </c>
      <c r="F109">
        <v>200</v>
      </c>
      <c r="G109" s="2">
        <v>12.04</v>
      </c>
      <c r="H109" s="1">
        <v>46166.637419965278</v>
      </c>
      <c r="I109" s="1">
        <v>46166.637420104169</v>
      </c>
      <c r="J109" t="s">
        <v>15</v>
      </c>
      <c r="K109" t="s">
        <v>16</v>
      </c>
      <c r="L109" s="1">
        <v>46166.637420127314</v>
      </c>
    </row>
    <row r="110" spans="1:12" x14ac:dyDescent="0.25">
      <c r="A110" t="s">
        <v>215</v>
      </c>
      <c r="B110" t="str">
        <f>resultado_db_usuario_5[[#This Row],[metodo]]&amp;" "&amp;SUBSTITUTE(resultado_db_usuario_5[[#This Row],[rota]],"/api/v1","")</f>
        <v>GET /etapas/</v>
      </c>
      <c r="C110" t="s">
        <v>12</v>
      </c>
      <c r="D110" t="s">
        <v>18</v>
      </c>
      <c r="E110" t="s">
        <v>19</v>
      </c>
      <c r="F110">
        <v>200</v>
      </c>
      <c r="G110" s="2">
        <v>11.31</v>
      </c>
      <c r="H110" s="1">
        <v>46166.637420011575</v>
      </c>
      <c r="I110" s="1">
        <v>46166.63742013889</v>
      </c>
      <c r="J110" t="s">
        <v>15</v>
      </c>
      <c r="K110" t="s">
        <v>16</v>
      </c>
      <c r="L110" s="1">
        <v>46166.637420173611</v>
      </c>
    </row>
    <row r="111" spans="1:12" x14ac:dyDescent="0.25">
      <c r="A111" t="s">
        <v>220</v>
      </c>
      <c r="B111" t="str">
        <f>resultado_db_usuario_5[[#This Row],[metodo]]&amp;" "&amp;SUBSTITUTE(resultado_db_usuario_5[[#This Row],[rota]],"/api/v1","")</f>
        <v>GET /etapas/</v>
      </c>
      <c r="C111" t="s">
        <v>12</v>
      </c>
      <c r="D111" t="s">
        <v>18</v>
      </c>
      <c r="E111" t="s">
        <v>19</v>
      </c>
      <c r="F111">
        <v>200</v>
      </c>
      <c r="G111" s="2">
        <v>8.01</v>
      </c>
      <c r="H111" s="1">
        <v>46166.637420509258</v>
      </c>
      <c r="I111" s="1">
        <v>46166.637420601852</v>
      </c>
      <c r="J111" t="s">
        <v>15</v>
      </c>
      <c r="K111" t="s">
        <v>16</v>
      </c>
      <c r="L111" s="1">
        <v>46166.637420624997</v>
      </c>
    </row>
    <row r="112" spans="1:12" x14ac:dyDescent="0.25">
      <c r="A112" t="s">
        <v>230</v>
      </c>
      <c r="B112" t="str">
        <f>resultado_db_usuario_5[[#This Row],[metodo]]&amp;" "&amp;SUBSTITUTE(resultado_db_usuario_5[[#This Row],[rota]],"/api/v1","")</f>
        <v>GET /etapas/</v>
      </c>
      <c r="C112" t="s">
        <v>12</v>
      </c>
      <c r="D112" t="s">
        <v>18</v>
      </c>
      <c r="E112" t="s">
        <v>19</v>
      </c>
      <c r="F112">
        <v>200</v>
      </c>
      <c r="G112" s="2">
        <v>9.69</v>
      </c>
      <c r="H112" s="1">
        <v>46166.637420937499</v>
      </c>
      <c r="I112" s="1">
        <v>46166.637421053238</v>
      </c>
      <c r="J112" t="s">
        <v>15</v>
      </c>
      <c r="K112" t="s">
        <v>16</v>
      </c>
      <c r="L112" s="1">
        <v>46166.637421087966</v>
      </c>
    </row>
    <row r="113" spans="1:12" x14ac:dyDescent="0.25">
      <c r="A113" t="s">
        <v>253</v>
      </c>
      <c r="B113" t="str">
        <f>resultado_db_usuario_5[[#This Row],[metodo]]&amp;" "&amp;SUBSTITUTE(resultado_db_usuario_5[[#This Row],[rota]],"/api/v1","")</f>
        <v>GET /etapas/</v>
      </c>
      <c r="C113" t="s">
        <v>12</v>
      </c>
      <c r="D113" t="s">
        <v>18</v>
      </c>
      <c r="E113" t="s">
        <v>19</v>
      </c>
      <c r="F113">
        <v>200</v>
      </c>
      <c r="G113" s="2">
        <v>13.17</v>
      </c>
      <c r="H113" s="1">
        <v>46166.637422233798</v>
      </c>
      <c r="I113" s="1">
        <v>46166.637422395834</v>
      </c>
      <c r="J113" t="s">
        <v>15</v>
      </c>
      <c r="K113" t="s">
        <v>16</v>
      </c>
      <c r="L113" s="1">
        <v>46166.637422430555</v>
      </c>
    </row>
    <row r="114" spans="1:12" x14ac:dyDescent="0.25">
      <c r="A114" t="s">
        <v>259</v>
      </c>
      <c r="B114" t="str">
        <f>resultado_db_usuario_5[[#This Row],[metodo]]&amp;" "&amp;SUBSTITUTE(resultado_db_usuario_5[[#This Row],[rota]],"/api/v1","")</f>
        <v>GET /etapas/</v>
      </c>
      <c r="C114" t="s">
        <v>12</v>
      </c>
      <c r="D114" t="s">
        <v>18</v>
      </c>
      <c r="E114" t="s">
        <v>19</v>
      </c>
      <c r="F114">
        <v>200</v>
      </c>
      <c r="G114" s="2">
        <v>13.01</v>
      </c>
      <c r="H114" s="1">
        <v>46166.637422615742</v>
      </c>
      <c r="I114" s="1">
        <v>46166.637422766202</v>
      </c>
      <c r="J114" t="s">
        <v>15</v>
      </c>
      <c r="K114" t="s">
        <v>16</v>
      </c>
      <c r="L114" s="1">
        <v>46166.637422800923</v>
      </c>
    </row>
    <row r="115" spans="1:12" x14ac:dyDescent="0.25">
      <c r="A115" t="s">
        <v>265</v>
      </c>
      <c r="B115" t="str">
        <f>resultado_db_usuario_5[[#This Row],[metodo]]&amp;" "&amp;SUBSTITUTE(resultado_db_usuario_5[[#This Row],[rota]],"/api/v1","")</f>
        <v>GET /etapas/</v>
      </c>
      <c r="C115" t="s">
        <v>12</v>
      </c>
      <c r="D115" t="s">
        <v>18</v>
      </c>
      <c r="E115" t="s">
        <v>19</v>
      </c>
      <c r="F115">
        <v>200</v>
      </c>
      <c r="G115" s="2">
        <v>14.79</v>
      </c>
      <c r="H115" s="1">
        <v>46166.637423067128</v>
      </c>
      <c r="I115" s="1">
        <v>46166.63742324074</v>
      </c>
      <c r="J115" t="s">
        <v>15</v>
      </c>
      <c r="K115" t="s">
        <v>16</v>
      </c>
      <c r="L115" s="1">
        <v>46166.637423275461</v>
      </c>
    </row>
    <row r="116" spans="1:12" x14ac:dyDescent="0.25">
      <c r="A116" t="s">
        <v>267</v>
      </c>
      <c r="B116" t="str">
        <f>resultado_db_usuario_5[[#This Row],[metodo]]&amp;" "&amp;SUBSTITUTE(resultado_db_usuario_5[[#This Row],[rota]],"/api/v1","")</f>
        <v>GET /etapas/</v>
      </c>
      <c r="C116" t="s">
        <v>12</v>
      </c>
      <c r="D116" t="s">
        <v>18</v>
      </c>
      <c r="E116" t="s">
        <v>19</v>
      </c>
      <c r="F116">
        <v>200</v>
      </c>
      <c r="G116" s="2">
        <v>11.94</v>
      </c>
      <c r="H116" s="1">
        <v>46166.637423287037</v>
      </c>
      <c r="I116" s="1">
        <v>46166.637423425927</v>
      </c>
      <c r="J116" t="s">
        <v>15</v>
      </c>
      <c r="K116" t="s">
        <v>16</v>
      </c>
      <c r="L116" s="1">
        <v>46166.637423460648</v>
      </c>
    </row>
    <row r="117" spans="1:12" x14ac:dyDescent="0.25">
      <c r="A117" t="s">
        <v>274</v>
      </c>
      <c r="B117" t="str">
        <f>resultado_db_usuario_5[[#This Row],[metodo]]&amp;" "&amp;SUBSTITUTE(resultado_db_usuario_5[[#This Row],[rota]],"/api/v1","")</f>
        <v>GET /etapas/</v>
      </c>
      <c r="C117" t="s">
        <v>12</v>
      </c>
      <c r="D117" t="s">
        <v>18</v>
      </c>
      <c r="E117" t="s">
        <v>19</v>
      </c>
      <c r="F117">
        <v>200</v>
      </c>
      <c r="G117" s="2">
        <v>8.61</v>
      </c>
      <c r="H117" s="1">
        <v>46166.637423703702</v>
      </c>
      <c r="I117" s="1">
        <v>46166.637423796295</v>
      </c>
      <c r="J117" t="s">
        <v>15</v>
      </c>
      <c r="K117" t="s">
        <v>16</v>
      </c>
      <c r="L117" s="1">
        <v>46166.637423819448</v>
      </c>
    </row>
    <row r="118" spans="1:12" x14ac:dyDescent="0.25">
      <c r="A118" t="s">
        <v>303</v>
      </c>
      <c r="B118" t="str">
        <f>resultado_db_usuario_5[[#This Row],[metodo]]&amp;" "&amp;SUBSTITUTE(resultado_db_usuario_5[[#This Row],[rota]],"/api/v1","")</f>
        <v>GET /etapas/</v>
      </c>
      <c r="C118" t="s">
        <v>12</v>
      </c>
      <c r="D118" t="s">
        <v>18</v>
      </c>
      <c r="E118" t="s">
        <v>19</v>
      </c>
      <c r="F118">
        <v>200</v>
      </c>
      <c r="G118" s="2">
        <v>10.84</v>
      </c>
      <c r="H118" s="1">
        <v>46166.637424930559</v>
      </c>
      <c r="I118" s="1">
        <v>46166.637425057874</v>
      </c>
      <c r="J118" t="s">
        <v>15</v>
      </c>
      <c r="K118" t="s">
        <v>16</v>
      </c>
      <c r="L118" s="1">
        <v>46166.637425081019</v>
      </c>
    </row>
    <row r="119" spans="1:12" x14ac:dyDescent="0.25">
      <c r="A119" t="s">
        <v>311</v>
      </c>
      <c r="B119" t="str">
        <f>resultado_db_usuario_5[[#This Row],[metodo]]&amp;" "&amp;SUBSTITUTE(resultado_db_usuario_5[[#This Row],[rota]],"/api/v1","")</f>
        <v>GET /etapas/</v>
      </c>
      <c r="C119" t="s">
        <v>12</v>
      </c>
      <c r="D119" t="s">
        <v>18</v>
      </c>
      <c r="E119" t="s">
        <v>19</v>
      </c>
      <c r="F119">
        <v>200</v>
      </c>
      <c r="G119" s="2">
        <v>17.829999999999998</v>
      </c>
      <c r="H119" s="1">
        <v>46166.63742525463</v>
      </c>
      <c r="I119" s="1">
        <v>46166.637425462963</v>
      </c>
      <c r="J119" t="s">
        <v>15</v>
      </c>
      <c r="K119" t="s">
        <v>16</v>
      </c>
      <c r="L119" s="1">
        <v>46166.637425486108</v>
      </c>
    </row>
    <row r="120" spans="1:12" x14ac:dyDescent="0.25">
      <c r="A120" t="s">
        <v>315</v>
      </c>
      <c r="B120" t="str">
        <f>resultado_db_usuario_5[[#This Row],[metodo]]&amp;" "&amp;SUBSTITUTE(resultado_db_usuario_5[[#This Row],[rota]],"/api/v1","")</f>
        <v>GET /etapas/</v>
      </c>
      <c r="C120" t="s">
        <v>12</v>
      </c>
      <c r="D120" t="s">
        <v>18</v>
      </c>
      <c r="E120" t="s">
        <v>19</v>
      </c>
      <c r="F120">
        <v>200</v>
      </c>
      <c r="G120" s="2">
        <v>18.690000000000001</v>
      </c>
      <c r="H120" s="1">
        <v>46166.637425474539</v>
      </c>
      <c r="I120" s="1">
        <v>46166.637425694447</v>
      </c>
      <c r="J120" t="s">
        <v>15</v>
      </c>
      <c r="K120" t="s">
        <v>16</v>
      </c>
      <c r="L120" s="1">
        <v>46166.637425729168</v>
      </c>
    </row>
    <row r="121" spans="1:12" x14ac:dyDescent="0.25">
      <c r="A121" t="s">
        <v>317</v>
      </c>
      <c r="B121" t="str">
        <f>resultado_db_usuario_5[[#This Row],[metodo]]&amp;" "&amp;SUBSTITUTE(resultado_db_usuario_5[[#This Row],[rota]],"/api/v1","")</f>
        <v>GET /etapas/</v>
      </c>
      <c r="C121" t="s">
        <v>12</v>
      </c>
      <c r="D121" t="s">
        <v>18</v>
      </c>
      <c r="E121" t="s">
        <v>19</v>
      </c>
      <c r="F121">
        <v>200</v>
      </c>
      <c r="G121" s="2">
        <v>6.59</v>
      </c>
      <c r="H121" s="1">
        <v>46166.637425717592</v>
      </c>
      <c r="I121" s="1">
        <v>46166.637425787034</v>
      </c>
      <c r="J121" t="s">
        <v>15</v>
      </c>
      <c r="K121" t="s">
        <v>16</v>
      </c>
      <c r="L121" s="1">
        <v>46166.637425810186</v>
      </c>
    </row>
    <row r="122" spans="1:12" x14ac:dyDescent="0.25">
      <c r="A122" t="s">
        <v>329</v>
      </c>
      <c r="B122" t="str">
        <f>resultado_db_usuario_5[[#This Row],[metodo]]&amp;" "&amp;SUBSTITUTE(resultado_db_usuario_5[[#This Row],[rota]],"/api/v1","")</f>
        <v>GET /etapas/</v>
      </c>
      <c r="C122" t="s">
        <v>12</v>
      </c>
      <c r="D122" t="s">
        <v>18</v>
      </c>
      <c r="E122" t="s">
        <v>19</v>
      </c>
      <c r="F122">
        <v>200</v>
      </c>
      <c r="G122" s="2">
        <v>9.67</v>
      </c>
      <c r="H122" s="1">
        <v>46166.637426099536</v>
      </c>
      <c r="I122" s="1">
        <v>46166.637426203706</v>
      </c>
      <c r="J122" t="s">
        <v>15</v>
      </c>
      <c r="K122" t="s">
        <v>16</v>
      </c>
      <c r="L122" s="1">
        <v>46166.637426238427</v>
      </c>
    </row>
    <row r="123" spans="1:12" x14ac:dyDescent="0.25">
      <c r="A123" t="s">
        <v>357</v>
      </c>
      <c r="B123" t="str">
        <f>resultado_db_usuario_5[[#This Row],[metodo]]&amp;" "&amp;SUBSTITUTE(resultado_db_usuario_5[[#This Row],[rota]],"/api/v1","")</f>
        <v>GET /etapas/</v>
      </c>
      <c r="C123" t="s">
        <v>12</v>
      </c>
      <c r="D123" t="s">
        <v>18</v>
      </c>
      <c r="E123" t="s">
        <v>19</v>
      </c>
      <c r="F123">
        <v>200</v>
      </c>
      <c r="G123" s="2">
        <v>13.91</v>
      </c>
      <c r="H123" s="1">
        <v>46166.637427407404</v>
      </c>
      <c r="I123" s="1">
        <v>46166.637427569447</v>
      </c>
      <c r="J123" t="s">
        <v>15</v>
      </c>
      <c r="K123" t="s">
        <v>16</v>
      </c>
      <c r="L123" s="1">
        <v>46166.637427604168</v>
      </c>
    </row>
    <row r="124" spans="1:12" x14ac:dyDescent="0.25">
      <c r="A124" t="s">
        <v>363</v>
      </c>
      <c r="B124" t="str">
        <f>resultado_db_usuario_5[[#This Row],[metodo]]&amp;" "&amp;SUBSTITUTE(resultado_db_usuario_5[[#This Row],[rota]],"/api/v1","")</f>
        <v>GET /etapas/</v>
      </c>
      <c r="C124" t="s">
        <v>12</v>
      </c>
      <c r="D124" t="s">
        <v>18</v>
      </c>
      <c r="E124" t="s">
        <v>19</v>
      </c>
      <c r="F124">
        <v>200</v>
      </c>
      <c r="G124" s="2">
        <v>25.13</v>
      </c>
      <c r="H124" s="1">
        <v>46166.637427928239</v>
      </c>
      <c r="I124" s="1">
        <v>46166.637428217589</v>
      </c>
      <c r="J124" t="s">
        <v>15</v>
      </c>
      <c r="K124" t="s">
        <v>16</v>
      </c>
      <c r="L124" s="1">
        <v>46166.637428240741</v>
      </c>
    </row>
    <row r="125" spans="1:12" x14ac:dyDescent="0.25">
      <c r="A125" t="s">
        <v>366</v>
      </c>
      <c r="B125" t="str">
        <f>resultado_db_usuario_5[[#This Row],[metodo]]&amp;" "&amp;SUBSTITUTE(resultado_db_usuario_5[[#This Row],[rota]],"/api/v1","")</f>
        <v>GET /etapas/</v>
      </c>
      <c r="C125" t="s">
        <v>12</v>
      </c>
      <c r="D125" t="s">
        <v>18</v>
      </c>
      <c r="E125" t="s">
        <v>19</v>
      </c>
      <c r="F125">
        <v>200</v>
      </c>
      <c r="G125" s="2">
        <v>12.04</v>
      </c>
      <c r="H125" s="1">
        <v>46166.637428263886</v>
      </c>
      <c r="I125" s="1">
        <v>46166.637428402777</v>
      </c>
      <c r="J125" t="s">
        <v>15</v>
      </c>
      <c r="K125" t="s">
        <v>16</v>
      </c>
      <c r="L125" s="1">
        <v>46166.637428437498</v>
      </c>
    </row>
    <row r="126" spans="1:12" x14ac:dyDescent="0.25">
      <c r="A126" t="s">
        <v>368</v>
      </c>
      <c r="B126" t="str">
        <f>resultado_db_usuario_5[[#This Row],[metodo]]&amp;" "&amp;SUBSTITUTE(resultado_db_usuario_5[[#This Row],[rota]],"/api/v1","")</f>
        <v>GET /etapas/</v>
      </c>
      <c r="C126" t="s">
        <v>12</v>
      </c>
      <c r="D126" t="s">
        <v>18</v>
      </c>
      <c r="E126" t="s">
        <v>19</v>
      </c>
      <c r="F126">
        <v>200</v>
      </c>
      <c r="G126" s="2">
        <v>13.78</v>
      </c>
      <c r="H126" s="1">
        <v>46166.637428310183</v>
      </c>
      <c r="I126" s="1">
        <v>46166.637428472219</v>
      </c>
      <c r="J126" t="s">
        <v>15</v>
      </c>
      <c r="K126" t="s">
        <v>16</v>
      </c>
      <c r="L126" s="1">
        <v>46166.637428506947</v>
      </c>
    </row>
    <row r="127" spans="1:12" x14ac:dyDescent="0.25">
      <c r="A127" t="s">
        <v>380</v>
      </c>
      <c r="B127" t="str">
        <f>resultado_db_usuario_5[[#This Row],[metodo]]&amp;" "&amp;SUBSTITUTE(resultado_db_usuario_5[[#This Row],[rota]],"/api/v1","")</f>
        <v>GET /etapas/</v>
      </c>
      <c r="C127" t="s">
        <v>12</v>
      </c>
      <c r="D127" t="s">
        <v>18</v>
      </c>
      <c r="E127" t="s">
        <v>19</v>
      </c>
      <c r="F127">
        <v>200</v>
      </c>
      <c r="G127" s="2">
        <v>8.44</v>
      </c>
      <c r="H127" s="1">
        <v>46166.637429062503</v>
      </c>
      <c r="I127" s="1">
        <v>46166.637429166665</v>
      </c>
      <c r="J127" t="s">
        <v>15</v>
      </c>
      <c r="K127" t="s">
        <v>16</v>
      </c>
      <c r="L127" s="1">
        <v>46166.637429189817</v>
      </c>
    </row>
    <row r="128" spans="1:12" x14ac:dyDescent="0.25">
      <c r="A128" t="s">
        <v>412</v>
      </c>
      <c r="B128" t="str">
        <f>resultado_db_usuario_5[[#This Row],[metodo]]&amp;" "&amp;SUBSTITUTE(resultado_db_usuario_5[[#This Row],[rota]],"/api/v1","")</f>
        <v>GET /etapas/</v>
      </c>
      <c r="C128" t="s">
        <v>12</v>
      </c>
      <c r="D128" t="s">
        <v>18</v>
      </c>
      <c r="E128" t="s">
        <v>19</v>
      </c>
      <c r="F128">
        <v>200</v>
      </c>
      <c r="G128" s="2">
        <v>16.64</v>
      </c>
      <c r="H128" s="1">
        <v>46166.637430879629</v>
      </c>
      <c r="I128" s="1">
        <v>46166.637431076386</v>
      </c>
      <c r="J128" t="s">
        <v>15</v>
      </c>
      <c r="K128" t="s">
        <v>16</v>
      </c>
      <c r="L128" s="1">
        <v>46166.637431111114</v>
      </c>
    </row>
    <row r="129" spans="1:12" x14ac:dyDescent="0.25">
      <c r="A129" t="s">
        <v>417</v>
      </c>
      <c r="B129" t="str">
        <f>resultado_db_usuario_5[[#This Row],[metodo]]&amp;" "&amp;SUBSTITUTE(resultado_db_usuario_5[[#This Row],[rota]],"/api/v1","")</f>
        <v>GET /etapas/</v>
      </c>
      <c r="C129" t="s">
        <v>12</v>
      </c>
      <c r="D129" t="s">
        <v>18</v>
      </c>
      <c r="E129" t="s">
        <v>19</v>
      </c>
      <c r="F129">
        <v>200</v>
      </c>
      <c r="G129" s="2">
        <v>13.33</v>
      </c>
      <c r="H129" s="1">
        <v>46166.637431203701</v>
      </c>
      <c r="I129" s="1">
        <v>46166.637431365743</v>
      </c>
      <c r="J129" t="s">
        <v>15</v>
      </c>
      <c r="K129" t="s">
        <v>16</v>
      </c>
      <c r="L129" s="1">
        <v>46166.637431388888</v>
      </c>
    </row>
    <row r="130" spans="1:12" x14ac:dyDescent="0.25">
      <c r="A130" t="s">
        <v>418</v>
      </c>
      <c r="B130" t="str">
        <f>resultado_db_usuario_5[[#This Row],[metodo]]&amp;" "&amp;SUBSTITUTE(resultado_db_usuario_5[[#This Row],[rota]],"/api/v1","")</f>
        <v>GET /etapas/</v>
      </c>
      <c r="C130" t="s">
        <v>12</v>
      </c>
      <c r="D130" t="s">
        <v>18</v>
      </c>
      <c r="E130" t="s">
        <v>19</v>
      </c>
      <c r="F130">
        <v>200</v>
      </c>
      <c r="G130" s="2">
        <v>11.87</v>
      </c>
      <c r="H130" s="1">
        <v>46166.637431261574</v>
      </c>
      <c r="I130" s="1">
        <v>46166.637431400464</v>
      </c>
      <c r="J130" t="s">
        <v>15</v>
      </c>
      <c r="K130" t="s">
        <v>16</v>
      </c>
      <c r="L130" s="1">
        <v>46166.637431423609</v>
      </c>
    </row>
    <row r="131" spans="1:12" x14ac:dyDescent="0.25">
      <c r="A131" t="s">
        <v>422</v>
      </c>
      <c r="B131" t="str">
        <f>resultado_db_usuario_5[[#This Row],[metodo]]&amp;" "&amp;SUBSTITUTE(resultado_db_usuario_5[[#This Row],[rota]],"/api/v1","")</f>
        <v>GET /etapas/</v>
      </c>
      <c r="C131" t="s">
        <v>12</v>
      </c>
      <c r="D131" t="s">
        <v>18</v>
      </c>
      <c r="E131" t="s">
        <v>19</v>
      </c>
      <c r="F131">
        <v>200</v>
      </c>
      <c r="G131" s="2">
        <v>8.18</v>
      </c>
      <c r="H131" s="1">
        <v>46166.63743141204</v>
      </c>
      <c r="I131" s="1">
        <v>46166.637431504627</v>
      </c>
      <c r="J131" t="s">
        <v>15</v>
      </c>
      <c r="K131" t="s">
        <v>16</v>
      </c>
      <c r="L131" s="1">
        <v>46166.637431527779</v>
      </c>
    </row>
    <row r="132" spans="1:12" x14ac:dyDescent="0.25">
      <c r="A132" t="s">
        <v>433</v>
      </c>
      <c r="B132" t="str">
        <f>resultado_db_usuario_5[[#This Row],[metodo]]&amp;" "&amp;SUBSTITUTE(resultado_db_usuario_5[[#This Row],[rota]],"/api/v1","")</f>
        <v>GET /etapas/</v>
      </c>
      <c r="C132" t="s">
        <v>12</v>
      </c>
      <c r="D132" t="s">
        <v>18</v>
      </c>
      <c r="E132" t="s">
        <v>19</v>
      </c>
      <c r="F132">
        <v>200</v>
      </c>
      <c r="G132" s="2">
        <v>12.17</v>
      </c>
      <c r="H132" s="1">
        <v>46166.637431840281</v>
      </c>
      <c r="I132" s="1">
        <v>46166.637431979165</v>
      </c>
      <c r="J132" t="s">
        <v>15</v>
      </c>
      <c r="K132" t="s">
        <v>16</v>
      </c>
      <c r="L132" s="1">
        <v>46166.637432002317</v>
      </c>
    </row>
    <row r="133" spans="1:12" x14ac:dyDescent="0.25">
      <c r="A133" t="s">
        <v>464</v>
      </c>
      <c r="B133" t="str">
        <f>resultado_db_usuario_5[[#This Row],[metodo]]&amp;" "&amp;SUBSTITUTE(resultado_db_usuario_5[[#This Row],[rota]],"/api/v1","")</f>
        <v>GET /etapas/</v>
      </c>
      <c r="C133" t="s">
        <v>12</v>
      </c>
      <c r="D133" t="s">
        <v>18</v>
      </c>
      <c r="E133" t="s">
        <v>19</v>
      </c>
      <c r="F133">
        <v>200</v>
      </c>
      <c r="G133" s="2">
        <v>27.8</v>
      </c>
      <c r="H133" s="1">
        <v>46166.637433402779</v>
      </c>
      <c r="I133" s="1">
        <v>46166.637433715281</v>
      </c>
      <c r="J133" t="s">
        <v>15</v>
      </c>
      <c r="K133" t="s">
        <v>16</v>
      </c>
      <c r="L133" s="1">
        <v>46166.637433750002</v>
      </c>
    </row>
    <row r="134" spans="1:12" x14ac:dyDescent="0.25">
      <c r="A134" t="s">
        <v>465</v>
      </c>
      <c r="B134" t="str">
        <f>resultado_db_usuario_5[[#This Row],[metodo]]&amp;" "&amp;SUBSTITUTE(resultado_db_usuario_5[[#This Row],[rota]],"/api/v1","")</f>
        <v>GET /etapas/</v>
      </c>
      <c r="C134" t="s">
        <v>12</v>
      </c>
      <c r="D134" t="s">
        <v>18</v>
      </c>
      <c r="E134" t="s">
        <v>19</v>
      </c>
      <c r="F134">
        <v>200</v>
      </c>
      <c r="G134" s="2">
        <v>11.25</v>
      </c>
      <c r="H134" s="1">
        <v>46166.637433796299</v>
      </c>
      <c r="I134" s="1">
        <v>46166.637433935182</v>
      </c>
      <c r="J134" t="s">
        <v>15</v>
      </c>
      <c r="K134" t="s">
        <v>16</v>
      </c>
      <c r="L134" s="1">
        <v>46166.637433958334</v>
      </c>
    </row>
    <row r="135" spans="1:12" x14ac:dyDescent="0.25">
      <c r="A135" t="s">
        <v>469</v>
      </c>
      <c r="B135" t="str">
        <f>resultado_db_usuario_5[[#This Row],[metodo]]&amp;" "&amp;SUBSTITUTE(resultado_db_usuario_5[[#This Row],[rota]],"/api/v1","")</f>
        <v>GET /etapas/</v>
      </c>
      <c r="C135" t="s">
        <v>12</v>
      </c>
      <c r="D135" t="s">
        <v>18</v>
      </c>
      <c r="E135" t="s">
        <v>19</v>
      </c>
      <c r="F135">
        <v>200</v>
      </c>
      <c r="G135" s="2">
        <v>24.93</v>
      </c>
      <c r="H135" s="1">
        <v>46166.637433865741</v>
      </c>
      <c r="I135" s="1">
        <v>46166.637434155091</v>
      </c>
      <c r="J135" t="s">
        <v>15</v>
      </c>
      <c r="K135" t="s">
        <v>16</v>
      </c>
      <c r="L135" s="1">
        <v>46166.637434189812</v>
      </c>
    </row>
    <row r="136" spans="1:12" x14ac:dyDescent="0.25">
      <c r="A136" t="s">
        <v>471</v>
      </c>
      <c r="B136" t="str">
        <f>resultado_db_usuario_5[[#This Row],[metodo]]&amp;" "&amp;SUBSTITUTE(resultado_db_usuario_5[[#This Row],[rota]],"/api/v1","")</f>
        <v>GET /etapas/</v>
      </c>
      <c r="C136" t="s">
        <v>12</v>
      </c>
      <c r="D136" t="s">
        <v>18</v>
      </c>
      <c r="E136" t="s">
        <v>19</v>
      </c>
      <c r="F136">
        <v>200</v>
      </c>
      <c r="G136" s="2">
        <v>9.41</v>
      </c>
      <c r="H136" s="1">
        <v>46166.637434201388</v>
      </c>
      <c r="I136" s="1">
        <v>46166.637434305558</v>
      </c>
      <c r="J136" t="s">
        <v>15</v>
      </c>
      <c r="K136" t="s">
        <v>16</v>
      </c>
      <c r="L136" s="1">
        <v>46166.637434340279</v>
      </c>
    </row>
    <row r="137" spans="1:12" x14ac:dyDescent="0.25">
      <c r="A137" t="s">
        <v>487</v>
      </c>
      <c r="B137" t="str">
        <f>resultado_db_usuario_5[[#This Row],[metodo]]&amp;" "&amp;SUBSTITUTE(resultado_db_usuario_5[[#This Row],[rota]],"/api/v1","")</f>
        <v>GET /etapas/</v>
      </c>
      <c r="C137" t="s">
        <v>12</v>
      </c>
      <c r="D137" t="s">
        <v>18</v>
      </c>
      <c r="E137" t="s">
        <v>19</v>
      </c>
      <c r="F137">
        <v>200</v>
      </c>
      <c r="G137" s="2">
        <v>14.76</v>
      </c>
      <c r="H137" s="1">
        <v>46166.637435335651</v>
      </c>
      <c r="I137" s="1">
        <v>46166.637435497687</v>
      </c>
      <c r="J137" t="s">
        <v>15</v>
      </c>
      <c r="K137" t="s">
        <v>16</v>
      </c>
      <c r="L137" s="1">
        <v>46166.637435543984</v>
      </c>
    </row>
    <row r="138" spans="1:12" x14ac:dyDescent="0.25">
      <c r="A138" t="s">
        <v>511</v>
      </c>
      <c r="B138" t="str">
        <f>resultado_db_usuario_5[[#This Row],[metodo]]&amp;" "&amp;SUBSTITUTE(resultado_db_usuario_5[[#This Row],[rota]],"/api/v1","")</f>
        <v>GET /etapas/</v>
      </c>
      <c r="C138" t="s">
        <v>12</v>
      </c>
      <c r="D138" t="s">
        <v>18</v>
      </c>
      <c r="E138" t="s">
        <v>19</v>
      </c>
      <c r="F138">
        <v>200</v>
      </c>
      <c r="G138" s="2">
        <v>9.19</v>
      </c>
      <c r="H138" s="1">
        <v>46166.637436539349</v>
      </c>
      <c r="I138" s="1">
        <v>46166.637436643519</v>
      </c>
      <c r="J138" t="s">
        <v>15</v>
      </c>
      <c r="K138" t="s">
        <v>16</v>
      </c>
      <c r="L138" s="1">
        <v>46166.637436666664</v>
      </c>
    </row>
    <row r="139" spans="1:12" x14ac:dyDescent="0.25">
      <c r="A139" t="s">
        <v>513</v>
      </c>
      <c r="B139" t="str">
        <f>resultado_db_usuario_5[[#This Row],[metodo]]&amp;" "&amp;SUBSTITUTE(resultado_db_usuario_5[[#This Row],[rota]],"/api/v1","")</f>
        <v>GET /etapas/</v>
      </c>
      <c r="C139" t="s">
        <v>12</v>
      </c>
      <c r="D139" t="s">
        <v>18</v>
      </c>
      <c r="E139" t="s">
        <v>19</v>
      </c>
      <c r="F139">
        <v>200</v>
      </c>
      <c r="G139" s="2">
        <v>11.07</v>
      </c>
      <c r="H139" s="1">
        <v>46166.637436574078</v>
      </c>
      <c r="I139" s="1">
        <v>46166.637436701392</v>
      </c>
      <c r="J139" t="s">
        <v>15</v>
      </c>
      <c r="K139" t="s">
        <v>16</v>
      </c>
      <c r="L139" s="1">
        <v>46166.637436724537</v>
      </c>
    </row>
    <row r="140" spans="1:12" x14ac:dyDescent="0.25">
      <c r="A140" t="s">
        <v>518</v>
      </c>
      <c r="B140" t="str">
        <f>resultado_db_usuario_5[[#This Row],[metodo]]&amp;" "&amp;SUBSTITUTE(resultado_db_usuario_5[[#This Row],[rota]],"/api/v1","")</f>
        <v>GET /etapas/</v>
      </c>
      <c r="C140" t="s">
        <v>12</v>
      </c>
      <c r="D140" t="s">
        <v>18</v>
      </c>
      <c r="E140" t="s">
        <v>19</v>
      </c>
      <c r="F140">
        <v>200</v>
      </c>
      <c r="G140" s="2">
        <v>7.7</v>
      </c>
      <c r="H140" s="1">
        <v>46166.637436874997</v>
      </c>
      <c r="I140" s="1">
        <v>46166.63743696759</v>
      </c>
      <c r="J140" t="s">
        <v>15</v>
      </c>
      <c r="K140" t="s">
        <v>16</v>
      </c>
      <c r="L140" s="1">
        <v>46166.637436990743</v>
      </c>
    </row>
    <row r="141" spans="1:12" x14ac:dyDescent="0.25">
      <c r="A141" t="s">
        <v>533</v>
      </c>
      <c r="B141" t="str">
        <f>resultado_db_usuario_5[[#This Row],[metodo]]&amp;" "&amp;SUBSTITUTE(resultado_db_usuario_5[[#This Row],[rota]],"/api/v1","")</f>
        <v>GET /etapas/</v>
      </c>
      <c r="C141" t="s">
        <v>12</v>
      </c>
      <c r="D141" t="s">
        <v>18</v>
      </c>
      <c r="E141" t="s">
        <v>19</v>
      </c>
      <c r="F141">
        <v>200</v>
      </c>
      <c r="G141" s="2">
        <v>6.26</v>
      </c>
      <c r="H141" s="1">
        <v>46166.637437442128</v>
      </c>
      <c r="I141" s="1">
        <v>46166.637437511577</v>
      </c>
      <c r="J141" t="s">
        <v>15</v>
      </c>
      <c r="K141" t="s">
        <v>16</v>
      </c>
      <c r="L141" s="1">
        <v>46166.637437534722</v>
      </c>
    </row>
    <row r="142" spans="1:12" x14ac:dyDescent="0.25">
      <c r="A142" t="s">
        <v>551</v>
      </c>
      <c r="B142" t="str">
        <f>resultado_db_usuario_5[[#This Row],[metodo]]&amp;" "&amp;SUBSTITUTE(resultado_db_usuario_5[[#This Row],[rota]],"/api/v1","")</f>
        <v>GET /etapas/</v>
      </c>
      <c r="C142" t="s">
        <v>12</v>
      </c>
      <c r="D142" t="s">
        <v>18</v>
      </c>
      <c r="E142" t="s">
        <v>19</v>
      </c>
      <c r="F142">
        <v>200</v>
      </c>
      <c r="G142" s="2">
        <v>14.59</v>
      </c>
      <c r="H142" s="1">
        <v>46166.63743826389</v>
      </c>
      <c r="I142" s="1">
        <v>46166.637438437501</v>
      </c>
      <c r="J142" t="s">
        <v>15</v>
      </c>
      <c r="K142" t="s">
        <v>16</v>
      </c>
      <c r="L142" s="1">
        <v>46166.637438472222</v>
      </c>
    </row>
    <row r="143" spans="1:12" x14ac:dyDescent="0.25">
      <c r="A143" t="s">
        <v>556</v>
      </c>
      <c r="B143" t="str">
        <f>resultado_db_usuario_5[[#This Row],[metodo]]&amp;" "&amp;SUBSTITUTE(resultado_db_usuario_5[[#This Row],[rota]],"/api/v1","")</f>
        <v>GET /etapas/</v>
      </c>
      <c r="C143" t="s">
        <v>12</v>
      </c>
      <c r="D143" t="s">
        <v>18</v>
      </c>
      <c r="E143" t="s">
        <v>19</v>
      </c>
      <c r="F143">
        <v>200</v>
      </c>
      <c r="G143" s="2">
        <v>12.6</v>
      </c>
      <c r="H143" s="1">
        <v>46166.637438680555</v>
      </c>
      <c r="I143" s="1">
        <v>46166.637438831021</v>
      </c>
      <c r="J143" t="s">
        <v>15</v>
      </c>
      <c r="K143" t="s">
        <v>16</v>
      </c>
      <c r="L143" s="1">
        <v>46166.637438854166</v>
      </c>
    </row>
    <row r="144" spans="1:12" x14ac:dyDescent="0.25">
      <c r="A144" t="s">
        <v>562</v>
      </c>
      <c r="B144" t="str">
        <f>resultado_db_usuario_5[[#This Row],[metodo]]&amp;" "&amp;SUBSTITUTE(resultado_db_usuario_5[[#This Row],[rota]],"/api/v1","")</f>
        <v>GET /etapas/</v>
      </c>
      <c r="C144" t="s">
        <v>12</v>
      </c>
      <c r="D144" t="s">
        <v>18</v>
      </c>
      <c r="E144" t="s">
        <v>19</v>
      </c>
      <c r="F144">
        <v>200</v>
      </c>
      <c r="G144" s="2">
        <v>8.31</v>
      </c>
      <c r="H144" s="1">
        <v>46166.637439004633</v>
      </c>
      <c r="I144" s="1">
        <v>46166.63743909722</v>
      </c>
      <c r="J144" t="s">
        <v>15</v>
      </c>
      <c r="K144" t="s">
        <v>16</v>
      </c>
      <c r="L144" s="1">
        <v>46166.637439120372</v>
      </c>
    </row>
    <row r="145" spans="1:12" x14ac:dyDescent="0.25">
      <c r="A145" t="s">
        <v>573</v>
      </c>
      <c r="B145" t="str">
        <f>resultado_db_usuario_5[[#This Row],[metodo]]&amp;" "&amp;SUBSTITUTE(resultado_db_usuario_5[[#This Row],[rota]],"/api/v1","")</f>
        <v>GET /etapas/</v>
      </c>
      <c r="C145" t="s">
        <v>12</v>
      </c>
      <c r="D145" t="s">
        <v>18</v>
      </c>
      <c r="E145" t="s">
        <v>19</v>
      </c>
      <c r="F145">
        <v>200</v>
      </c>
      <c r="G145" s="2">
        <v>11.92</v>
      </c>
      <c r="H145" s="1">
        <v>46166.637439641207</v>
      </c>
      <c r="I145" s="1">
        <v>46166.63743978009</v>
      </c>
      <c r="J145" t="s">
        <v>15</v>
      </c>
      <c r="K145" t="s">
        <v>16</v>
      </c>
      <c r="L145" s="1">
        <v>46166.637439803242</v>
      </c>
    </row>
    <row r="146" spans="1:12" x14ac:dyDescent="0.25">
      <c r="A146" t="s">
        <v>594</v>
      </c>
      <c r="B146" t="str">
        <f>resultado_db_usuario_5[[#This Row],[metodo]]&amp;" "&amp;SUBSTITUTE(resultado_db_usuario_5[[#This Row],[rota]],"/api/v1","")</f>
        <v>GET /etapas/</v>
      </c>
      <c r="C146" t="s">
        <v>12</v>
      </c>
      <c r="D146" t="s">
        <v>18</v>
      </c>
      <c r="E146" t="s">
        <v>19</v>
      </c>
      <c r="F146">
        <v>200</v>
      </c>
      <c r="G146" s="2">
        <v>15.91</v>
      </c>
      <c r="H146" s="1">
        <v>46166.637440706021</v>
      </c>
      <c r="I146" s="1">
        <v>46166.637440891202</v>
      </c>
      <c r="J146" t="s">
        <v>15</v>
      </c>
      <c r="K146" t="s">
        <v>16</v>
      </c>
      <c r="L146" s="1">
        <v>46166.637440914354</v>
      </c>
    </row>
    <row r="147" spans="1:12" x14ac:dyDescent="0.25">
      <c r="A147" t="s">
        <v>597</v>
      </c>
      <c r="B147" t="str">
        <f>resultado_db_usuario_5[[#This Row],[metodo]]&amp;" "&amp;SUBSTITUTE(resultado_db_usuario_5[[#This Row],[rota]],"/api/v1","")</f>
        <v>GET /etapas/</v>
      </c>
      <c r="C147" t="s">
        <v>12</v>
      </c>
      <c r="D147" t="s">
        <v>18</v>
      </c>
      <c r="E147" t="s">
        <v>19</v>
      </c>
      <c r="F147">
        <v>200</v>
      </c>
      <c r="G147" s="2">
        <v>5.32</v>
      </c>
      <c r="H147" s="1">
        <v>46166.637440972219</v>
      </c>
      <c r="I147" s="1">
        <v>46166.637441030092</v>
      </c>
      <c r="J147" t="s">
        <v>15</v>
      </c>
      <c r="K147" t="s">
        <v>16</v>
      </c>
      <c r="L147" s="1">
        <v>46166.637441064813</v>
      </c>
    </row>
    <row r="148" spans="1:12" x14ac:dyDescent="0.25">
      <c r="A148" t="s">
        <v>610</v>
      </c>
      <c r="B148" t="str">
        <f>resultado_db_usuario_5[[#This Row],[metodo]]&amp;" "&amp;SUBSTITUTE(resultado_db_usuario_5[[#This Row],[rota]],"/api/v1","")</f>
        <v>GET /etapas/</v>
      </c>
      <c r="C148" t="s">
        <v>12</v>
      </c>
      <c r="D148" t="s">
        <v>18</v>
      </c>
      <c r="E148" t="s">
        <v>19</v>
      </c>
      <c r="F148">
        <v>200</v>
      </c>
      <c r="G148" s="2">
        <v>6.79</v>
      </c>
      <c r="H148" s="1">
        <v>46166.637441701387</v>
      </c>
      <c r="I148" s="1">
        <v>46166.637441782404</v>
      </c>
      <c r="J148" t="s">
        <v>15</v>
      </c>
      <c r="K148" t="s">
        <v>16</v>
      </c>
      <c r="L148" s="1">
        <v>46166.637441817133</v>
      </c>
    </row>
    <row r="149" spans="1:12" x14ac:dyDescent="0.25">
      <c r="A149" t="s">
        <v>623</v>
      </c>
      <c r="B149" t="str">
        <f>resultado_db_usuario_5[[#This Row],[metodo]]&amp;" "&amp;SUBSTITUTE(resultado_db_usuario_5[[#This Row],[rota]],"/api/v1","")</f>
        <v>GET /etapas/</v>
      </c>
      <c r="C149" t="s">
        <v>12</v>
      </c>
      <c r="D149" t="s">
        <v>18</v>
      </c>
      <c r="E149" t="s">
        <v>19</v>
      </c>
      <c r="F149">
        <v>200</v>
      </c>
      <c r="G149" s="2">
        <v>6.78</v>
      </c>
      <c r="H149" s="1">
        <v>46166.637442418978</v>
      </c>
      <c r="I149" s="1">
        <v>46166.637442500003</v>
      </c>
      <c r="J149" t="s">
        <v>15</v>
      </c>
      <c r="K149" t="s">
        <v>16</v>
      </c>
      <c r="L149" s="1">
        <v>46166.637442534724</v>
      </c>
    </row>
    <row r="150" spans="1:12" x14ac:dyDescent="0.25">
      <c r="A150" t="s">
        <v>635</v>
      </c>
      <c r="B150" t="str">
        <f>resultado_db_usuario_5[[#This Row],[metodo]]&amp;" "&amp;SUBSTITUTE(resultado_db_usuario_5[[#This Row],[rota]],"/api/v1","")</f>
        <v>GET /etapas/</v>
      </c>
      <c r="C150" t="s">
        <v>12</v>
      </c>
      <c r="D150" t="s">
        <v>18</v>
      </c>
      <c r="E150" t="s">
        <v>19</v>
      </c>
      <c r="F150">
        <v>200</v>
      </c>
      <c r="G150" s="2">
        <v>7.99</v>
      </c>
      <c r="H150" s="1">
        <v>46166.637443356478</v>
      </c>
      <c r="I150" s="1">
        <v>46166.637443437503</v>
      </c>
      <c r="J150" t="s">
        <v>15</v>
      </c>
      <c r="K150" t="s">
        <v>16</v>
      </c>
      <c r="L150" s="1">
        <v>46166.637443472224</v>
      </c>
    </row>
    <row r="151" spans="1:12" x14ac:dyDescent="0.25">
      <c r="A151" t="s">
        <v>644</v>
      </c>
      <c r="B151" t="str">
        <f>resultado_db_usuario_5[[#This Row],[metodo]]&amp;" "&amp;SUBSTITUTE(resultado_db_usuario_5[[#This Row],[rota]],"/api/v1","")</f>
        <v>GET /etapas/</v>
      </c>
      <c r="C151" t="s">
        <v>12</v>
      </c>
      <c r="D151" t="s">
        <v>18</v>
      </c>
      <c r="E151" t="s">
        <v>19</v>
      </c>
      <c r="F151">
        <v>200</v>
      </c>
      <c r="G151" s="2">
        <v>5.81</v>
      </c>
      <c r="H151" s="1">
        <v>46166.637443912034</v>
      </c>
      <c r="I151" s="1">
        <v>46166.637443981483</v>
      </c>
      <c r="J151" t="s">
        <v>15</v>
      </c>
      <c r="K151" t="s">
        <v>16</v>
      </c>
      <c r="L151" s="1">
        <v>46166.637444004627</v>
      </c>
    </row>
    <row r="152" spans="1:12" x14ac:dyDescent="0.25">
      <c r="A152" t="s">
        <v>138</v>
      </c>
      <c r="B152" t="str">
        <f>resultado_db_usuario_5[[#This Row],[metodo]]&amp;" "&amp;SUBSTITUTE(resultado_db_usuario_5[[#This Row],[rota]],"/api/v1","")</f>
        <v>GET /funcionarios/</v>
      </c>
      <c r="C152" t="s">
        <v>12</v>
      </c>
      <c r="D152" t="s">
        <v>21</v>
      </c>
      <c r="E152" t="s">
        <v>22</v>
      </c>
      <c r="F152">
        <v>200</v>
      </c>
      <c r="G152" s="2">
        <v>4.16</v>
      </c>
      <c r="H152" s="1">
        <v>46166.637413865741</v>
      </c>
      <c r="I152" s="1">
        <v>46166.637413912038</v>
      </c>
      <c r="J152" t="s">
        <v>15</v>
      </c>
      <c r="K152" t="s">
        <v>16</v>
      </c>
      <c r="L152" s="1">
        <v>46166.637413946759</v>
      </c>
    </row>
    <row r="153" spans="1:12" x14ac:dyDescent="0.25">
      <c r="A153" t="s">
        <v>150</v>
      </c>
      <c r="B153" t="str">
        <f>resultado_db_usuario_5[[#This Row],[metodo]]&amp;" "&amp;SUBSTITUTE(resultado_db_usuario_5[[#This Row],[rota]],"/api/v1","")</f>
        <v>GET /funcionarios/</v>
      </c>
      <c r="C153" t="s">
        <v>12</v>
      </c>
      <c r="D153" t="s">
        <v>21</v>
      </c>
      <c r="E153" t="s">
        <v>22</v>
      </c>
      <c r="F153">
        <v>200</v>
      </c>
      <c r="G153" s="2">
        <v>4.53</v>
      </c>
      <c r="H153" s="1">
        <v>46166.637415081015</v>
      </c>
      <c r="I153" s="1">
        <v>46166.637415127312</v>
      </c>
      <c r="J153" t="s">
        <v>15</v>
      </c>
      <c r="K153" t="s">
        <v>16</v>
      </c>
      <c r="L153" s="1">
        <v>46166.63741516204</v>
      </c>
    </row>
    <row r="154" spans="1:12" x14ac:dyDescent="0.25">
      <c r="A154" t="s">
        <v>161</v>
      </c>
      <c r="B154" t="str">
        <f>resultado_db_usuario_5[[#This Row],[metodo]]&amp;" "&amp;SUBSTITUTE(resultado_db_usuario_5[[#This Row],[rota]],"/api/v1","")</f>
        <v>GET /funcionarios/</v>
      </c>
      <c r="C154" t="s">
        <v>12</v>
      </c>
      <c r="D154" t="s">
        <v>21</v>
      </c>
      <c r="E154" t="s">
        <v>22</v>
      </c>
      <c r="F154">
        <v>200</v>
      </c>
      <c r="G154" s="2">
        <v>5.35</v>
      </c>
      <c r="H154" s="1">
        <v>46166.637416319441</v>
      </c>
      <c r="I154" s="1">
        <v>46166.63741638889</v>
      </c>
      <c r="J154" t="s">
        <v>15</v>
      </c>
      <c r="K154" t="s">
        <v>16</v>
      </c>
      <c r="L154" s="1">
        <v>46166.637416423611</v>
      </c>
    </row>
    <row r="155" spans="1:12" x14ac:dyDescent="0.25">
      <c r="A155" t="s">
        <v>164</v>
      </c>
      <c r="B155" t="str">
        <f>resultado_db_usuario_5[[#This Row],[metodo]]&amp;" "&amp;SUBSTITUTE(resultado_db_usuario_5[[#This Row],[rota]],"/api/v1","")</f>
        <v>GET /funcionarios/</v>
      </c>
      <c r="C155" t="s">
        <v>12</v>
      </c>
      <c r="D155" t="s">
        <v>21</v>
      </c>
      <c r="E155" t="s">
        <v>22</v>
      </c>
      <c r="F155">
        <v>200</v>
      </c>
      <c r="G155" s="2">
        <v>8.25</v>
      </c>
      <c r="H155" s="1">
        <v>46166.637416469908</v>
      </c>
      <c r="I155" s="1">
        <v>46166.637416562502</v>
      </c>
      <c r="J155" t="s">
        <v>15</v>
      </c>
      <c r="K155" t="s">
        <v>16</v>
      </c>
      <c r="L155" s="1">
        <v>46166.637416597223</v>
      </c>
    </row>
    <row r="156" spans="1:12" x14ac:dyDescent="0.25">
      <c r="A156" t="s">
        <v>182</v>
      </c>
      <c r="B156" t="str">
        <f>resultado_db_usuario_5[[#This Row],[metodo]]&amp;" "&amp;SUBSTITUTE(resultado_db_usuario_5[[#This Row],[rota]],"/api/v1","")</f>
        <v>GET /funcionarios/</v>
      </c>
      <c r="C156" t="s">
        <v>12</v>
      </c>
      <c r="D156" t="s">
        <v>21</v>
      </c>
      <c r="E156" t="s">
        <v>22</v>
      </c>
      <c r="F156">
        <v>200</v>
      </c>
      <c r="G156" s="2">
        <v>9.9</v>
      </c>
      <c r="H156" s="1">
        <v>46166.637417928243</v>
      </c>
      <c r="I156" s="1">
        <v>46166.637418032406</v>
      </c>
      <c r="J156" t="s">
        <v>15</v>
      </c>
      <c r="K156" t="s">
        <v>16</v>
      </c>
      <c r="L156" s="1">
        <v>46166.637418067126</v>
      </c>
    </row>
    <row r="157" spans="1:12" x14ac:dyDescent="0.25">
      <c r="A157" t="s">
        <v>186</v>
      </c>
      <c r="B157" t="str">
        <f>resultado_db_usuario_5[[#This Row],[metodo]]&amp;" "&amp;SUBSTITUTE(resultado_db_usuario_5[[#This Row],[rota]],"/api/v1","")</f>
        <v>GET /funcionarios/</v>
      </c>
      <c r="C157" t="s">
        <v>12</v>
      </c>
      <c r="D157" t="s">
        <v>21</v>
      </c>
      <c r="E157" t="s">
        <v>22</v>
      </c>
      <c r="F157">
        <v>200</v>
      </c>
      <c r="G157" s="2">
        <v>11.94</v>
      </c>
      <c r="H157" s="1">
        <v>46166.637418391205</v>
      </c>
      <c r="I157" s="1">
        <v>46166.637418530096</v>
      </c>
      <c r="J157" t="s">
        <v>15</v>
      </c>
      <c r="K157" t="s">
        <v>16</v>
      </c>
      <c r="L157" s="1">
        <v>46166.637418564816</v>
      </c>
    </row>
    <row r="158" spans="1:12" x14ac:dyDescent="0.25">
      <c r="A158" t="s">
        <v>192</v>
      </c>
      <c r="B158" t="str">
        <f>resultado_db_usuario_5[[#This Row],[metodo]]&amp;" "&amp;SUBSTITUTE(resultado_db_usuario_5[[#This Row],[rota]],"/api/v1","")</f>
        <v>GET /funcionarios/</v>
      </c>
      <c r="C158" t="s">
        <v>12</v>
      </c>
      <c r="D158" t="s">
        <v>21</v>
      </c>
      <c r="E158" t="s">
        <v>22</v>
      </c>
      <c r="F158">
        <v>200</v>
      </c>
      <c r="G158" s="2">
        <v>4.47</v>
      </c>
      <c r="H158" s="1">
        <v>46166.637418888888</v>
      </c>
      <c r="I158" s="1">
        <v>46166.637418946761</v>
      </c>
      <c r="J158" t="s">
        <v>15</v>
      </c>
      <c r="K158" t="s">
        <v>16</v>
      </c>
      <c r="L158" s="1">
        <v>46166.637418969905</v>
      </c>
    </row>
    <row r="159" spans="1:12" x14ac:dyDescent="0.25">
      <c r="A159" t="s">
        <v>216</v>
      </c>
      <c r="B159" t="str">
        <f>resultado_db_usuario_5[[#This Row],[metodo]]&amp;" "&amp;SUBSTITUTE(resultado_db_usuario_5[[#This Row],[rota]],"/api/v1","")</f>
        <v>GET /funcionarios/</v>
      </c>
      <c r="C159" t="s">
        <v>12</v>
      </c>
      <c r="D159" t="s">
        <v>21</v>
      </c>
      <c r="E159" t="s">
        <v>22</v>
      </c>
      <c r="F159">
        <v>200</v>
      </c>
      <c r="G159" s="2">
        <v>11.86</v>
      </c>
      <c r="H159" s="1">
        <v>46166.637420208332</v>
      </c>
      <c r="I159" s="1">
        <v>46166.637420347222</v>
      </c>
      <c r="J159" t="s">
        <v>15</v>
      </c>
      <c r="K159" t="s">
        <v>16</v>
      </c>
      <c r="L159" s="1">
        <v>46166.637420381943</v>
      </c>
    </row>
    <row r="160" spans="1:12" x14ac:dyDescent="0.25">
      <c r="A160" t="s">
        <v>218</v>
      </c>
      <c r="B160" t="str">
        <f>resultado_db_usuario_5[[#This Row],[metodo]]&amp;" "&amp;SUBSTITUTE(resultado_db_usuario_5[[#This Row],[rota]],"/api/v1","")</f>
        <v>GET /funcionarios/</v>
      </c>
      <c r="C160" t="s">
        <v>12</v>
      </c>
      <c r="D160" t="s">
        <v>21</v>
      </c>
      <c r="E160" t="s">
        <v>22</v>
      </c>
      <c r="F160">
        <v>200</v>
      </c>
      <c r="G160" s="2">
        <v>21.38</v>
      </c>
      <c r="H160" s="1">
        <v>46166.637420231484</v>
      </c>
      <c r="I160" s="1">
        <v>46166.637420474537</v>
      </c>
      <c r="J160" t="s">
        <v>15</v>
      </c>
      <c r="K160" t="s">
        <v>16</v>
      </c>
      <c r="L160" s="1">
        <v>46166.637420509258</v>
      </c>
    </row>
    <row r="161" spans="1:12" x14ac:dyDescent="0.25">
      <c r="A161" t="s">
        <v>226</v>
      </c>
      <c r="B161" t="str">
        <f>resultado_db_usuario_5[[#This Row],[metodo]]&amp;" "&amp;SUBSTITUTE(resultado_db_usuario_5[[#This Row],[rota]],"/api/v1","")</f>
        <v>GET /funcionarios/</v>
      </c>
      <c r="C161" t="s">
        <v>12</v>
      </c>
      <c r="D161" t="s">
        <v>21</v>
      </c>
      <c r="E161" t="s">
        <v>22</v>
      </c>
      <c r="F161">
        <v>200</v>
      </c>
      <c r="G161" s="2">
        <v>14.06</v>
      </c>
      <c r="H161" s="1">
        <v>46166.637420694446</v>
      </c>
      <c r="I161" s="1">
        <v>46166.637420868057</v>
      </c>
      <c r="J161" t="s">
        <v>15</v>
      </c>
      <c r="K161" t="s">
        <v>16</v>
      </c>
      <c r="L161" s="1">
        <v>46166.637420891202</v>
      </c>
    </row>
    <row r="162" spans="1:12" x14ac:dyDescent="0.25">
      <c r="A162" t="s">
        <v>233</v>
      </c>
      <c r="B162" t="str">
        <f>resultado_db_usuario_5[[#This Row],[metodo]]&amp;" "&amp;SUBSTITUTE(resultado_db_usuario_5[[#This Row],[rota]],"/api/v1","")</f>
        <v>GET /funcionarios/</v>
      </c>
      <c r="C162" t="s">
        <v>12</v>
      </c>
      <c r="D162" t="s">
        <v>21</v>
      </c>
      <c r="E162" t="s">
        <v>22</v>
      </c>
      <c r="F162">
        <v>200</v>
      </c>
      <c r="G162" s="2">
        <v>5.38</v>
      </c>
      <c r="H162" s="1">
        <v>46166.637421122687</v>
      </c>
      <c r="I162" s="1">
        <v>46166.637421180552</v>
      </c>
      <c r="J162" t="s">
        <v>15</v>
      </c>
      <c r="K162" t="s">
        <v>16</v>
      </c>
      <c r="L162" s="1">
        <v>46166.63742121528</v>
      </c>
    </row>
    <row r="163" spans="1:12" x14ac:dyDescent="0.25">
      <c r="A163" t="s">
        <v>257</v>
      </c>
      <c r="B163" t="str">
        <f>resultado_db_usuario_5[[#This Row],[metodo]]&amp;" "&amp;SUBSTITUTE(resultado_db_usuario_5[[#This Row],[rota]],"/api/v1","")</f>
        <v>GET /funcionarios/</v>
      </c>
      <c r="C163" t="s">
        <v>12</v>
      </c>
      <c r="D163" t="s">
        <v>21</v>
      </c>
      <c r="E163" t="s">
        <v>22</v>
      </c>
      <c r="F163">
        <v>200</v>
      </c>
      <c r="G163" s="2">
        <v>8.15</v>
      </c>
      <c r="H163" s="1">
        <v>46166.637422500004</v>
      </c>
      <c r="I163" s="1">
        <v>46166.63742259259</v>
      </c>
      <c r="J163" t="s">
        <v>15</v>
      </c>
      <c r="K163" t="s">
        <v>16</v>
      </c>
      <c r="L163" s="1">
        <v>46166.637422627318</v>
      </c>
    </row>
    <row r="164" spans="1:12" x14ac:dyDescent="0.25">
      <c r="A164" t="s">
        <v>264</v>
      </c>
      <c r="B164" t="str">
        <f>resultado_db_usuario_5[[#This Row],[metodo]]&amp;" "&amp;SUBSTITUTE(resultado_db_usuario_5[[#This Row],[rota]],"/api/v1","")</f>
        <v>GET /funcionarios/</v>
      </c>
      <c r="C164" t="s">
        <v>12</v>
      </c>
      <c r="D164" t="s">
        <v>21</v>
      </c>
      <c r="E164" t="s">
        <v>22</v>
      </c>
      <c r="F164">
        <v>200</v>
      </c>
      <c r="G164" s="2">
        <v>15.38</v>
      </c>
      <c r="H164" s="1">
        <v>46166.637423032407</v>
      </c>
      <c r="I164" s="1">
        <v>46166.637423206019</v>
      </c>
      <c r="J164" t="s">
        <v>15</v>
      </c>
      <c r="K164" t="s">
        <v>16</v>
      </c>
      <c r="L164" s="1">
        <v>46166.637423229164</v>
      </c>
    </row>
    <row r="165" spans="1:12" x14ac:dyDescent="0.25">
      <c r="A165" t="s">
        <v>270</v>
      </c>
      <c r="B165" t="str">
        <f>resultado_db_usuario_5[[#This Row],[metodo]]&amp;" "&amp;SUBSTITUTE(resultado_db_usuario_5[[#This Row],[rota]],"/api/v1","")</f>
        <v>GET /funcionarios/</v>
      </c>
      <c r="C165" t="s">
        <v>12</v>
      </c>
      <c r="D165" t="s">
        <v>21</v>
      </c>
      <c r="E165" t="s">
        <v>22</v>
      </c>
      <c r="F165">
        <v>200</v>
      </c>
      <c r="G165" s="2">
        <v>19.41</v>
      </c>
      <c r="H165" s="1">
        <v>46166.637423368054</v>
      </c>
      <c r="I165" s="1">
        <v>46166.637423599539</v>
      </c>
      <c r="J165" t="s">
        <v>15</v>
      </c>
      <c r="K165" t="s">
        <v>16</v>
      </c>
      <c r="L165" s="1">
        <v>46166.637423622684</v>
      </c>
    </row>
    <row r="166" spans="1:12" x14ac:dyDescent="0.25">
      <c r="A166" t="s">
        <v>272</v>
      </c>
      <c r="B166" t="str">
        <f>resultado_db_usuario_5[[#This Row],[metodo]]&amp;" "&amp;SUBSTITUTE(resultado_db_usuario_5[[#This Row],[rota]],"/api/v1","")</f>
        <v>GET /funcionarios/</v>
      </c>
      <c r="C166" t="s">
        <v>12</v>
      </c>
      <c r="D166" t="s">
        <v>21</v>
      </c>
      <c r="E166" t="s">
        <v>22</v>
      </c>
      <c r="F166">
        <v>200</v>
      </c>
      <c r="G166" s="2">
        <v>5.37</v>
      </c>
      <c r="H166" s="1">
        <v>46166.637423692133</v>
      </c>
      <c r="I166" s="1">
        <v>46166.637423749999</v>
      </c>
      <c r="J166" t="s">
        <v>15</v>
      </c>
      <c r="K166" t="s">
        <v>16</v>
      </c>
      <c r="L166" s="1">
        <v>46166.637423773151</v>
      </c>
    </row>
    <row r="167" spans="1:12" x14ac:dyDescent="0.25">
      <c r="A167" t="s">
        <v>278</v>
      </c>
      <c r="B167" t="str">
        <f>resultado_db_usuario_5[[#This Row],[metodo]]&amp;" "&amp;SUBSTITUTE(resultado_db_usuario_5[[#This Row],[rota]],"/api/v1","")</f>
        <v>GET /funcionarios/</v>
      </c>
      <c r="C167" t="s">
        <v>12</v>
      </c>
      <c r="D167" t="s">
        <v>21</v>
      </c>
      <c r="E167" t="s">
        <v>22</v>
      </c>
      <c r="F167">
        <v>200</v>
      </c>
      <c r="G167" s="2">
        <v>6.33</v>
      </c>
      <c r="H167" s="1">
        <v>46166.637423854168</v>
      </c>
      <c r="I167" s="1">
        <v>46166.63742392361</v>
      </c>
      <c r="J167" t="s">
        <v>15</v>
      </c>
      <c r="K167" t="s">
        <v>16</v>
      </c>
      <c r="L167" s="1">
        <v>46166.637423946762</v>
      </c>
    </row>
    <row r="168" spans="1:12" x14ac:dyDescent="0.25">
      <c r="A168" t="s">
        <v>308</v>
      </c>
      <c r="B168" t="str">
        <f>resultado_db_usuario_5[[#This Row],[metodo]]&amp;" "&amp;SUBSTITUTE(resultado_db_usuario_5[[#This Row],[rota]],"/api/v1","")</f>
        <v>GET /funcionarios/</v>
      </c>
      <c r="C168" t="s">
        <v>12</v>
      </c>
      <c r="D168" t="s">
        <v>21</v>
      </c>
      <c r="E168" t="s">
        <v>22</v>
      </c>
      <c r="F168">
        <v>200</v>
      </c>
      <c r="G168" s="2">
        <v>7.77</v>
      </c>
      <c r="H168" s="1">
        <v>46166.63742515046</v>
      </c>
      <c r="I168" s="1">
        <v>46166.637425243054</v>
      </c>
      <c r="J168" t="s">
        <v>15</v>
      </c>
      <c r="K168" t="s">
        <v>16</v>
      </c>
      <c r="L168" s="1">
        <v>46166.637425266206</v>
      </c>
    </row>
    <row r="169" spans="1:12" x14ac:dyDescent="0.25">
      <c r="A169" t="s">
        <v>316</v>
      </c>
      <c r="B169" t="str">
        <f>resultado_db_usuario_5[[#This Row],[metodo]]&amp;" "&amp;SUBSTITUTE(resultado_db_usuario_5[[#This Row],[rota]],"/api/v1","")</f>
        <v>GET /funcionarios/</v>
      </c>
      <c r="C169" t="s">
        <v>12</v>
      </c>
      <c r="D169" t="s">
        <v>21</v>
      </c>
      <c r="E169" t="s">
        <v>22</v>
      </c>
      <c r="F169">
        <v>200</v>
      </c>
      <c r="G169" s="2">
        <v>8.66</v>
      </c>
      <c r="H169" s="1">
        <v>46166.63742564815</v>
      </c>
      <c r="I169" s="1">
        <v>46166.637425740744</v>
      </c>
      <c r="J169" t="s">
        <v>15</v>
      </c>
      <c r="K169" t="s">
        <v>16</v>
      </c>
      <c r="L169" s="1">
        <v>46166.637425763889</v>
      </c>
    </row>
    <row r="170" spans="1:12" x14ac:dyDescent="0.25">
      <c r="A170" t="s">
        <v>320</v>
      </c>
      <c r="B170" t="str">
        <f>resultado_db_usuario_5[[#This Row],[metodo]]&amp;" "&amp;SUBSTITUTE(resultado_db_usuario_5[[#This Row],[rota]],"/api/v1","")</f>
        <v>GET /funcionarios/</v>
      </c>
      <c r="C170" t="s">
        <v>12</v>
      </c>
      <c r="D170" t="s">
        <v>21</v>
      </c>
      <c r="E170" t="s">
        <v>22</v>
      </c>
      <c r="F170">
        <v>200</v>
      </c>
      <c r="G170" s="2">
        <v>10.26</v>
      </c>
      <c r="H170" s="1">
        <v>46166.637425763889</v>
      </c>
      <c r="I170" s="1">
        <v>46166.637425879628</v>
      </c>
      <c r="J170" t="s">
        <v>15</v>
      </c>
      <c r="K170" t="s">
        <v>16</v>
      </c>
      <c r="L170" s="1">
        <v>46166.63742590278</v>
      </c>
    </row>
    <row r="171" spans="1:12" x14ac:dyDescent="0.25">
      <c r="A171" t="s">
        <v>323</v>
      </c>
      <c r="B171" t="str">
        <f>resultado_db_usuario_5[[#This Row],[metodo]]&amp;" "&amp;SUBSTITUTE(resultado_db_usuario_5[[#This Row],[rota]],"/api/v1","")</f>
        <v>GET /funcionarios/</v>
      </c>
      <c r="C171" t="s">
        <v>12</v>
      </c>
      <c r="D171" t="s">
        <v>21</v>
      </c>
      <c r="E171" t="s">
        <v>22</v>
      </c>
      <c r="F171">
        <v>200</v>
      </c>
      <c r="G171" s="2">
        <v>11.04</v>
      </c>
      <c r="H171" s="1">
        <v>46166.637425914349</v>
      </c>
      <c r="I171" s="1">
        <v>46166.637426041663</v>
      </c>
      <c r="J171" t="s">
        <v>15</v>
      </c>
      <c r="K171" t="s">
        <v>16</v>
      </c>
      <c r="L171" s="1">
        <v>46166.637426064815</v>
      </c>
    </row>
    <row r="172" spans="1:12" x14ac:dyDescent="0.25">
      <c r="A172" t="s">
        <v>333</v>
      </c>
      <c r="B172" t="str">
        <f>resultado_db_usuario_5[[#This Row],[metodo]]&amp;" "&amp;SUBSTITUTE(resultado_db_usuario_5[[#This Row],[rota]],"/api/v1","")</f>
        <v>GET /funcionarios/</v>
      </c>
      <c r="C172" t="s">
        <v>12</v>
      </c>
      <c r="D172" t="s">
        <v>21</v>
      </c>
      <c r="E172" t="s">
        <v>22</v>
      </c>
      <c r="F172">
        <v>200</v>
      </c>
      <c r="G172" s="2">
        <v>7.2</v>
      </c>
      <c r="H172" s="1">
        <v>46166.637426284724</v>
      </c>
      <c r="I172" s="1">
        <v>46166.637426365742</v>
      </c>
      <c r="J172" t="s">
        <v>15</v>
      </c>
      <c r="K172" t="s">
        <v>16</v>
      </c>
      <c r="L172" s="1">
        <v>46166.637426400463</v>
      </c>
    </row>
    <row r="173" spans="1:12" x14ac:dyDescent="0.25">
      <c r="A173" t="s">
        <v>361</v>
      </c>
      <c r="B173" t="str">
        <f>resultado_db_usuario_5[[#This Row],[metodo]]&amp;" "&amp;SUBSTITUTE(resultado_db_usuario_5[[#This Row],[rota]],"/api/v1","")</f>
        <v>GET /funcionarios/</v>
      </c>
      <c r="C173" t="s">
        <v>12</v>
      </c>
      <c r="D173" t="s">
        <v>21</v>
      </c>
      <c r="E173" t="s">
        <v>22</v>
      </c>
      <c r="F173">
        <v>200</v>
      </c>
      <c r="G173" s="2">
        <v>19.16</v>
      </c>
      <c r="H173" s="1">
        <v>46166.637427835645</v>
      </c>
      <c r="I173" s="1">
        <v>46166.637428055554</v>
      </c>
      <c r="J173" t="s">
        <v>15</v>
      </c>
      <c r="K173" t="s">
        <v>16</v>
      </c>
      <c r="L173" s="1">
        <v>46166.637428090275</v>
      </c>
    </row>
    <row r="174" spans="1:12" x14ac:dyDescent="0.25">
      <c r="A174" t="s">
        <v>367</v>
      </c>
      <c r="B174" t="str">
        <f>resultado_db_usuario_5[[#This Row],[metodo]]&amp;" "&amp;SUBSTITUTE(resultado_db_usuario_5[[#This Row],[rota]],"/api/v1","")</f>
        <v>GET /funcionarios/</v>
      </c>
      <c r="C174" t="s">
        <v>12</v>
      </c>
      <c r="D174" t="s">
        <v>21</v>
      </c>
      <c r="E174" t="s">
        <v>22</v>
      </c>
      <c r="F174">
        <v>200</v>
      </c>
      <c r="G174" s="2">
        <v>9.33</v>
      </c>
      <c r="H174" s="1">
        <v>46166.637428321759</v>
      </c>
      <c r="I174" s="1">
        <v>46166.637428425929</v>
      </c>
      <c r="J174" t="s">
        <v>15</v>
      </c>
      <c r="K174" t="s">
        <v>16</v>
      </c>
      <c r="L174" s="1">
        <v>46166.63742846065</v>
      </c>
    </row>
    <row r="175" spans="1:12" x14ac:dyDescent="0.25">
      <c r="A175" t="s">
        <v>371</v>
      </c>
      <c r="B175" t="str">
        <f>resultado_db_usuario_5[[#This Row],[metodo]]&amp;" "&amp;SUBSTITUTE(resultado_db_usuario_5[[#This Row],[rota]],"/api/v1","")</f>
        <v>GET /funcionarios/</v>
      </c>
      <c r="C175" t="s">
        <v>12</v>
      </c>
      <c r="D175" t="s">
        <v>21</v>
      </c>
      <c r="E175" t="s">
        <v>22</v>
      </c>
      <c r="F175">
        <v>200</v>
      </c>
      <c r="G175" s="2">
        <v>9.4700000000000006</v>
      </c>
      <c r="H175" s="1">
        <v>46166.637428530092</v>
      </c>
      <c r="I175" s="1">
        <v>46166.63742864583</v>
      </c>
      <c r="J175" t="s">
        <v>15</v>
      </c>
      <c r="K175" t="s">
        <v>16</v>
      </c>
      <c r="L175" s="1">
        <v>46166.637428680559</v>
      </c>
    </row>
    <row r="176" spans="1:12" x14ac:dyDescent="0.25">
      <c r="A176" t="s">
        <v>374</v>
      </c>
      <c r="B176" t="str">
        <f>resultado_db_usuario_5[[#This Row],[metodo]]&amp;" "&amp;SUBSTITUTE(resultado_db_usuario_5[[#This Row],[rota]],"/api/v1","")</f>
        <v>GET /funcionarios/</v>
      </c>
      <c r="C176" t="s">
        <v>12</v>
      </c>
      <c r="D176" t="s">
        <v>21</v>
      </c>
      <c r="E176" t="s">
        <v>22</v>
      </c>
      <c r="F176">
        <v>200</v>
      </c>
      <c r="G176" s="2">
        <v>18.850000000000001</v>
      </c>
      <c r="H176" s="1">
        <v>46166.637428564813</v>
      </c>
      <c r="I176" s="1">
        <v>46166.637428784721</v>
      </c>
      <c r="J176" t="s">
        <v>15</v>
      </c>
      <c r="K176" t="s">
        <v>16</v>
      </c>
      <c r="L176" s="1">
        <v>46166.637428807873</v>
      </c>
    </row>
    <row r="177" spans="1:12" x14ac:dyDescent="0.25">
      <c r="A177" t="s">
        <v>384</v>
      </c>
      <c r="B177" t="str">
        <f>resultado_db_usuario_5[[#This Row],[metodo]]&amp;" "&amp;SUBSTITUTE(resultado_db_usuario_5[[#This Row],[rota]],"/api/v1","")</f>
        <v>GET /funcionarios/</v>
      </c>
      <c r="C177" t="s">
        <v>12</v>
      </c>
      <c r="D177" t="s">
        <v>21</v>
      </c>
      <c r="E177" t="s">
        <v>22</v>
      </c>
      <c r="F177">
        <v>200</v>
      </c>
      <c r="G177" s="2">
        <v>4.17</v>
      </c>
      <c r="H177" s="1">
        <v>46166.63742929398</v>
      </c>
      <c r="I177" s="1">
        <v>46166.637429340277</v>
      </c>
      <c r="J177" t="s">
        <v>15</v>
      </c>
      <c r="K177" t="s">
        <v>16</v>
      </c>
      <c r="L177" s="1">
        <v>46166.637429363429</v>
      </c>
    </row>
    <row r="178" spans="1:12" x14ac:dyDescent="0.25">
      <c r="A178" t="s">
        <v>416</v>
      </c>
      <c r="B178" t="str">
        <f>resultado_db_usuario_5[[#This Row],[metodo]]&amp;" "&amp;SUBSTITUTE(resultado_db_usuario_5[[#This Row],[rota]],"/api/v1","")</f>
        <v>GET /funcionarios/</v>
      </c>
      <c r="C178" t="s">
        <v>12</v>
      </c>
      <c r="D178" t="s">
        <v>21</v>
      </c>
      <c r="E178" t="s">
        <v>22</v>
      </c>
      <c r="F178">
        <v>200</v>
      </c>
      <c r="G178" s="2">
        <v>9.57</v>
      </c>
      <c r="H178" s="1">
        <v>46166.637431215277</v>
      </c>
      <c r="I178" s="1">
        <v>46166.637431331015</v>
      </c>
      <c r="J178" t="s">
        <v>15</v>
      </c>
      <c r="K178" t="s">
        <v>16</v>
      </c>
      <c r="L178" s="1">
        <v>46166.637431354167</v>
      </c>
    </row>
    <row r="179" spans="1:12" x14ac:dyDescent="0.25">
      <c r="A179" t="s">
        <v>421</v>
      </c>
      <c r="B179" t="str">
        <f>resultado_db_usuario_5[[#This Row],[metodo]]&amp;" "&amp;SUBSTITUTE(resultado_db_usuario_5[[#This Row],[rota]],"/api/v1","")</f>
        <v>GET /funcionarios/</v>
      </c>
      <c r="C179" t="s">
        <v>12</v>
      </c>
      <c r="D179" t="s">
        <v>21</v>
      </c>
      <c r="E179" t="s">
        <v>22</v>
      </c>
      <c r="F179">
        <v>200</v>
      </c>
      <c r="G179" s="2">
        <v>4.6100000000000003</v>
      </c>
      <c r="H179" s="1">
        <v>46166.637431435185</v>
      </c>
      <c r="I179" s="1">
        <v>46166.637431481482</v>
      </c>
      <c r="J179" t="s">
        <v>15</v>
      </c>
      <c r="K179" t="s">
        <v>16</v>
      </c>
      <c r="L179" s="1">
        <v>46166.637431504627</v>
      </c>
    </row>
    <row r="180" spans="1:12" x14ac:dyDescent="0.25">
      <c r="A180" t="s">
        <v>423</v>
      </c>
      <c r="B180" t="str">
        <f>resultado_db_usuario_5[[#This Row],[metodo]]&amp;" "&amp;SUBSTITUTE(resultado_db_usuario_5[[#This Row],[rota]],"/api/v1","")</f>
        <v>GET /funcionarios/</v>
      </c>
      <c r="C180" t="s">
        <v>12</v>
      </c>
      <c r="D180" t="s">
        <v>21</v>
      </c>
      <c r="E180" t="s">
        <v>22</v>
      </c>
      <c r="F180">
        <v>200</v>
      </c>
      <c r="G180" s="2">
        <v>8.51</v>
      </c>
      <c r="H180" s="1">
        <v>46166.637431435185</v>
      </c>
      <c r="I180" s="1">
        <v>46166.637431539355</v>
      </c>
      <c r="J180" t="s">
        <v>15</v>
      </c>
      <c r="K180" t="s">
        <v>16</v>
      </c>
      <c r="L180" s="1">
        <v>46166.6374315625</v>
      </c>
    </row>
    <row r="181" spans="1:12" x14ac:dyDescent="0.25">
      <c r="A181" t="s">
        <v>426</v>
      </c>
      <c r="B181" t="str">
        <f>resultado_db_usuario_5[[#This Row],[metodo]]&amp;" "&amp;SUBSTITUTE(resultado_db_usuario_5[[#This Row],[rota]],"/api/v1","")</f>
        <v>GET /funcionarios/</v>
      </c>
      <c r="C181" t="s">
        <v>12</v>
      </c>
      <c r="D181" t="s">
        <v>21</v>
      </c>
      <c r="E181" t="s">
        <v>22</v>
      </c>
      <c r="F181">
        <v>200</v>
      </c>
      <c r="G181" s="2">
        <v>11.7</v>
      </c>
      <c r="H181" s="1">
        <v>46166.6374315625</v>
      </c>
      <c r="I181" s="1">
        <v>46166.637431701391</v>
      </c>
      <c r="J181" t="s">
        <v>15</v>
      </c>
      <c r="K181" t="s">
        <v>16</v>
      </c>
      <c r="L181" s="1">
        <v>46166.637431724535</v>
      </c>
    </row>
    <row r="182" spans="1:12" x14ac:dyDescent="0.25">
      <c r="A182" t="s">
        <v>438</v>
      </c>
      <c r="B182" t="str">
        <f>resultado_db_usuario_5[[#This Row],[metodo]]&amp;" "&amp;SUBSTITUTE(resultado_db_usuario_5[[#This Row],[rota]],"/api/v1","")</f>
        <v>GET /funcionarios/</v>
      </c>
      <c r="C182" t="s">
        <v>12</v>
      </c>
      <c r="D182" t="s">
        <v>21</v>
      </c>
      <c r="E182" t="s">
        <v>22</v>
      </c>
      <c r="F182">
        <v>200</v>
      </c>
      <c r="G182" s="2">
        <v>9.7799999999999994</v>
      </c>
      <c r="H182" s="1">
        <v>46166.637432013886</v>
      </c>
      <c r="I182" s="1">
        <v>46166.637432129632</v>
      </c>
      <c r="J182" t="s">
        <v>15</v>
      </c>
      <c r="K182" t="s">
        <v>16</v>
      </c>
      <c r="L182" s="1">
        <v>46166.637432152776</v>
      </c>
    </row>
    <row r="183" spans="1:12" x14ac:dyDescent="0.25">
      <c r="A183" t="s">
        <v>468</v>
      </c>
      <c r="B183" t="str">
        <f>resultado_db_usuario_5[[#This Row],[metodo]]&amp;" "&amp;SUBSTITUTE(resultado_db_usuario_5[[#This Row],[rota]],"/api/v1","")</f>
        <v>GET /funcionarios/</v>
      </c>
      <c r="C183" t="s">
        <v>12</v>
      </c>
      <c r="D183" t="s">
        <v>21</v>
      </c>
      <c r="E183" t="s">
        <v>22</v>
      </c>
      <c r="F183">
        <v>200</v>
      </c>
      <c r="G183" s="2">
        <v>17.79</v>
      </c>
      <c r="H183" s="1">
        <v>46166.637433900461</v>
      </c>
      <c r="I183" s="1">
        <v>46166.637434108794</v>
      </c>
      <c r="J183" t="s">
        <v>15</v>
      </c>
      <c r="K183" t="s">
        <v>16</v>
      </c>
      <c r="L183" s="1">
        <v>46166.637434143522</v>
      </c>
    </row>
    <row r="184" spans="1:12" x14ac:dyDescent="0.25">
      <c r="A184" t="s">
        <v>470</v>
      </c>
      <c r="B184" t="str">
        <f>resultado_db_usuario_5[[#This Row],[metodo]]&amp;" "&amp;SUBSTITUTE(resultado_db_usuario_5[[#This Row],[rota]],"/api/v1","")</f>
        <v>GET /funcionarios/</v>
      </c>
      <c r="C184" t="s">
        <v>12</v>
      </c>
      <c r="D184" t="s">
        <v>21</v>
      </c>
      <c r="E184" t="s">
        <v>22</v>
      </c>
      <c r="F184">
        <v>200</v>
      </c>
      <c r="G184" s="2">
        <v>7.58</v>
      </c>
      <c r="H184" s="1">
        <v>46166.637434178243</v>
      </c>
      <c r="I184" s="1">
        <v>46166.637434270837</v>
      </c>
      <c r="J184" t="s">
        <v>15</v>
      </c>
      <c r="K184" t="s">
        <v>16</v>
      </c>
      <c r="L184" s="1">
        <v>46166.637434293982</v>
      </c>
    </row>
    <row r="185" spans="1:12" x14ac:dyDescent="0.25">
      <c r="A185" t="s">
        <v>472</v>
      </c>
      <c r="B185" t="str">
        <f>resultado_db_usuario_5[[#This Row],[metodo]]&amp;" "&amp;SUBSTITUTE(resultado_db_usuario_5[[#This Row],[rota]],"/api/v1","")</f>
        <v>GET /funcionarios/</v>
      </c>
      <c r="C185" t="s">
        <v>12</v>
      </c>
      <c r="D185" t="s">
        <v>21</v>
      </c>
      <c r="E185" t="s">
        <v>22</v>
      </c>
      <c r="F185">
        <v>200</v>
      </c>
      <c r="G185" s="2">
        <v>7.61</v>
      </c>
      <c r="H185" s="1">
        <v>46166.637434247685</v>
      </c>
      <c r="I185" s="1">
        <v>46166.637434340279</v>
      </c>
      <c r="J185" t="s">
        <v>15</v>
      </c>
      <c r="K185" t="s">
        <v>16</v>
      </c>
      <c r="L185" s="1">
        <v>46166.637434363423</v>
      </c>
    </row>
    <row r="186" spans="1:12" x14ac:dyDescent="0.25">
      <c r="A186" t="s">
        <v>476</v>
      </c>
      <c r="B186" t="str">
        <f>resultado_db_usuario_5[[#This Row],[metodo]]&amp;" "&amp;SUBSTITUTE(resultado_db_usuario_5[[#This Row],[rota]],"/api/v1","")</f>
        <v>GET /funcionarios/</v>
      </c>
      <c r="C186" t="s">
        <v>12</v>
      </c>
      <c r="D186" t="s">
        <v>21</v>
      </c>
      <c r="E186" t="s">
        <v>22</v>
      </c>
      <c r="F186">
        <v>200</v>
      </c>
      <c r="G186" s="2">
        <v>5.34</v>
      </c>
      <c r="H186" s="1">
        <v>46166.637434398152</v>
      </c>
      <c r="I186" s="1">
        <v>46166.637434467593</v>
      </c>
      <c r="J186" t="s">
        <v>15</v>
      </c>
      <c r="K186" t="s">
        <v>16</v>
      </c>
      <c r="L186" s="1">
        <v>46166.637434490738</v>
      </c>
    </row>
    <row r="187" spans="1:12" x14ac:dyDescent="0.25">
      <c r="A187" t="s">
        <v>489</v>
      </c>
      <c r="B187" t="str">
        <f>resultado_db_usuario_5[[#This Row],[metodo]]&amp;" "&amp;SUBSTITUTE(resultado_db_usuario_5[[#This Row],[rota]],"/api/v1","")</f>
        <v>GET /funcionarios/</v>
      </c>
      <c r="C187" t="s">
        <v>12</v>
      </c>
      <c r="D187" t="s">
        <v>21</v>
      </c>
      <c r="E187" t="s">
        <v>22</v>
      </c>
      <c r="F187">
        <v>200</v>
      </c>
      <c r="G187" s="2">
        <v>4.37</v>
      </c>
      <c r="H187" s="1">
        <v>46166.637435590281</v>
      </c>
      <c r="I187" s="1">
        <v>46166.63743563657</v>
      </c>
      <c r="J187" t="s">
        <v>15</v>
      </c>
      <c r="K187" t="s">
        <v>16</v>
      </c>
      <c r="L187" s="1">
        <v>46166.637435659723</v>
      </c>
    </row>
    <row r="188" spans="1:12" x14ac:dyDescent="0.25">
      <c r="A188" t="s">
        <v>516</v>
      </c>
      <c r="B188" t="str">
        <f>resultado_db_usuario_5[[#This Row],[metodo]]&amp;" "&amp;SUBSTITUTE(resultado_db_usuario_5[[#This Row],[rota]],"/api/v1","")</f>
        <v>GET /funcionarios/</v>
      </c>
      <c r="C188" t="s">
        <v>12</v>
      </c>
      <c r="D188" t="s">
        <v>21</v>
      </c>
      <c r="E188" t="s">
        <v>22</v>
      </c>
      <c r="F188">
        <v>200</v>
      </c>
      <c r="G188" s="2">
        <v>4.01</v>
      </c>
      <c r="H188" s="1">
        <v>46166.637436851852</v>
      </c>
      <c r="I188" s="1">
        <v>46166.637436898149</v>
      </c>
      <c r="J188" t="s">
        <v>15</v>
      </c>
      <c r="K188" t="s">
        <v>16</v>
      </c>
      <c r="L188" s="1">
        <v>46166.637436921294</v>
      </c>
    </row>
    <row r="189" spans="1:12" x14ac:dyDescent="0.25">
      <c r="A189" t="s">
        <v>517</v>
      </c>
      <c r="B189" t="str">
        <f>resultado_db_usuario_5[[#This Row],[metodo]]&amp;" "&amp;SUBSTITUTE(resultado_db_usuario_5[[#This Row],[rota]],"/api/v1","")</f>
        <v>GET /funcionarios/</v>
      </c>
      <c r="C189" t="s">
        <v>12</v>
      </c>
      <c r="D189" t="s">
        <v>21</v>
      </c>
      <c r="E189" t="s">
        <v>22</v>
      </c>
      <c r="F189">
        <v>200</v>
      </c>
      <c r="G189" s="2">
        <v>5.25</v>
      </c>
      <c r="H189" s="1">
        <v>46166.637436851852</v>
      </c>
      <c r="I189" s="1">
        <v>46166.637436921294</v>
      </c>
      <c r="J189" t="s">
        <v>15</v>
      </c>
      <c r="K189" t="s">
        <v>16</v>
      </c>
      <c r="L189" s="1">
        <v>46166.637436944446</v>
      </c>
    </row>
    <row r="190" spans="1:12" x14ac:dyDescent="0.25">
      <c r="A190" t="s">
        <v>522</v>
      </c>
      <c r="B190" t="str">
        <f>resultado_db_usuario_5[[#This Row],[metodo]]&amp;" "&amp;SUBSTITUTE(resultado_db_usuario_5[[#This Row],[rota]],"/api/v1","")</f>
        <v>GET /funcionarios/</v>
      </c>
      <c r="C190" t="s">
        <v>12</v>
      </c>
      <c r="D190" t="s">
        <v>21</v>
      </c>
      <c r="E190" t="s">
        <v>22</v>
      </c>
      <c r="F190">
        <v>200</v>
      </c>
      <c r="G190" s="2">
        <v>4.43</v>
      </c>
      <c r="H190" s="1">
        <v>46166.637437025463</v>
      </c>
      <c r="I190" s="1">
        <v>46166.63743707176</v>
      </c>
      <c r="J190" t="s">
        <v>15</v>
      </c>
      <c r="K190" t="s">
        <v>16</v>
      </c>
      <c r="L190" s="1">
        <v>46166.637437094905</v>
      </c>
    </row>
    <row r="191" spans="1:12" x14ac:dyDescent="0.25">
      <c r="A191" t="s">
        <v>536</v>
      </c>
      <c r="B191" t="str">
        <f>resultado_db_usuario_5[[#This Row],[metodo]]&amp;" "&amp;SUBSTITUTE(resultado_db_usuario_5[[#This Row],[rota]],"/api/v1","")</f>
        <v>GET /funcionarios/</v>
      </c>
      <c r="C191" t="s">
        <v>12</v>
      </c>
      <c r="D191" t="s">
        <v>21</v>
      </c>
      <c r="E191" t="s">
        <v>22</v>
      </c>
      <c r="F191">
        <v>200</v>
      </c>
      <c r="G191" s="2">
        <v>4.04</v>
      </c>
      <c r="H191" s="1">
        <v>46166.637437569443</v>
      </c>
      <c r="I191" s="1">
        <v>46166.63743761574</v>
      </c>
      <c r="J191" t="s">
        <v>15</v>
      </c>
      <c r="K191" t="s">
        <v>16</v>
      </c>
      <c r="L191" s="1">
        <v>46166.637437650461</v>
      </c>
    </row>
    <row r="192" spans="1:12" x14ac:dyDescent="0.25">
      <c r="A192" t="s">
        <v>554</v>
      </c>
      <c r="B192" t="str">
        <f>resultado_db_usuario_5[[#This Row],[metodo]]&amp;" "&amp;SUBSTITUTE(resultado_db_usuario_5[[#This Row],[rota]],"/api/v1","")</f>
        <v>GET /funcionarios/</v>
      </c>
      <c r="C192" t="s">
        <v>12</v>
      </c>
      <c r="D192" t="s">
        <v>21</v>
      </c>
      <c r="E192" t="s">
        <v>22</v>
      </c>
      <c r="F192">
        <v>200</v>
      </c>
      <c r="G192" s="2">
        <v>10.33</v>
      </c>
      <c r="H192" s="1">
        <v>46166.637438611113</v>
      </c>
      <c r="I192" s="1">
        <v>46166.637438726852</v>
      </c>
      <c r="J192" t="s">
        <v>15</v>
      </c>
      <c r="K192" t="s">
        <v>16</v>
      </c>
      <c r="L192" s="1">
        <v>46166.637438749996</v>
      </c>
    </row>
    <row r="193" spans="1:12" x14ac:dyDescent="0.25">
      <c r="A193" t="s">
        <v>560</v>
      </c>
      <c r="B193" t="str">
        <f>resultado_db_usuario_5[[#This Row],[metodo]]&amp;" "&amp;SUBSTITUTE(resultado_db_usuario_5[[#This Row],[rota]],"/api/v1","")</f>
        <v>GET /funcionarios/</v>
      </c>
      <c r="C193" t="s">
        <v>12</v>
      </c>
      <c r="D193" t="s">
        <v>21</v>
      </c>
      <c r="E193" t="s">
        <v>22</v>
      </c>
      <c r="F193">
        <v>200</v>
      </c>
      <c r="G193" s="2">
        <v>3.11</v>
      </c>
      <c r="H193" s="1">
        <v>46166.637438993057</v>
      </c>
      <c r="I193" s="1">
        <v>46166.637439027778</v>
      </c>
      <c r="J193" t="s">
        <v>15</v>
      </c>
      <c r="K193" t="s">
        <v>16</v>
      </c>
      <c r="L193" s="1">
        <v>46166.637439050923</v>
      </c>
    </row>
    <row r="194" spans="1:12" x14ac:dyDescent="0.25">
      <c r="A194" t="s">
        <v>566</v>
      </c>
      <c r="B194" t="str">
        <f>resultado_db_usuario_5[[#This Row],[metodo]]&amp;" "&amp;SUBSTITUTE(resultado_db_usuario_5[[#This Row],[rota]],"/api/v1","")</f>
        <v>GET /funcionarios/</v>
      </c>
      <c r="C194" t="s">
        <v>12</v>
      </c>
      <c r="D194" t="s">
        <v>21</v>
      </c>
      <c r="E194" t="s">
        <v>22</v>
      </c>
      <c r="F194">
        <v>200</v>
      </c>
      <c r="G194" s="2">
        <v>10.14</v>
      </c>
      <c r="H194" s="1">
        <v>46166.637439120372</v>
      </c>
      <c r="I194" s="1">
        <v>46166.637439247686</v>
      </c>
      <c r="J194" t="s">
        <v>15</v>
      </c>
      <c r="K194" t="s">
        <v>16</v>
      </c>
      <c r="L194" s="1">
        <v>46166.637439270831</v>
      </c>
    </row>
    <row r="195" spans="1:12" x14ac:dyDescent="0.25">
      <c r="A195" t="s">
        <v>575</v>
      </c>
      <c r="B195" t="str">
        <f>resultado_db_usuario_5[[#This Row],[metodo]]&amp;" "&amp;SUBSTITUTE(resultado_db_usuario_5[[#This Row],[rota]],"/api/v1","")</f>
        <v>GET /funcionarios/</v>
      </c>
      <c r="C195" t="s">
        <v>12</v>
      </c>
      <c r="D195" t="s">
        <v>21</v>
      </c>
      <c r="E195" t="s">
        <v>22</v>
      </c>
      <c r="F195">
        <v>200</v>
      </c>
      <c r="G195" s="2">
        <v>4.53</v>
      </c>
      <c r="H195" s="1">
        <v>46166.637439814818</v>
      </c>
      <c r="I195" s="1">
        <v>46166.637439872684</v>
      </c>
      <c r="J195" t="s">
        <v>15</v>
      </c>
      <c r="K195" t="s">
        <v>16</v>
      </c>
      <c r="L195" s="1">
        <v>46166.637439895836</v>
      </c>
    </row>
    <row r="196" spans="1:12" x14ac:dyDescent="0.25">
      <c r="A196" t="s">
        <v>596</v>
      </c>
      <c r="B196" t="str">
        <f>resultado_db_usuario_5[[#This Row],[metodo]]&amp;" "&amp;SUBSTITUTE(resultado_db_usuario_5[[#This Row],[rota]],"/api/v1","")</f>
        <v>GET /funcionarios/</v>
      </c>
      <c r="C196" t="s">
        <v>12</v>
      </c>
      <c r="D196" t="s">
        <v>21</v>
      </c>
      <c r="E196" t="s">
        <v>22</v>
      </c>
      <c r="F196">
        <v>200</v>
      </c>
      <c r="G196" s="2">
        <v>3.06</v>
      </c>
      <c r="H196" s="1">
        <v>46166.637440960651</v>
      </c>
      <c r="I196" s="1">
        <v>46166.637440995371</v>
      </c>
      <c r="J196" t="s">
        <v>15</v>
      </c>
      <c r="K196" t="s">
        <v>16</v>
      </c>
      <c r="L196" s="1">
        <v>46166.637441018516</v>
      </c>
    </row>
    <row r="197" spans="1:12" x14ac:dyDescent="0.25">
      <c r="A197" t="s">
        <v>600</v>
      </c>
      <c r="B197" t="str">
        <f>resultado_db_usuario_5[[#This Row],[metodo]]&amp;" "&amp;SUBSTITUTE(resultado_db_usuario_5[[#This Row],[rota]],"/api/v1","")</f>
        <v>GET /funcionarios/</v>
      </c>
      <c r="C197" t="s">
        <v>12</v>
      </c>
      <c r="D197" t="s">
        <v>21</v>
      </c>
      <c r="E197" t="s">
        <v>22</v>
      </c>
      <c r="F197">
        <v>200</v>
      </c>
      <c r="G197" s="2">
        <v>2.81</v>
      </c>
      <c r="H197" s="1">
        <v>46166.63744111111</v>
      </c>
      <c r="I197" s="1">
        <v>46166.637441134262</v>
      </c>
      <c r="J197" t="s">
        <v>15</v>
      </c>
      <c r="K197" t="s">
        <v>16</v>
      </c>
      <c r="L197" s="1">
        <v>46166.637441168983</v>
      </c>
    </row>
    <row r="198" spans="1:12" x14ac:dyDescent="0.25">
      <c r="A198" t="s">
        <v>612</v>
      </c>
      <c r="B198" t="str">
        <f>resultado_db_usuario_5[[#This Row],[metodo]]&amp;" "&amp;SUBSTITUTE(resultado_db_usuario_5[[#This Row],[rota]],"/api/v1","")</f>
        <v>GET /funcionarios/</v>
      </c>
      <c r="C198" t="s">
        <v>12</v>
      </c>
      <c r="D198" t="s">
        <v>21</v>
      </c>
      <c r="E198" t="s">
        <v>22</v>
      </c>
      <c r="F198">
        <v>200</v>
      </c>
      <c r="G198" s="2">
        <v>4.0999999999999996</v>
      </c>
      <c r="H198" s="1">
        <v>46166.637441805557</v>
      </c>
      <c r="I198" s="1">
        <v>46166.63744186343</v>
      </c>
      <c r="J198" t="s">
        <v>15</v>
      </c>
      <c r="K198" t="s">
        <v>16</v>
      </c>
      <c r="L198" s="1">
        <v>46166.637441886574</v>
      </c>
    </row>
    <row r="199" spans="1:12" x14ac:dyDescent="0.25">
      <c r="A199" t="s">
        <v>625</v>
      </c>
      <c r="B199" t="str">
        <f>resultado_db_usuario_5[[#This Row],[metodo]]&amp;" "&amp;SUBSTITUTE(resultado_db_usuario_5[[#This Row],[rota]],"/api/v1","")</f>
        <v>GET /funcionarios/</v>
      </c>
      <c r="C199" t="s">
        <v>12</v>
      </c>
      <c r="D199" t="s">
        <v>21</v>
      </c>
      <c r="E199" t="s">
        <v>22</v>
      </c>
      <c r="F199">
        <v>200</v>
      </c>
      <c r="G199" s="2">
        <v>5.76</v>
      </c>
      <c r="H199" s="1">
        <v>46166.637442557869</v>
      </c>
      <c r="I199" s="1">
        <v>46166.637442615742</v>
      </c>
      <c r="J199" t="s">
        <v>15</v>
      </c>
      <c r="K199" t="s">
        <v>16</v>
      </c>
      <c r="L199" s="1">
        <v>46166.637442650463</v>
      </c>
    </row>
    <row r="200" spans="1:12" x14ac:dyDescent="0.25">
      <c r="A200" t="s">
        <v>637</v>
      </c>
      <c r="B200" t="str">
        <f>resultado_db_usuario_5[[#This Row],[metodo]]&amp;" "&amp;SUBSTITUTE(resultado_db_usuario_5[[#This Row],[rota]],"/api/v1","")</f>
        <v>GET /funcionarios/</v>
      </c>
      <c r="C200" t="s">
        <v>12</v>
      </c>
      <c r="D200" t="s">
        <v>21</v>
      </c>
      <c r="E200" t="s">
        <v>22</v>
      </c>
      <c r="F200">
        <v>200</v>
      </c>
      <c r="G200" s="2">
        <v>4.3</v>
      </c>
      <c r="H200" s="1">
        <v>46166.637443460648</v>
      </c>
      <c r="I200" s="1">
        <v>46166.637443518521</v>
      </c>
      <c r="J200" t="s">
        <v>15</v>
      </c>
      <c r="K200" t="s">
        <v>16</v>
      </c>
      <c r="L200" s="1">
        <v>46166.637443553242</v>
      </c>
    </row>
    <row r="201" spans="1:12" x14ac:dyDescent="0.25">
      <c r="A201" t="s">
        <v>646</v>
      </c>
      <c r="B201" t="str">
        <f>resultado_db_usuario_5[[#This Row],[metodo]]&amp;" "&amp;SUBSTITUTE(resultado_db_usuario_5[[#This Row],[rota]],"/api/v1","")</f>
        <v>GET /funcionarios/</v>
      </c>
      <c r="C201" t="s">
        <v>12</v>
      </c>
      <c r="D201" t="s">
        <v>21</v>
      </c>
      <c r="E201" t="s">
        <v>22</v>
      </c>
      <c r="F201">
        <v>200</v>
      </c>
      <c r="G201" s="2">
        <v>4.46</v>
      </c>
      <c r="H201" s="1">
        <v>46166.637443993059</v>
      </c>
      <c r="I201" s="1">
        <v>46166.637444050924</v>
      </c>
      <c r="J201" t="s">
        <v>15</v>
      </c>
      <c r="K201" t="s">
        <v>16</v>
      </c>
      <c r="L201" s="1">
        <v>46166.637444074076</v>
      </c>
    </row>
    <row r="202" spans="1:12" x14ac:dyDescent="0.25">
      <c r="A202" t="s">
        <v>139</v>
      </c>
      <c r="B202" t="str">
        <f>resultado_db_usuario_5[[#This Row],[metodo]]&amp;" "&amp;SUBSTITUTE(resultado_db_usuario_5[[#This Row],[rota]],"/api/v1","")</f>
        <v>GET /pecas/</v>
      </c>
      <c r="C202" t="s">
        <v>12</v>
      </c>
      <c r="D202" t="s">
        <v>24</v>
      </c>
      <c r="E202" t="s">
        <v>25</v>
      </c>
      <c r="F202">
        <v>200</v>
      </c>
      <c r="G202" s="2">
        <v>5.67</v>
      </c>
      <c r="H202" s="1">
        <v>46166.637413935183</v>
      </c>
      <c r="I202" s="1">
        <v>46166.637414004632</v>
      </c>
      <c r="J202" t="s">
        <v>15</v>
      </c>
      <c r="K202" t="s">
        <v>16</v>
      </c>
      <c r="L202" s="1">
        <v>46166.637414027777</v>
      </c>
    </row>
    <row r="203" spans="1:12" x14ac:dyDescent="0.25">
      <c r="A203" t="s">
        <v>151</v>
      </c>
      <c r="B203" t="str">
        <f>resultado_db_usuario_5[[#This Row],[metodo]]&amp;" "&amp;SUBSTITUTE(resultado_db_usuario_5[[#This Row],[rota]],"/api/v1","")</f>
        <v>GET /pecas/</v>
      </c>
      <c r="C203" t="s">
        <v>12</v>
      </c>
      <c r="D203" t="s">
        <v>24</v>
      </c>
      <c r="E203" t="s">
        <v>25</v>
      </c>
      <c r="F203">
        <v>200</v>
      </c>
      <c r="G203" s="2">
        <v>5.09</v>
      </c>
      <c r="H203" s="1">
        <v>46166.637415150464</v>
      </c>
      <c r="I203" s="1">
        <v>46166.63741520833</v>
      </c>
      <c r="J203" t="s">
        <v>15</v>
      </c>
      <c r="K203" t="s">
        <v>16</v>
      </c>
      <c r="L203" s="1">
        <v>46166.637415243058</v>
      </c>
    </row>
    <row r="204" spans="1:12" x14ac:dyDescent="0.25">
      <c r="A204" t="s">
        <v>163</v>
      </c>
      <c r="B204" t="str">
        <f>resultado_db_usuario_5[[#This Row],[metodo]]&amp;" "&amp;SUBSTITUTE(resultado_db_usuario_5[[#This Row],[rota]],"/api/v1","")</f>
        <v>GET /pecas/</v>
      </c>
      <c r="C204" t="s">
        <v>12</v>
      </c>
      <c r="D204" t="s">
        <v>24</v>
      </c>
      <c r="E204" t="s">
        <v>25</v>
      </c>
      <c r="F204">
        <v>200</v>
      </c>
      <c r="G204" s="2">
        <v>6.77</v>
      </c>
      <c r="H204" s="1">
        <v>46166.637416458332</v>
      </c>
      <c r="I204" s="1">
        <v>46166.637416527781</v>
      </c>
      <c r="J204" t="s">
        <v>15</v>
      </c>
      <c r="K204" t="s">
        <v>16</v>
      </c>
      <c r="L204" s="1">
        <v>46166.637416562502</v>
      </c>
    </row>
    <row r="205" spans="1:12" x14ac:dyDescent="0.25">
      <c r="A205" t="s">
        <v>166</v>
      </c>
      <c r="B205" t="str">
        <f>resultado_db_usuario_5[[#This Row],[metodo]]&amp;" "&amp;SUBSTITUTE(resultado_db_usuario_5[[#This Row],[rota]],"/api/v1","")</f>
        <v>GET /pecas/</v>
      </c>
      <c r="C205" t="s">
        <v>12</v>
      </c>
      <c r="D205" t="s">
        <v>24</v>
      </c>
      <c r="E205" t="s">
        <v>25</v>
      </c>
      <c r="F205">
        <v>200</v>
      </c>
      <c r="G205" s="2">
        <v>8.02</v>
      </c>
      <c r="H205" s="1">
        <v>46166.637416597223</v>
      </c>
      <c r="I205" s="1">
        <v>46166.637416689817</v>
      </c>
      <c r="J205" t="s">
        <v>15</v>
      </c>
      <c r="K205" t="s">
        <v>16</v>
      </c>
      <c r="L205" s="1">
        <v>46166.637416724538</v>
      </c>
    </row>
    <row r="206" spans="1:12" x14ac:dyDescent="0.25">
      <c r="A206" t="s">
        <v>183</v>
      </c>
      <c r="B206" t="str">
        <f>resultado_db_usuario_5[[#This Row],[metodo]]&amp;" "&amp;SUBSTITUTE(resultado_db_usuario_5[[#This Row],[rota]],"/api/v1","")</f>
        <v>GET /pecas/</v>
      </c>
      <c r="C206" t="s">
        <v>12</v>
      </c>
      <c r="D206" t="s">
        <v>24</v>
      </c>
      <c r="E206" t="s">
        <v>25</v>
      </c>
      <c r="F206">
        <v>200</v>
      </c>
      <c r="G206" s="2">
        <v>7.5</v>
      </c>
      <c r="H206" s="1">
        <v>46166.637418078702</v>
      </c>
      <c r="I206" s="1">
        <v>46166.637418171296</v>
      </c>
      <c r="J206" t="s">
        <v>15</v>
      </c>
      <c r="K206" t="s">
        <v>16</v>
      </c>
      <c r="L206" s="1">
        <v>46166.637418206017</v>
      </c>
    </row>
    <row r="207" spans="1:12" x14ac:dyDescent="0.25">
      <c r="A207" t="s">
        <v>189</v>
      </c>
      <c r="B207" t="str">
        <f>resultado_db_usuario_5[[#This Row],[metodo]]&amp;" "&amp;SUBSTITUTE(resultado_db_usuario_5[[#This Row],[rota]],"/api/v1","")</f>
        <v>GET /pecas/</v>
      </c>
      <c r="C207" t="s">
        <v>12</v>
      </c>
      <c r="D207" t="s">
        <v>24</v>
      </c>
      <c r="E207" t="s">
        <v>25</v>
      </c>
      <c r="F207">
        <v>200</v>
      </c>
      <c r="G207" s="2">
        <v>9.7100000000000009</v>
      </c>
      <c r="H207" s="1">
        <v>46166.637418668979</v>
      </c>
      <c r="I207" s="1">
        <v>46166.637418784725</v>
      </c>
      <c r="J207" t="s">
        <v>15</v>
      </c>
      <c r="K207" t="s">
        <v>16</v>
      </c>
      <c r="L207" s="1">
        <v>46166.637418819446</v>
      </c>
    </row>
    <row r="208" spans="1:12" x14ac:dyDescent="0.25">
      <c r="A208" t="s">
        <v>194</v>
      </c>
      <c r="B208" t="str">
        <f>resultado_db_usuario_5[[#This Row],[metodo]]&amp;" "&amp;SUBSTITUTE(resultado_db_usuario_5[[#This Row],[rota]],"/api/v1","")</f>
        <v>GET /pecas/</v>
      </c>
      <c r="C208" t="s">
        <v>12</v>
      </c>
      <c r="D208" t="s">
        <v>24</v>
      </c>
      <c r="E208" t="s">
        <v>25</v>
      </c>
      <c r="F208">
        <v>200</v>
      </c>
      <c r="G208" s="2">
        <v>5.14</v>
      </c>
      <c r="H208" s="1">
        <v>46166.637418981481</v>
      </c>
      <c r="I208" s="1">
        <v>46166.637419039354</v>
      </c>
      <c r="J208" t="s">
        <v>15</v>
      </c>
      <c r="K208" t="s">
        <v>16</v>
      </c>
      <c r="L208" s="1">
        <v>46166.637419062499</v>
      </c>
    </row>
    <row r="209" spans="1:12" x14ac:dyDescent="0.25">
      <c r="A209" t="s">
        <v>219</v>
      </c>
      <c r="B209" t="str">
        <f>resultado_db_usuario_5[[#This Row],[metodo]]&amp;" "&amp;SUBSTITUTE(resultado_db_usuario_5[[#This Row],[rota]],"/api/v1","")</f>
        <v>GET /pecas/</v>
      </c>
      <c r="C209" t="s">
        <v>12</v>
      </c>
      <c r="D209" t="s">
        <v>24</v>
      </c>
      <c r="E209" t="s">
        <v>25</v>
      </c>
      <c r="F209">
        <v>200</v>
      </c>
      <c r="G209" s="2">
        <v>6.68</v>
      </c>
      <c r="H209" s="1">
        <v>46166.637420497682</v>
      </c>
      <c r="I209" s="1">
        <v>46166.637420578707</v>
      </c>
      <c r="J209" t="s">
        <v>15</v>
      </c>
      <c r="K209" t="s">
        <v>16</v>
      </c>
      <c r="L209" s="1">
        <v>46166.637420601852</v>
      </c>
    </row>
    <row r="210" spans="1:12" x14ac:dyDescent="0.25">
      <c r="A210" t="s">
        <v>221</v>
      </c>
      <c r="B210" t="str">
        <f>resultado_db_usuario_5[[#This Row],[metodo]]&amp;" "&amp;SUBSTITUTE(resultado_db_usuario_5[[#This Row],[rota]],"/api/v1","")</f>
        <v>GET /pecas/</v>
      </c>
      <c r="C210" t="s">
        <v>12</v>
      </c>
      <c r="D210" t="s">
        <v>24</v>
      </c>
      <c r="E210" t="s">
        <v>25</v>
      </c>
      <c r="F210">
        <v>200</v>
      </c>
      <c r="G210" s="2">
        <v>8.93</v>
      </c>
      <c r="H210" s="1">
        <v>46166.637420520834</v>
      </c>
      <c r="I210" s="1">
        <v>46166.637420624997</v>
      </c>
      <c r="J210" t="s">
        <v>15</v>
      </c>
      <c r="K210" t="s">
        <v>16</v>
      </c>
      <c r="L210" s="1">
        <v>46166.637420648149</v>
      </c>
    </row>
    <row r="211" spans="1:12" x14ac:dyDescent="0.25">
      <c r="A211" t="s">
        <v>229</v>
      </c>
      <c r="B211" t="str">
        <f>resultado_db_usuario_5[[#This Row],[metodo]]&amp;" "&amp;SUBSTITUTE(resultado_db_usuario_5[[#This Row],[rota]],"/api/v1","")</f>
        <v>GET /pecas/</v>
      </c>
      <c r="C211" t="s">
        <v>12</v>
      </c>
      <c r="D211" t="s">
        <v>24</v>
      </c>
      <c r="E211" t="s">
        <v>25</v>
      </c>
      <c r="F211">
        <v>200</v>
      </c>
      <c r="G211" s="2">
        <v>5.13</v>
      </c>
      <c r="H211" s="1">
        <v>46166.637420960651</v>
      </c>
      <c r="I211" s="1">
        <v>46166.637421018517</v>
      </c>
      <c r="J211" t="s">
        <v>15</v>
      </c>
      <c r="K211" t="s">
        <v>16</v>
      </c>
      <c r="L211" s="1">
        <v>46166.637421053238</v>
      </c>
    </row>
    <row r="212" spans="1:12" x14ac:dyDescent="0.25">
      <c r="A212" t="s">
        <v>235</v>
      </c>
      <c r="B212" t="str">
        <f>resultado_db_usuario_5[[#This Row],[metodo]]&amp;" "&amp;SUBSTITUTE(resultado_db_usuario_5[[#This Row],[rota]],"/api/v1","")</f>
        <v>GET /pecas/</v>
      </c>
      <c r="C212" t="s">
        <v>12</v>
      </c>
      <c r="D212" t="s">
        <v>24</v>
      </c>
      <c r="E212" t="s">
        <v>25</v>
      </c>
      <c r="F212">
        <v>200</v>
      </c>
      <c r="G212" s="2">
        <v>4.87</v>
      </c>
      <c r="H212" s="1">
        <v>46166.637421238425</v>
      </c>
      <c r="I212" s="1">
        <v>46166.637421296298</v>
      </c>
      <c r="J212" t="s">
        <v>15</v>
      </c>
      <c r="K212" t="s">
        <v>16</v>
      </c>
      <c r="L212" s="1">
        <v>46166.637421319443</v>
      </c>
    </row>
    <row r="213" spans="1:12" x14ac:dyDescent="0.25">
      <c r="A213" t="s">
        <v>261</v>
      </c>
      <c r="B213" t="str">
        <f>resultado_db_usuario_5[[#This Row],[metodo]]&amp;" "&amp;SUBSTITUTE(resultado_db_usuario_5[[#This Row],[rota]],"/api/v1","")</f>
        <v>GET /pecas/</v>
      </c>
      <c r="C213" t="s">
        <v>12</v>
      </c>
      <c r="D213" t="s">
        <v>24</v>
      </c>
      <c r="E213" t="s">
        <v>25</v>
      </c>
      <c r="F213">
        <v>200</v>
      </c>
      <c r="G213" s="2">
        <v>23.63</v>
      </c>
      <c r="H213" s="1">
        <v>46166.637422719905</v>
      </c>
      <c r="I213" s="1">
        <v>46166.637422997686</v>
      </c>
      <c r="J213" t="s">
        <v>15</v>
      </c>
      <c r="K213" t="s">
        <v>16</v>
      </c>
      <c r="L213" s="1">
        <v>46166.637423043983</v>
      </c>
    </row>
    <row r="214" spans="1:12" x14ac:dyDescent="0.25">
      <c r="A214" t="s">
        <v>269</v>
      </c>
      <c r="B214" t="str">
        <f>resultado_db_usuario_5[[#This Row],[metodo]]&amp;" "&amp;SUBSTITUTE(resultado_db_usuario_5[[#This Row],[rota]],"/api/v1","")</f>
        <v>GET /pecas/</v>
      </c>
      <c r="C214" t="s">
        <v>12</v>
      </c>
      <c r="D214" t="s">
        <v>24</v>
      </c>
      <c r="E214" t="s">
        <v>25</v>
      </c>
      <c r="F214">
        <v>200</v>
      </c>
      <c r="G214" s="2">
        <v>18.64</v>
      </c>
      <c r="H214" s="1">
        <v>46166.637423368054</v>
      </c>
      <c r="I214" s="1">
        <v>46166.637423576387</v>
      </c>
      <c r="J214" t="s">
        <v>15</v>
      </c>
      <c r="K214" t="s">
        <v>16</v>
      </c>
      <c r="L214" s="1">
        <v>46166.637423599539</v>
      </c>
    </row>
    <row r="215" spans="1:12" x14ac:dyDescent="0.25">
      <c r="A215" t="s">
        <v>275</v>
      </c>
      <c r="B215" t="str">
        <f>resultado_db_usuario_5[[#This Row],[metodo]]&amp;" "&amp;SUBSTITUTE(resultado_db_usuario_5[[#This Row],[rota]],"/api/v1","")</f>
        <v>GET /pecas/</v>
      </c>
      <c r="C215" t="s">
        <v>12</v>
      </c>
      <c r="D215" t="s">
        <v>24</v>
      </c>
      <c r="E215" t="s">
        <v>25</v>
      </c>
      <c r="F215">
        <v>200</v>
      </c>
      <c r="G215" s="2">
        <v>9.59</v>
      </c>
      <c r="H215" s="1">
        <v>46166.637423715278</v>
      </c>
      <c r="I215" s="1">
        <v>46166.637423819448</v>
      </c>
      <c r="J215" t="s">
        <v>15</v>
      </c>
      <c r="K215" t="s">
        <v>16</v>
      </c>
      <c r="L215" s="1">
        <v>46166.637423854168</v>
      </c>
    </row>
    <row r="216" spans="1:12" x14ac:dyDescent="0.25">
      <c r="A216" t="s">
        <v>276</v>
      </c>
      <c r="B216" t="str">
        <f>resultado_db_usuario_5[[#This Row],[metodo]]&amp;" "&amp;SUBSTITUTE(resultado_db_usuario_5[[#This Row],[rota]],"/api/v1","")</f>
        <v>GET /pecas/</v>
      </c>
      <c r="C216" t="s">
        <v>12</v>
      </c>
      <c r="D216" t="s">
        <v>24</v>
      </c>
      <c r="E216" t="s">
        <v>25</v>
      </c>
      <c r="F216">
        <v>200</v>
      </c>
      <c r="G216" s="2">
        <v>3.64</v>
      </c>
      <c r="H216" s="1">
        <v>46166.637423842592</v>
      </c>
      <c r="I216" s="1">
        <v>46166.637423877313</v>
      </c>
      <c r="J216" t="s">
        <v>15</v>
      </c>
      <c r="K216" t="s">
        <v>16</v>
      </c>
      <c r="L216" s="1">
        <v>46166.637423912034</v>
      </c>
    </row>
    <row r="217" spans="1:12" x14ac:dyDescent="0.25">
      <c r="A217" t="s">
        <v>282</v>
      </c>
      <c r="B217" t="str">
        <f>resultado_db_usuario_5[[#This Row],[metodo]]&amp;" "&amp;SUBSTITUTE(resultado_db_usuario_5[[#This Row],[rota]],"/api/v1","")</f>
        <v>GET /pecas/</v>
      </c>
      <c r="C217" t="s">
        <v>12</v>
      </c>
      <c r="D217" t="s">
        <v>24</v>
      </c>
      <c r="E217" t="s">
        <v>25</v>
      </c>
      <c r="F217">
        <v>200</v>
      </c>
      <c r="G217" s="2">
        <v>6.51</v>
      </c>
      <c r="H217" s="1">
        <v>46166.637423981483</v>
      </c>
      <c r="I217" s="1">
        <v>46166.637424050925</v>
      </c>
      <c r="J217" t="s">
        <v>15</v>
      </c>
      <c r="K217" t="s">
        <v>16</v>
      </c>
      <c r="L217" s="1">
        <v>46166.637424074077</v>
      </c>
    </row>
    <row r="218" spans="1:12" x14ac:dyDescent="0.25">
      <c r="A218" t="s">
        <v>313</v>
      </c>
      <c r="B218" t="str">
        <f>resultado_db_usuario_5[[#This Row],[metodo]]&amp;" "&amp;SUBSTITUTE(resultado_db_usuario_5[[#This Row],[rota]],"/api/v1","")</f>
        <v>GET /pecas/</v>
      </c>
      <c r="C218" t="s">
        <v>12</v>
      </c>
      <c r="D218" t="s">
        <v>24</v>
      </c>
      <c r="E218" t="s">
        <v>25</v>
      </c>
      <c r="F218">
        <v>200</v>
      </c>
      <c r="G218" s="2">
        <v>18.920000000000002</v>
      </c>
      <c r="H218" s="1">
        <v>46166.63742540509</v>
      </c>
      <c r="I218" s="1">
        <v>46166.637425624998</v>
      </c>
      <c r="J218" t="s">
        <v>15</v>
      </c>
      <c r="K218" t="s">
        <v>16</v>
      </c>
      <c r="L218" s="1">
        <v>46166.63742564815</v>
      </c>
    </row>
    <row r="219" spans="1:12" x14ac:dyDescent="0.25">
      <c r="A219" t="s">
        <v>321</v>
      </c>
      <c r="B219" t="str">
        <f>resultado_db_usuario_5[[#This Row],[metodo]]&amp;" "&amp;SUBSTITUTE(resultado_db_usuario_5[[#This Row],[rota]],"/api/v1","")</f>
        <v>GET /pecas/</v>
      </c>
      <c r="C219" t="s">
        <v>12</v>
      </c>
      <c r="D219" t="s">
        <v>24</v>
      </c>
      <c r="E219" t="s">
        <v>25</v>
      </c>
      <c r="F219">
        <v>200</v>
      </c>
      <c r="G219" s="2">
        <v>11.25</v>
      </c>
      <c r="H219" s="1">
        <v>46166.637425763889</v>
      </c>
      <c r="I219" s="1">
        <v>46166.63742590278</v>
      </c>
      <c r="J219" t="s">
        <v>15</v>
      </c>
      <c r="K219" t="s">
        <v>16</v>
      </c>
      <c r="L219" s="1">
        <v>46166.637425925925</v>
      </c>
    </row>
    <row r="220" spans="1:12" x14ac:dyDescent="0.25">
      <c r="A220" t="s">
        <v>326</v>
      </c>
      <c r="B220" t="str">
        <f>resultado_db_usuario_5[[#This Row],[metodo]]&amp;" "&amp;SUBSTITUTE(resultado_db_usuario_5[[#This Row],[rota]],"/api/v1","")</f>
        <v>GET /pecas/</v>
      </c>
      <c r="C220" t="s">
        <v>12</v>
      </c>
      <c r="D220" t="s">
        <v>24</v>
      </c>
      <c r="E220" t="s">
        <v>25</v>
      </c>
      <c r="F220">
        <v>200</v>
      </c>
      <c r="G220" s="2">
        <v>9.36</v>
      </c>
      <c r="H220" s="1">
        <v>46166.637425972222</v>
      </c>
      <c r="I220" s="1">
        <v>46166.63742608796</v>
      </c>
      <c r="J220" t="s">
        <v>15</v>
      </c>
      <c r="K220" t="s">
        <v>16</v>
      </c>
      <c r="L220" s="1">
        <v>46166.637426111112</v>
      </c>
    </row>
    <row r="221" spans="1:12" x14ac:dyDescent="0.25">
      <c r="A221" t="s">
        <v>328</v>
      </c>
      <c r="B221" t="str">
        <f>resultado_db_usuario_5[[#This Row],[metodo]]&amp;" "&amp;SUBSTITUTE(resultado_db_usuario_5[[#This Row],[rota]],"/api/v1","")</f>
        <v>GET /pecas/</v>
      </c>
      <c r="C221" t="s">
        <v>12</v>
      </c>
      <c r="D221" t="s">
        <v>24</v>
      </c>
      <c r="E221" t="s">
        <v>25</v>
      </c>
      <c r="F221">
        <v>200</v>
      </c>
      <c r="G221" s="2">
        <v>6.13</v>
      </c>
      <c r="H221" s="1">
        <v>46166.637426099536</v>
      </c>
      <c r="I221" s="1">
        <v>46166.637426168978</v>
      </c>
      <c r="J221" t="s">
        <v>15</v>
      </c>
      <c r="K221" t="s">
        <v>16</v>
      </c>
      <c r="L221" s="1">
        <v>46166.637426203706</v>
      </c>
    </row>
    <row r="222" spans="1:12" x14ac:dyDescent="0.25">
      <c r="A222" t="s">
        <v>337</v>
      </c>
      <c r="B222" t="str">
        <f>resultado_db_usuario_5[[#This Row],[metodo]]&amp;" "&amp;SUBSTITUTE(resultado_db_usuario_5[[#This Row],[rota]],"/api/v1","")</f>
        <v>GET /pecas/</v>
      </c>
      <c r="C222" t="s">
        <v>12</v>
      </c>
      <c r="D222" t="s">
        <v>24</v>
      </c>
      <c r="E222" t="s">
        <v>25</v>
      </c>
      <c r="F222">
        <v>200</v>
      </c>
      <c r="G222" s="2">
        <v>10.08</v>
      </c>
      <c r="H222" s="1">
        <v>46166.637426458336</v>
      </c>
      <c r="I222" s="1">
        <v>46166.637426574074</v>
      </c>
      <c r="J222" t="s">
        <v>15</v>
      </c>
      <c r="K222" t="s">
        <v>16</v>
      </c>
      <c r="L222" s="1">
        <v>46166.637426597219</v>
      </c>
    </row>
    <row r="223" spans="1:12" x14ac:dyDescent="0.25">
      <c r="A223" t="s">
        <v>365</v>
      </c>
      <c r="B223" t="str">
        <f>resultado_db_usuario_5[[#This Row],[metodo]]&amp;" "&amp;SUBSTITUTE(resultado_db_usuario_5[[#This Row],[rota]],"/api/v1","")</f>
        <v>GET /pecas/</v>
      </c>
      <c r="C223" t="s">
        <v>12</v>
      </c>
      <c r="D223" t="s">
        <v>24</v>
      </c>
      <c r="E223" t="s">
        <v>25</v>
      </c>
      <c r="F223">
        <v>200</v>
      </c>
      <c r="G223" s="2">
        <v>7.84</v>
      </c>
      <c r="H223" s="1">
        <v>46166.637428275462</v>
      </c>
      <c r="I223" s="1">
        <v>46166.637428368056</v>
      </c>
      <c r="J223" t="s">
        <v>15</v>
      </c>
      <c r="K223" t="s">
        <v>16</v>
      </c>
      <c r="L223" s="1">
        <v>46166.637428391201</v>
      </c>
    </row>
    <row r="224" spans="1:12" x14ac:dyDescent="0.25">
      <c r="A224" t="s">
        <v>373</v>
      </c>
      <c r="B224" t="str">
        <f>resultado_db_usuario_5[[#This Row],[metodo]]&amp;" "&amp;SUBSTITUTE(resultado_db_usuario_5[[#This Row],[rota]],"/api/v1","")</f>
        <v>GET /pecas/</v>
      </c>
      <c r="C224" t="s">
        <v>12</v>
      </c>
      <c r="D224" t="s">
        <v>24</v>
      </c>
      <c r="E224" t="s">
        <v>25</v>
      </c>
      <c r="F224">
        <v>200</v>
      </c>
      <c r="G224" s="2">
        <v>11.89</v>
      </c>
      <c r="H224" s="1">
        <v>46166.637428553244</v>
      </c>
      <c r="I224" s="1">
        <v>46166.637428692127</v>
      </c>
      <c r="J224" t="s">
        <v>15</v>
      </c>
      <c r="K224" t="s">
        <v>16</v>
      </c>
      <c r="L224" s="1">
        <v>46166.637428715279</v>
      </c>
    </row>
    <row r="225" spans="1:12" x14ac:dyDescent="0.25">
      <c r="A225" t="s">
        <v>377</v>
      </c>
      <c r="B225" t="str">
        <f>resultado_db_usuario_5[[#This Row],[metodo]]&amp;" "&amp;SUBSTITUTE(resultado_db_usuario_5[[#This Row],[rota]],"/api/v1","")</f>
        <v>GET /pecas/</v>
      </c>
      <c r="C225" t="s">
        <v>12</v>
      </c>
      <c r="D225" t="s">
        <v>24</v>
      </c>
      <c r="E225" t="s">
        <v>25</v>
      </c>
      <c r="F225">
        <v>200</v>
      </c>
      <c r="G225" s="2">
        <v>15.22</v>
      </c>
      <c r="H225" s="1">
        <v>46166.637428807873</v>
      </c>
      <c r="I225" s="1">
        <v>46166.637428981485</v>
      </c>
      <c r="J225" t="s">
        <v>15</v>
      </c>
      <c r="K225" t="s">
        <v>16</v>
      </c>
      <c r="L225" s="1">
        <v>46166.63742900463</v>
      </c>
    </row>
    <row r="226" spans="1:12" x14ac:dyDescent="0.25">
      <c r="A226" t="s">
        <v>379</v>
      </c>
      <c r="B226" t="str">
        <f>resultado_db_usuario_5[[#This Row],[metodo]]&amp;" "&amp;SUBSTITUTE(resultado_db_usuario_5[[#This Row],[rota]],"/api/v1","")</f>
        <v>GET /pecas/</v>
      </c>
      <c r="C226" t="s">
        <v>12</v>
      </c>
      <c r="D226" t="s">
        <v>24</v>
      </c>
      <c r="E226" t="s">
        <v>25</v>
      </c>
      <c r="F226">
        <v>200</v>
      </c>
      <c r="G226" s="2">
        <v>14.43</v>
      </c>
      <c r="H226" s="1">
        <v>46166.637428877315</v>
      </c>
      <c r="I226" s="1">
        <v>46166.637429050927</v>
      </c>
      <c r="J226" t="s">
        <v>15</v>
      </c>
      <c r="K226" t="s">
        <v>16</v>
      </c>
      <c r="L226" s="1">
        <v>46166.637429074071</v>
      </c>
    </row>
    <row r="227" spans="1:12" x14ac:dyDescent="0.25">
      <c r="A227" t="s">
        <v>388</v>
      </c>
      <c r="B227" t="str">
        <f>resultado_db_usuario_5[[#This Row],[metodo]]&amp;" "&amp;SUBSTITUTE(resultado_db_usuario_5[[#This Row],[rota]],"/api/v1","")</f>
        <v>GET /pecas/</v>
      </c>
      <c r="C227" t="s">
        <v>12</v>
      </c>
      <c r="D227" t="s">
        <v>24</v>
      </c>
      <c r="E227" t="s">
        <v>25</v>
      </c>
      <c r="F227">
        <v>200</v>
      </c>
      <c r="G227" s="2">
        <v>7.52</v>
      </c>
      <c r="H227" s="1">
        <v>46166.637429456016</v>
      </c>
      <c r="I227" s="1">
        <v>46166.637429537041</v>
      </c>
      <c r="J227" t="s">
        <v>15</v>
      </c>
      <c r="K227" t="s">
        <v>16</v>
      </c>
      <c r="L227" s="1">
        <v>46166.637429571761</v>
      </c>
    </row>
    <row r="228" spans="1:12" x14ac:dyDescent="0.25">
      <c r="A228" t="s">
        <v>420</v>
      </c>
      <c r="B228" t="str">
        <f>resultado_db_usuario_5[[#This Row],[metodo]]&amp;" "&amp;SUBSTITUTE(resultado_db_usuario_5[[#This Row],[rota]],"/api/v1","")</f>
        <v>GET /pecas/</v>
      </c>
      <c r="C228" t="s">
        <v>12</v>
      </c>
      <c r="D228" t="s">
        <v>24</v>
      </c>
      <c r="E228" t="s">
        <v>25</v>
      </c>
      <c r="F228">
        <v>200</v>
      </c>
      <c r="G228" s="2">
        <v>3.8</v>
      </c>
      <c r="H228" s="1">
        <v>46166.637431423609</v>
      </c>
      <c r="I228" s="1">
        <v>46166.637431469906</v>
      </c>
      <c r="J228" t="s">
        <v>15</v>
      </c>
      <c r="K228" t="s">
        <v>16</v>
      </c>
      <c r="L228" s="1">
        <v>46166.637431493058</v>
      </c>
    </row>
    <row r="229" spans="1:12" x14ac:dyDescent="0.25">
      <c r="A229" t="s">
        <v>425</v>
      </c>
      <c r="B229" t="str">
        <f>resultado_db_usuario_5[[#This Row],[metodo]]&amp;" "&amp;SUBSTITUTE(resultado_db_usuario_5[[#This Row],[rota]],"/api/v1","")</f>
        <v>GET /pecas/</v>
      </c>
      <c r="C229" t="s">
        <v>12</v>
      </c>
      <c r="D229" t="s">
        <v>24</v>
      </c>
      <c r="E229" t="s">
        <v>25</v>
      </c>
      <c r="F229">
        <v>200</v>
      </c>
      <c r="G229" s="2">
        <v>10.79</v>
      </c>
      <c r="H229" s="1">
        <v>46166.637431550924</v>
      </c>
      <c r="I229" s="1">
        <v>46166.637431678238</v>
      </c>
      <c r="J229" t="s">
        <v>15</v>
      </c>
      <c r="K229" t="s">
        <v>16</v>
      </c>
      <c r="L229" s="1">
        <v>46166.637431701391</v>
      </c>
    </row>
    <row r="230" spans="1:12" x14ac:dyDescent="0.25">
      <c r="A230" t="s">
        <v>428</v>
      </c>
      <c r="B230" t="str">
        <f>resultado_db_usuario_5[[#This Row],[metodo]]&amp;" "&amp;SUBSTITUTE(resultado_db_usuario_5[[#This Row],[rota]],"/api/v1","")</f>
        <v>GET /pecas/</v>
      </c>
      <c r="C230" t="s">
        <v>12</v>
      </c>
      <c r="D230" t="s">
        <v>24</v>
      </c>
      <c r="E230" t="s">
        <v>25</v>
      </c>
      <c r="F230">
        <v>200</v>
      </c>
      <c r="G230" s="2">
        <v>16.100000000000001</v>
      </c>
      <c r="H230" s="1">
        <v>46166.637431620373</v>
      </c>
      <c r="I230" s="1">
        <v>46166.637431805553</v>
      </c>
      <c r="J230" t="s">
        <v>15</v>
      </c>
      <c r="K230" t="s">
        <v>16</v>
      </c>
      <c r="L230" s="1">
        <v>46166.637431828705</v>
      </c>
    </row>
    <row r="231" spans="1:12" x14ac:dyDescent="0.25">
      <c r="A231" t="s">
        <v>431</v>
      </c>
      <c r="B231" t="str">
        <f>resultado_db_usuario_5[[#This Row],[metodo]]&amp;" "&amp;SUBSTITUTE(resultado_db_usuario_5[[#This Row],[rota]],"/api/v1","")</f>
        <v>GET /pecas/</v>
      </c>
      <c r="C231" t="s">
        <v>12</v>
      </c>
      <c r="D231" t="s">
        <v>24</v>
      </c>
      <c r="E231" t="s">
        <v>25</v>
      </c>
      <c r="F231">
        <v>200</v>
      </c>
      <c r="G231" s="2">
        <v>7.13</v>
      </c>
      <c r="H231" s="1">
        <v>46166.637431828705</v>
      </c>
      <c r="I231" s="1">
        <v>46166.637431909723</v>
      </c>
      <c r="J231" t="s">
        <v>15</v>
      </c>
      <c r="K231" t="s">
        <v>16</v>
      </c>
      <c r="L231" s="1">
        <v>46166.637431932868</v>
      </c>
    </row>
    <row r="232" spans="1:12" x14ac:dyDescent="0.25">
      <c r="A232" t="s">
        <v>441</v>
      </c>
      <c r="B232" t="str">
        <f>resultado_db_usuario_5[[#This Row],[metodo]]&amp;" "&amp;SUBSTITUTE(resultado_db_usuario_5[[#This Row],[rota]],"/api/v1","")</f>
        <v>GET /pecas/</v>
      </c>
      <c r="C232" t="s">
        <v>12</v>
      </c>
      <c r="D232" t="s">
        <v>24</v>
      </c>
      <c r="E232" t="s">
        <v>25</v>
      </c>
      <c r="F232">
        <v>200</v>
      </c>
      <c r="G232" s="2">
        <v>9.0299999999999994</v>
      </c>
      <c r="H232" s="1">
        <v>46166.637432187497</v>
      </c>
      <c r="I232" s="1">
        <v>46166.637432291667</v>
      </c>
      <c r="J232" t="s">
        <v>15</v>
      </c>
      <c r="K232" t="s">
        <v>16</v>
      </c>
      <c r="L232" s="1">
        <v>46166.637432314812</v>
      </c>
    </row>
    <row r="233" spans="1:12" x14ac:dyDescent="0.25">
      <c r="A233" t="s">
        <v>473</v>
      </c>
      <c r="B233" t="str">
        <f>resultado_db_usuario_5[[#This Row],[metodo]]&amp;" "&amp;SUBSTITUTE(resultado_db_usuario_5[[#This Row],[rota]],"/api/v1","")</f>
        <v>GET /pecas/</v>
      </c>
      <c r="C233" t="s">
        <v>12</v>
      </c>
      <c r="D233" t="s">
        <v>24</v>
      </c>
      <c r="E233" t="s">
        <v>25</v>
      </c>
      <c r="F233">
        <v>200</v>
      </c>
      <c r="G233" s="2">
        <v>11.37</v>
      </c>
      <c r="H233" s="1">
        <v>46166.637434236109</v>
      </c>
      <c r="I233" s="1">
        <v>46166.637434363423</v>
      </c>
      <c r="J233" t="s">
        <v>15</v>
      </c>
      <c r="K233" t="s">
        <v>16</v>
      </c>
      <c r="L233" s="1">
        <v>46166.637434386575</v>
      </c>
    </row>
    <row r="234" spans="1:12" x14ac:dyDescent="0.25">
      <c r="A234" t="s">
        <v>475</v>
      </c>
      <c r="B234" t="str">
        <f>resultado_db_usuario_5[[#This Row],[metodo]]&amp;" "&amp;SUBSTITUTE(resultado_db_usuario_5[[#This Row],[rota]],"/api/v1","")</f>
        <v>GET /pecas/</v>
      </c>
      <c r="C234" t="s">
        <v>12</v>
      </c>
      <c r="D234" t="s">
        <v>24</v>
      </c>
      <c r="E234" t="s">
        <v>25</v>
      </c>
      <c r="F234">
        <v>200</v>
      </c>
      <c r="G234" s="2">
        <v>6.31</v>
      </c>
      <c r="H234" s="1">
        <v>46166.637434374999</v>
      </c>
      <c r="I234" s="1">
        <v>46166.637434444441</v>
      </c>
      <c r="J234" t="s">
        <v>15</v>
      </c>
      <c r="K234" t="s">
        <v>16</v>
      </c>
      <c r="L234" s="1">
        <v>46166.637434467593</v>
      </c>
    </row>
    <row r="235" spans="1:12" x14ac:dyDescent="0.25">
      <c r="A235" t="s">
        <v>477</v>
      </c>
      <c r="B235" t="str">
        <f>resultado_db_usuario_5[[#This Row],[metodo]]&amp;" "&amp;SUBSTITUTE(resultado_db_usuario_5[[#This Row],[rota]],"/api/v1","")</f>
        <v>GET /pecas/</v>
      </c>
      <c r="C235" t="s">
        <v>12</v>
      </c>
      <c r="D235" t="s">
        <v>24</v>
      </c>
      <c r="E235" t="s">
        <v>25</v>
      </c>
      <c r="F235">
        <v>200</v>
      </c>
      <c r="G235" s="2">
        <v>13.99</v>
      </c>
      <c r="H235" s="1">
        <v>46166.63743440972</v>
      </c>
      <c r="I235" s="1">
        <v>46166.637434571756</v>
      </c>
      <c r="J235" t="s">
        <v>15</v>
      </c>
      <c r="K235" t="s">
        <v>16</v>
      </c>
      <c r="L235" s="1">
        <v>46166.637434641205</v>
      </c>
    </row>
    <row r="236" spans="1:12" x14ac:dyDescent="0.25">
      <c r="A236" t="s">
        <v>480</v>
      </c>
      <c r="B236" t="str">
        <f>resultado_db_usuario_5[[#This Row],[metodo]]&amp;" "&amp;SUBSTITUTE(resultado_db_usuario_5[[#This Row],[rota]],"/api/v1","")</f>
        <v>GET /pecas/</v>
      </c>
      <c r="C236" t="s">
        <v>12</v>
      </c>
      <c r="D236" t="s">
        <v>24</v>
      </c>
      <c r="E236" t="s">
        <v>25</v>
      </c>
      <c r="F236">
        <v>200</v>
      </c>
      <c r="G236" s="2">
        <v>22.4</v>
      </c>
      <c r="H236" s="1">
        <v>46166.637434837961</v>
      </c>
      <c r="I236" s="1">
        <v>46166.637435104167</v>
      </c>
      <c r="J236" t="s">
        <v>15</v>
      </c>
      <c r="K236" t="s">
        <v>16</v>
      </c>
      <c r="L236" s="1">
        <v>46166.637435150464</v>
      </c>
    </row>
    <row r="237" spans="1:12" x14ac:dyDescent="0.25">
      <c r="A237" t="s">
        <v>493</v>
      </c>
      <c r="B237" t="str">
        <f>resultado_db_usuario_5[[#This Row],[metodo]]&amp;" "&amp;SUBSTITUTE(resultado_db_usuario_5[[#This Row],[rota]],"/api/v1","")</f>
        <v>GET /pecas/</v>
      </c>
      <c r="C237" t="s">
        <v>12</v>
      </c>
      <c r="D237" t="s">
        <v>24</v>
      </c>
      <c r="E237" t="s">
        <v>25</v>
      </c>
      <c r="F237">
        <v>200</v>
      </c>
      <c r="G237" s="2">
        <v>12.46</v>
      </c>
      <c r="H237" s="1">
        <v>46166.637435694443</v>
      </c>
      <c r="I237" s="1">
        <v>46166.637435833334</v>
      </c>
      <c r="J237" t="s">
        <v>15</v>
      </c>
      <c r="K237" t="s">
        <v>16</v>
      </c>
      <c r="L237" s="1">
        <v>46166.637435868055</v>
      </c>
    </row>
    <row r="238" spans="1:12" x14ac:dyDescent="0.25">
      <c r="A238" t="s">
        <v>520</v>
      </c>
      <c r="B238" t="str">
        <f>resultado_db_usuario_5[[#This Row],[metodo]]&amp;" "&amp;SUBSTITUTE(resultado_db_usuario_5[[#This Row],[rota]],"/api/v1","")</f>
        <v>GET /pecas/</v>
      </c>
      <c r="C238" t="s">
        <v>12</v>
      </c>
      <c r="D238" t="s">
        <v>24</v>
      </c>
      <c r="E238" t="s">
        <v>25</v>
      </c>
      <c r="F238">
        <v>200</v>
      </c>
      <c r="G238" s="2">
        <v>6.15</v>
      </c>
      <c r="H238" s="1">
        <v>46166.637436944446</v>
      </c>
      <c r="I238" s="1">
        <v>46166.637437013887</v>
      </c>
      <c r="J238" t="s">
        <v>15</v>
      </c>
      <c r="K238" t="s">
        <v>16</v>
      </c>
      <c r="L238" s="1">
        <v>46166.637437037039</v>
      </c>
    </row>
    <row r="239" spans="1:12" x14ac:dyDescent="0.25">
      <c r="A239" t="s">
        <v>521</v>
      </c>
      <c r="B239" t="str">
        <f>resultado_db_usuario_5[[#This Row],[metodo]]&amp;" "&amp;SUBSTITUTE(resultado_db_usuario_5[[#This Row],[rota]],"/api/v1","")</f>
        <v>GET /pecas/</v>
      </c>
      <c r="C239" t="s">
        <v>12</v>
      </c>
      <c r="D239" t="s">
        <v>24</v>
      </c>
      <c r="E239" t="s">
        <v>25</v>
      </c>
      <c r="F239">
        <v>200</v>
      </c>
      <c r="G239" s="2">
        <v>5.56</v>
      </c>
      <c r="H239" s="1">
        <v>46166.637436979167</v>
      </c>
      <c r="I239" s="1">
        <v>46166.637437037039</v>
      </c>
      <c r="J239" t="s">
        <v>15</v>
      </c>
      <c r="K239" t="s">
        <v>16</v>
      </c>
      <c r="L239" s="1">
        <v>46166.63743707176</v>
      </c>
    </row>
    <row r="240" spans="1:12" x14ac:dyDescent="0.25">
      <c r="A240" t="s">
        <v>527</v>
      </c>
      <c r="B240" t="str">
        <f>resultado_db_usuario_5[[#This Row],[metodo]]&amp;" "&amp;SUBSTITUTE(resultado_db_usuario_5[[#This Row],[rota]],"/api/v1","")</f>
        <v>GET /pecas/</v>
      </c>
      <c r="C240" t="s">
        <v>12</v>
      </c>
      <c r="D240" t="s">
        <v>24</v>
      </c>
      <c r="E240" t="s">
        <v>25</v>
      </c>
      <c r="F240">
        <v>200</v>
      </c>
      <c r="G240" s="2">
        <v>5.97</v>
      </c>
      <c r="H240" s="1">
        <v>46166.637437118057</v>
      </c>
      <c r="I240" s="1">
        <v>46166.637437187499</v>
      </c>
      <c r="J240" t="s">
        <v>15</v>
      </c>
      <c r="K240" t="s">
        <v>16</v>
      </c>
      <c r="L240" s="1">
        <v>46166.637437210651</v>
      </c>
    </row>
    <row r="241" spans="1:12" x14ac:dyDescent="0.25">
      <c r="A241" t="s">
        <v>540</v>
      </c>
      <c r="B241" t="str">
        <f>resultado_db_usuario_5[[#This Row],[metodo]]&amp;" "&amp;SUBSTITUTE(resultado_db_usuario_5[[#This Row],[rota]],"/api/v1","")</f>
        <v>GET /pecas/</v>
      </c>
      <c r="C241" t="s">
        <v>12</v>
      </c>
      <c r="D241" t="s">
        <v>24</v>
      </c>
      <c r="E241" t="s">
        <v>25</v>
      </c>
      <c r="F241">
        <v>200</v>
      </c>
      <c r="G241" s="2">
        <v>5.71</v>
      </c>
      <c r="H241" s="1">
        <v>46166.637437662037</v>
      </c>
      <c r="I241" s="1">
        <v>46166.637437731479</v>
      </c>
      <c r="J241" t="s">
        <v>15</v>
      </c>
      <c r="K241" t="s">
        <v>16</v>
      </c>
      <c r="L241" s="1">
        <v>46166.637437754631</v>
      </c>
    </row>
    <row r="242" spans="1:12" x14ac:dyDescent="0.25">
      <c r="A242" t="s">
        <v>557</v>
      </c>
      <c r="B242" t="str">
        <f>resultado_db_usuario_5[[#This Row],[metodo]]&amp;" "&amp;SUBSTITUTE(resultado_db_usuario_5[[#This Row],[rota]],"/api/v1","")</f>
        <v>GET /pecas/</v>
      </c>
      <c r="C242" t="s">
        <v>12</v>
      </c>
      <c r="D242" t="s">
        <v>24</v>
      </c>
      <c r="E242" t="s">
        <v>25</v>
      </c>
      <c r="F242">
        <v>200</v>
      </c>
      <c r="G242" s="2">
        <v>3.55</v>
      </c>
      <c r="H242" s="1">
        <v>46166.63743884259</v>
      </c>
      <c r="I242" s="1">
        <v>46166.637438877318</v>
      </c>
      <c r="J242" t="s">
        <v>15</v>
      </c>
      <c r="K242" t="s">
        <v>16</v>
      </c>
      <c r="L242" s="1">
        <v>46166.637438900463</v>
      </c>
    </row>
    <row r="243" spans="1:12" x14ac:dyDescent="0.25">
      <c r="A243" t="s">
        <v>565</v>
      </c>
      <c r="B243" t="str">
        <f>resultado_db_usuario_5[[#This Row],[metodo]]&amp;" "&amp;SUBSTITUTE(resultado_db_usuario_5[[#This Row],[rota]],"/api/v1","")</f>
        <v>GET /pecas/</v>
      </c>
      <c r="C243" t="s">
        <v>12</v>
      </c>
      <c r="D243" t="s">
        <v>24</v>
      </c>
      <c r="E243" t="s">
        <v>25</v>
      </c>
      <c r="F243">
        <v>200</v>
      </c>
      <c r="G243" s="2">
        <v>7.99</v>
      </c>
      <c r="H243" s="1">
        <v>46166.637439108796</v>
      </c>
      <c r="I243" s="1">
        <v>46166.637439201389</v>
      </c>
      <c r="J243" t="s">
        <v>15</v>
      </c>
      <c r="K243" t="s">
        <v>16</v>
      </c>
      <c r="L243" s="1">
        <v>46166.63743923611</v>
      </c>
    </row>
    <row r="244" spans="1:12" x14ac:dyDescent="0.25">
      <c r="A244" t="s">
        <v>569</v>
      </c>
      <c r="B244" t="str">
        <f>resultado_db_usuario_5[[#This Row],[metodo]]&amp;" "&amp;SUBSTITUTE(resultado_db_usuario_5[[#This Row],[rota]],"/api/v1","")</f>
        <v>GET /pecas/</v>
      </c>
      <c r="C244" t="s">
        <v>12</v>
      </c>
      <c r="D244" t="s">
        <v>24</v>
      </c>
      <c r="E244" t="s">
        <v>25</v>
      </c>
      <c r="F244">
        <v>200</v>
      </c>
      <c r="G244" s="2">
        <v>20.18</v>
      </c>
      <c r="H244" s="1">
        <v>46166.637439305552</v>
      </c>
      <c r="I244" s="1">
        <v>46166.637439537037</v>
      </c>
      <c r="J244" t="s">
        <v>15</v>
      </c>
      <c r="K244" t="s">
        <v>16</v>
      </c>
      <c r="L244" s="1">
        <v>46166.637439571758</v>
      </c>
    </row>
    <row r="245" spans="1:12" x14ac:dyDescent="0.25">
      <c r="A245" t="s">
        <v>577</v>
      </c>
      <c r="B245" t="str">
        <f>resultado_db_usuario_5[[#This Row],[metodo]]&amp;" "&amp;SUBSTITUTE(resultado_db_usuario_5[[#This Row],[rota]],"/api/v1","")</f>
        <v>GET /pecas/</v>
      </c>
      <c r="C245" t="s">
        <v>12</v>
      </c>
      <c r="D245" t="s">
        <v>24</v>
      </c>
      <c r="E245" t="s">
        <v>25</v>
      </c>
      <c r="F245">
        <v>200</v>
      </c>
      <c r="G245" s="2">
        <v>4.18</v>
      </c>
      <c r="H245" s="1">
        <v>46166.637439895836</v>
      </c>
      <c r="I245" s="1">
        <v>46166.637439942133</v>
      </c>
      <c r="J245" t="s">
        <v>15</v>
      </c>
      <c r="K245" t="s">
        <v>16</v>
      </c>
      <c r="L245" s="1">
        <v>46166.637439976854</v>
      </c>
    </row>
    <row r="246" spans="1:12" x14ac:dyDescent="0.25">
      <c r="A246" t="s">
        <v>599</v>
      </c>
      <c r="B246" t="str">
        <f>resultado_db_usuario_5[[#This Row],[metodo]]&amp;" "&amp;SUBSTITUTE(resultado_db_usuario_5[[#This Row],[rota]],"/api/v1","")</f>
        <v>GET /pecas/</v>
      </c>
      <c r="C246" t="s">
        <v>12</v>
      </c>
      <c r="D246" t="s">
        <v>24</v>
      </c>
      <c r="E246" t="s">
        <v>25</v>
      </c>
      <c r="F246">
        <v>200</v>
      </c>
      <c r="G246" s="2">
        <v>5.73</v>
      </c>
      <c r="H246" s="1">
        <v>46166.637441006947</v>
      </c>
      <c r="I246" s="1">
        <v>46166.637441076389</v>
      </c>
      <c r="J246" t="s">
        <v>15</v>
      </c>
      <c r="K246" t="s">
        <v>16</v>
      </c>
      <c r="L246" s="1">
        <v>46166.637441122686</v>
      </c>
    </row>
    <row r="247" spans="1:12" x14ac:dyDescent="0.25">
      <c r="A247" t="s">
        <v>603</v>
      </c>
      <c r="B247" t="str">
        <f>resultado_db_usuario_5[[#This Row],[metodo]]&amp;" "&amp;SUBSTITUTE(resultado_db_usuario_5[[#This Row],[rota]],"/api/v1","")</f>
        <v>GET /pecas/</v>
      </c>
      <c r="C247" t="s">
        <v>12</v>
      </c>
      <c r="D247" t="s">
        <v>24</v>
      </c>
      <c r="E247" t="s">
        <v>25</v>
      </c>
      <c r="F247">
        <v>200</v>
      </c>
      <c r="G247" s="2">
        <v>4.54</v>
      </c>
      <c r="H247" s="1">
        <v>46166.63744121528</v>
      </c>
      <c r="I247" s="1">
        <v>46166.637441261577</v>
      </c>
      <c r="J247" t="s">
        <v>15</v>
      </c>
      <c r="K247" t="s">
        <v>16</v>
      </c>
      <c r="L247" s="1">
        <v>46166.637441296298</v>
      </c>
    </row>
    <row r="248" spans="1:12" x14ac:dyDescent="0.25">
      <c r="A248" t="s">
        <v>614</v>
      </c>
      <c r="B248" t="str">
        <f>resultado_db_usuario_5[[#This Row],[metodo]]&amp;" "&amp;SUBSTITUTE(resultado_db_usuario_5[[#This Row],[rota]],"/api/v1","")</f>
        <v>GET /pecas/</v>
      </c>
      <c r="C248" t="s">
        <v>12</v>
      </c>
      <c r="D248" t="s">
        <v>24</v>
      </c>
      <c r="E248" t="s">
        <v>25</v>
      </c>
      <c r="F248">
        <v>200</v>
      </c>
      <c r="G248" s="2">
        <v>3.62</v>
      </c>
      <c r="H248" s="1">
        <v>46166.637441909719</v>
      </c>
      <c r="I248" s="1">
        <v>46166.637441944447</v>
      </c>
      <c r="J248" t="s">
        <v>15</v>
      </c>
      <c r="K248" t="s">
        <v>16</v>
      </c>
      <c r="L248" s="1">
        <v>46166.637441979168</v>
      </c>
    </row>
    <row r="249" spans="1:12" x14ac:dyDescent="0.25">
      <c r="A249" t="s">
        <v>626</v>
      </c>
      <c r="B249" t="str">
        <f>resultado_db_usuario_5[[#This Row],[metodo]]&amp;" "&amp;SUBSTITUTE(resultado_db_usuario_5[[#This Row],[rota]],"/api/v1","")</f>
        <v>GET /pecas/</v>
      </c>
      <c r="C249" t="s">
        <v>12</v>
      </c>
      <c r="D249" t="s">
        <v>24</v>
      </c>
      <c r="E249" t="s">
        <v>25</v>
      </c>
      <c r="F249">
        <v>200</v>
      </c>
      <c r="G249" s="2">
        <v>4.72</v>
      </c>
      <c r="H249" s="1">
        <v>46166.637442650463</v>
      </c>
      <c r="I249" s="1">
        <v>46166.63744269676</v>
      </c>
      <c r="J249" t="s">
        <v>15</v>
      </c>
      <c r="K249" t="s">
        <v>16</v>
      </c>
      <c r="L249" s="1">
        <v>46166.63744273148</v>
      </c>
    </row>
    <row r="250" spans="1:12" x14ac:dyDescent="0.25">
      <c r="A250" t="s">
        <v>639</v>
      </c>
      <c r="B250" t="str">
        <f>resultado_db_usuario_5[[#This Row],[metodo]]&amp;" "&amp;SUBSTITUTE(resultado_db_usuario_5[[#This Row],[rota]],"/api/v1","")</f>
        <v>GET /pecas/</v>
      </c>
      <c r="C250" t="s">
        <v>12</v>
      </c>
      <c r="D250" t="s">
        <v>24</v>
      </c>
      <c r="E250" t="s">
        <v>25</v>
      </c>
      <c r="F250">
        <v>200</v>
      </c>
      <c r="G250" s="2">
        <v>3.88</v>
      </c>
      <c r="H250" s="1">
        <v>46166.637443553242</v>
      </c>
      <c r="I250" s="1">
        <v>46166.637443599539</v>
      </c>
      <c r="J250" t="s">
        <v>15</v>
      </c>
      <c r="K250" t="s">
        <v>16</v>
      </c>
      <c r="L250" s="1">
        <v>46166.637443634259</v>
      </c>
    </row>
    <row r="251" spans="1:12" x14ac:dyDescent="0.25">
      <c r="A251" t="s">
        <v>647</v>
      </c>
      <c r="B251" t="str">
        <f>resultado_db_usuario_5[[#This Row],[metodo]]&amp;" "&amp;SUBSTITUTE(resultado_db_usuario_5[[#This Row],[rota]],"/api/v1","")</f>
        <v>GET /pecas/</v>
      </c>
      <c r="C251" t="s">
        <v>12</v>
      </c>
      <c r="D251" t="s">
        <v>24</v>
      </c>
      <c r="E251" t="s">
        <v>25</v>
      </c>
      <c r="F251">
        <v>200</v>
      </c>
      <c r="G251" s="2">
        <v>3.22</v>
      </c>
      <c r="H251" s="1">
        <v>46166.6374440625</v>
      </c>
      <c r="I251" s="1">
        <v>46166.637444097221</v>
      </c>
      <c r="J251" t="s">
        <v>15</v>
      </c>
      <c r="K251" t="s">
        <v>16</v>
      </c>
      <c r="L251" s="1">
        <v>46166.637444120373</v>
      </c>
    </row>
    <row r="252" spans="1:12" x14ac:dyDescent="0.25">
      <c r="A252" t="s">
        <v>146</v>
      </c>
      <c r="B252" t="str">
        <f>resultado_db_usuario_5[[#This Row],[metodo]]&amp;" "&amp;SUBSTITUTE(resultado_db_usuario_5[[#This Row],[rota]],"/api/v1","")</f>
        <v>GET /pecas/:id</v>
      </c>
      <c r="C252" t="s">
        <v>12</v>
      </c>
      <c r="D252" t="s">
        <v>36</v>
      </c>
      <c r="E252" t="s">
        <v>37</v>
      </c>
      <c r="F252">
        <v>200</v>
      </c>
      <c r="G252" s="2">
        <v>3.39</v>
      </c>
      <c r="H252" s="1">
        <v>46166.637414571756</v>
      </c>
      <c r="I252" s="1">
        <v>46166.637414606485</v>
      </c>
      <c r="J252" t="s">
        <v>15</v>
      </c>
      <c r="K252" t="s">
        <v>16</v>
      </c>
      <c r="L252" s="1">
        <v>46166.637414629629</v>
      </c>
    </row>
    <row r="253" spans="1:12" x14ac:dyDescent="0.25">
      <c r="A253" t="s">
        <v>156</v>
      </c>
      <c r="B253" t="str">
        <f>resultado_db_usuario_5[[#This Row],[metodo]]&amp;" "&amp;SUBSTITUTE(resultado_db_usuario_5[[#This Row],[rota]],"/api/v1","")</f>
        <v>GET /pecas/:id</v>
      </c>
      <c r="C253" t="s">
        <v>12</v>
      </c>
      <c r="D253" t="s">
        <v>36</v>
      </c>
      <c r="E253" t="s">
        <v>37</v>
      </c>
      <c r="F253">
        <v>200</v>
      </c>
      <c r="G253" s="2">
        <v>2.75</v>
      </c>
      <c r="H253" s="1">
        <v>46166.637415659723</v>
      </c>
      <c r="I253" s="1">
        <v>46166.637415694444</v>
      </c>
      <c r="J253" t="s">
        <v>15</v>
      </c>
      <c r="K253" t="s">
        <v>16</v>
      </c>
      <c r="L253" s="1">
        <v>46166.637415729165</v>
      </c>
    </row>
    <row r="254" spans="1:12" x14ac:dyDescent="0.25">
      <c r="A254" t="s">
        <v>174</v>
      </c>
      <c r="B254" t="str">
        <f>resultado_db_usuario_5[[#This Row],[metodo]]&amp;" "&amp;SUBSTITUTE(resultado_db_usuario_5[[#This Row],[rota]],"/api/v1","")</f>
        <v>GET /pecas/:id</v>
      </c>
      <c r="C254" t="s">
        <v>12</v>
      </c>
      <c r="D254" t="s">
        <v>173</v>
      </c>
      <c r="E254" t="s">
        <v>37</v>
      </c>
      <c r="F254">
        <v>404</v>
      </c>
      <c r="G254" s="2">
        <v>2.76</v>
      </c>
      <c r="H254" s="1">
        <v>46166.637417210652</v>
      </c>
      <c r="I254" s="1">
        <v>46166.637417233796</v>
      </c>
      <c r="J254" t="s">
        <v>15</v>
      </c>
      <c r="K254" t="s">
        <v>16</v>
      </c>
      <c r="L254" s="1">
        <v>46166.637417268517</v>
      </c>
    </row>
    <row r="255" spans="1:12" x14ac:dyDescent="0.25">
      <c r="A255" t="s">
        <v>177</v>
      </c>
      <c r="B255" t="str">
        <f>resultado_db_usuario_5[[#This Row],[metodo]]&amp;" "&amp;SUBSTITUTE(resultado_db_usuario_5[[#This Row],[rota]],"/api/v1","")</f>
        <v>GET /pecas/:id</v>
      </c>
      <c r="C255" t="s">
        <v>12</v>
      </c>
      <c r="D255" t="s">
        <v>36</v>
      </c>
      <c r="E255" t="s">
        <v>37</v>
      </c>
      <c r="F255">
        <v>200</v>
      </c>
      <c r="G255" s="2">
        <v>2.95</v>
      </c>
      <c r="H255" s="1">
        <v>46166.637417361111</v>
      </c>
      <c r="I255" s="1">
        <v>46166.637417395832</v>
      </c>
      <c r="J255" t="s">
        <v>15</v>
      </c>
      <c r="K255" t="s">
        <v>16</v>
      </c>
      <c r="L255" s="1">
        <v>46166.637417430553</v>
      </c>
    </row>
    <row r="256" spans="1:12" x14ac:dyDescent="0.25">
      <c r="A256" t="s">
        <v>201</v>
      </c>
      <c r="B256" t="str">
        <f>resultado_db_usuario_5[[#This Row],[metodo]]&amp;" "&amp;SUBSTITUTE(resultado_db_usuario_5[[#This Row],[rota]],"/api/v1","")</f>
        <v>GET /pecas/:id</v>
      </c>
      <c r="C256" t="s">
        <v>12</v>
      </c>
      <c r="D256" t="s">
        <v>36</v>
      </c>
      <c r="E256" t="s">
        <v>37</v>
      </c>
      <c r="F256">
        <v>200</v>
      </c>
      <c r="G256" s="2" t="s">
        <v>134</v>
      </c>
      <c r="H256" s="1">
        <v>46166.637419282408</v>
      </c>
      <c r="I256" s="1">
        <v>46166.637419340281</v>
      </c>
      <c r="J256" t="s">
        <v>15</v>
      </c>
      <c r="K256" t="s">
        <v>16</v>
      </c>
      <c r="L256" s="1">
        <v>46166.637419375002</v>
      </c>
    </row>
    <row r="257" spans="1:12" x14ac:dyDescent="0.25">
      <c r="A257" t="s">
        <v>206</v>
      </c>
      <c r="B257" t="str">
        <f>resultado_db_usuario_5[[#This Row],[metodo]]&amp;" "&amp;SUBSTITUTE(resultado_db_usuario_5[[#This Row],[rota]],"/api/v1","")</f>
        <v>GET /pecas/:id</v>
      </c>
      <c r="C257" t="s">
        <v>12</v>
      </c>
      <c r="D257" t="s">
        <v>204</v>
      </c>
      <c r="E257" t="s">
        <v>37</v>
      </c>
      <c r="F257">
        <v>200</v>
      </c>
      <c r="G257" s="2">
        <v>3.84</v>
      </c>
      <c r="H257" s="1">
        <v>46166.637419432867</v>
      </c>
      <c r="I257" s="1">
        <v>46166.637419467595</v>
      </c>
      <c r="J257" t="s">
        <v>15</v>
      </c>
      <c r="K257" t="s">
        <v>16</v>
      </c>
      <c r="L257" s="1">
        <v>46166.637419502316</v>
      </c>
    </row>
    <row r="258" spans="1:12" x14ac:dyDescent="0.25">
      <c r="A258" t="s">
        <v>210</v>
      </c>
      <c r="B258" t="str">
        <f>resultado_db_usuario_5[[#This Row],[metodo]]&amp;" "&amp;SUBSTITUTE(resultado_db_usuario_5[[#This Row],[rota]],"/api/v1","")</f>
        <v>GET /pecas/:id</v>
      </c>
      <c r="C258" t="s">
        <v>12</v>
      </c>
      <c r="D258" t="s">
        <v>208</v>
      </c>
      <c r="E258" t="s">
        <v>37</v>
      </c>
      <c r="F258">
        <v>200</v>
      </c>
      <c r="G258" s="2">
        <v>5.57</v>
      </c>
      <c r="H258" s="1">
        <v>46166.637419652776</v>
      </c>
      <c r="I258" s="1">
        <v>46166.637419722225</v>
      </c>
      <c r="J258" t="s">
        <v>15</v>
      </c>
      <c r="K258" t="s">
        <v>16</v>
      </c>
      <c r="L258" s="1">
        <v>46166.63741974537</v>
      </c>
    </row>
    <row r="259" spans="1:12" x14ac:dyDescent="0.25">
      <c r="A259" t="s">
        <v>244</v>
      </c>
      <c r="B259" t="str">
        <f>resultado_db_usuario_5[[#This Row],[metodo]]&amp;" "&amp;SUBSTITUTE(resultado_db_usuario_5[[#This Row],[rota]],"/api/v1","")</f>
        <v>GET /pecas/:id</v>
      </c>
      <c r="C259" t="s">
        <v>12</v>
      </c>
      <c r="D259" t="s">
        <v>173</v>
      </c>
      <c r="E259" t="s">
        <v>37</v>
      </c>
      <c r="F259">
        <v>404</v>
      </c>
      <c r="G259" s="2">
        <v>8.74</v>
      </c>
      <c r="H259" s="1">
        <v>46166.637421527776</v>
      </c>
      <c r="I259" s="1">
        <v>46166.637421631945</v>
      </c>
      <c r="J259" t="s">
        <v>15</v>
      </c>
      <c r="K259" t="s">
        <v>16</v>
      </c>
      <c r="L259" s="1">
        <v>46166.637421666666</v>
      </c>
    </row>
    <row r="260" spans="1:12" x14ac:dyDescent="0.25">
      <c r="A260" t="s">
        <v>246</v>
      </c>
      <c r="B260" t="str">
        <f>resultado_db_usuario_5[[#This Row],[metodo]]&amp;" "&amp;SUBSTITUTE(resultado_db_usuario_5[[#This Row],[rota]],"/api/v1","")</f>
        <v>GET /pecas/:id</v>
      </c>
      <c r="C260" t="s">
        <v>12</v>
      </c>
      <c r="D260" t="s">
        <v>36</v>
      </c>
      <c r="E260" t="s">
        <v>37</v>
      </c>
      <c r="F260">
        <v>200</v>
      </c>
      <c r="G260" s="2">
        <v>5.13</v>
      </c>
      <c r="H260" s="1">
        <v>46166.637421689818</v>
      </c>
      <c r="I260" s="1">
        <v>46166.637421747684</v>
      </c>
      <c r="J260" t="s">
        <v>15</v>
      </c>
      <c r="K260" t="s">
        <v>16</v>
      </c>
      <c r="L260" s="1">
        <v>46166.637421782405</v>
      </c>
    </row>
    <row r="261" spans="1:12" x14ac:dyDescent="0.25">
      <c r="A261" t="s">
        <v>252</v>
      </c>
      <c r="B261" t="str">
        <f>resultado_db_usuario_5[[#This Row],[metodo]]&amp;" "&amp;SUBSTITUTE(resultado_db_usuario_5[[#This Row],[rota]],"/api/v1","")</f>
        <v>GET /pecas/:id</v>
      </c>
      <c r="C261" t="s">
        <v>12</v>
      </c>
      <c r="D261" t="s">
        <v>204</v>
      </c>
      <c r="E261" t="s">
        <v>37</v>
      </c>
      <c r="F261">
        <v>200</v>
      </c>
      <c r="G261" s="2">
        <v>17.11</v>
      </c>
      <c r="H261" s="1">
        <v>46166.637422002314</v>
      </c>
      <c r="I261" s="1">
        <v>46166.637422199077</v>
      </c>
      <c r="J261" t="s">
        <v>15</v>
      </c>
      <c r="K261" t="s">
        <v>16</v>
      </c>
      <c r="L261" s="1">
        <v>46166.637422233798</v>
      </c>
    </row>
    <row r="262" spans="1:12" x14ac:dyDescent="0.25">
      <c r="A262" t="s">
        <v>258</v>
      </c>
      <c r="B262" t="str">
        <f>resultado_db_usuario_5[[#This Row],[metodo]]&amp;" "&amp;SUBSTITUTE(resultado_db_usuario_5[[#This Row],[rota]],"/api/v1","")</f>
        <v>GET /pecas/:id</v>
      </c>
      <c r="C262" t="s">
        <v>12</v>
      </c>
      <c r="D262" t="s">
        <v>208</v>
      </c>
      <c r="E262" t="s">
        <v>37</v>
      </c>
      <c r="F262">
        <v>200</v>
      </c>
      <c r="G262" s="2">
        <v>9.09</v>
      </c>
      <c r="H262" s="1">
        <v>46166.637422557869</v>
      </c>
      <c r="I262" s="1">
        <v>46166.637422662039</v>
      </c>
      <c r="J262" t="s">
        <v>15</v>
      </c>
      <c r="K262" t="s">
        <v>16</v>
      </c>
      <c r="L262" s="1">
        <v>46166.637422685184</v>
      </c>
    </row>
    <row r="263" spans="1:12" x14ac:dyDescent="0.25">
      <c r="A263" t="s">
        <v>289</v>
      </c>
      <c r="B263" t="str">
        <f>resultado_db_usuario_5[[#This Row],[metodo]]&amp;" "&amp;SUBSTITUTE(resultado_db_usuario_5[[#This Row],[rota]],"/api/v1","")</f>
        <v>GET /pecas/:id</v>
      </c>
      <c r="C263" t="s">
        <v>12</v>
      </c>
      <c r="D263" t="s">
        <v>36</v>
      </c>
      <c r="E263" t="s">
        <v>37</v>
      </c>
      <c r="F263">
        <v>200</v>
      </c>
      <c r="G263" s="2">
        <v>5.16</v>
      </c>
      <c r="H263" s="1">
        <v>46166.637424282409</v>
      </c>
      <c r="I263" s="1">
        <v>46166.637424340275</v>
      </c>
      <c r="J263" t="s">
        <v>15</v>
      </c>
      <c r="K263" t="s">
        <v>16</v>
      </c>
      <c r="L263" s="1">
        <v>46166.637424375003</v>
      </c>
    </row>
    <row r="264" spans="1:12" x14ac:dyDescent="0.25">
      <c r="A264" t="s">
        <v>295</v>
      </c>
      <c r="B264" t="str">
        <f>resultado_db_usuario_5[[#This Row],[metodo]]&amp;" "&amp;SUBSTITUTE(resultado_db_usuario_5[[#This Row],[rota]],"/api/v1","")</f>
        <v>GET /pecas/:id</v>
      </c>
      <c r="C264" t="s">
        <v>12</v>
      </c>
      <c r="D264" t="s">
        <v>204</v>
      </c>
      <c r="E264" t="s">
        <v>37</v>
      </c>
      <c r="F264">
        <v>200</v>
      </c>
      <c r="G264" s="2">
        <v>5.45</v>
      </c>
      <c r="H264" s="1">
        <v>46166.637424525463</v>
      </c>
      <c r="I264" s="1">
        <v>46166.637424583336</v>
      </c>
      <c r="J264" t="s">
        <v>15</v>
      </c>
      <c r="K264" t="s">
        <v>16</v>
      </c>
      <c r="L264" s="1">
        <v>46166.637424618057</v>
      </c>
    </row>
    <row r="265" spans="1:12" x14ac:dyDescent="0.25">
      <c r="A265" t="s">
        <v>298</v>
      </c>
      <c r="B265" t="str">
        <f>resultado_db_usuario_5[[#This Row],[metodo]]&amp;" "&amp;SUBSTITUTE(resultado_db_usuario_5[[#This Row],[rota]],"/api/v1","")</f>
        <v>GET /pecas/:id</v>
      </c>
      <c r="C265" t="s">
        <v>12</v>
      </c>
      <c r="D265" t="s">
        <v>173</v>
      </c>
      <c r="E265" t="s">
        <v>37</v>
      </c>
      <c r="F265">
        <v>404</v>
      </c>
      <c r="G265" s="2">
        <v>9.3699999999999992</v>
      </c>
      <c r="H265" s="1">
        <v>46166.637424606481</v>
      </c>
      <c r="I265" s="1">
        <v>46166.637424722219</v>
      </c>
      <c r="J265" t="s">
        <v>15</v>
      </c>
      <c r="K265" t="s">
        <v>16</v>
      </c>
      <c r="L265" s="1">
        <v>46166.637424745371</v>
      </c>
    </row>
    <row r="266" spans="1:12" x14ac:dyDescent="0.25">
      <c r="A266" t="s">
        <v>301</v>
      </c>
      <c r="B266" t="str">
        <f>resultado_db_usuario_5[[#This Row],[metodo]]&amp;" "&amp;SUBSTITUTE(resultado_db_usuario_5[[#This Row],[rota]],"/api/v1","")</f>
        <v>GET /pecas/:id</v>
      </c>
      <c r="C266" t="s">
        <v>12</v>
      </c>
      <c r="D266" t="s">
        <v>208</v>
      </c>
      <c r="E266" t="s">
        <v>37</v>
      </c>
      <c r="F266">
        <v>200</v>
      </c>
      <c r="G266" s="2">
        <v>12.72</v>
      </c>
      <c r="H266" s="1">
        <v>46166.637424756947</v>
      </c>
      <c r="I266" s="1">
        <v>46166.637424907407</v>
      </c>
      <c r="J266" t="s">
        <v>15</v>
      </c>
      <c r="K266" t="s">
        <v>16</v>
      </c>
      <c r="L266" s="1">
        <v>46166.637424942128</v>
      </c>
    </row>
    <row r="267" spans="1:12" x14ac:dyDescent="0.25">
      <c r="A267" t="s">
        <v>309</v>
      </c>
      <c r="B267" t="str">
        <f>resultado_db_usuario_5[[#This Row],[metodo]]&amp;" "&amp;SUBSTITUTE(resultado_db_usuario_5[[#This Row],[rota]],"/api/v1","")</f>
        <v>GET /pecas/:id</v>
      </c>
      <c r="C267" t="s">
        <v>12</v>
      </c>
      <c r="D267" t="s">
        <v>305</v>
      </c>
      <c r="E267" t="s">
        <v>37</v>
      </c>
      <c r="F267">
        <v>200</v>
      </c>
      <c r="G267" s="2">
        <v>7.55</v>
      </c>
      <c r="H267" s="1">
        <v>46166.637425185188</v>
      </c>
      <c r="I267" s="1">
        <v>46166.637425277775</v>
      </c>
      <c r="J267" t="s">
        <v>15</v>
      </c>
      <c r="K267" t="s">
        <v>16</v>
      </c>
      <c r="L267" s="1">
        <v>46166.637425300927</v>
      </c>
    </row>
    <row r="268" spans="1:12" x14ac:dyDescent="0.25">
      <c r="A268" t="s">
        <v>344</v>
      </c>
      <c r="B268" t="str">
        <f>resultado_db_usuario_5[[#This Row],[metodo]]&amp;" "&amp;SUBSTITUTE(resultado_db_usuario_5[[#This Row],[rota]],"/api/v1","")</f>
        <v>GET /pecas/:id</v>
      </c>
      <c r="C268" t="s">
        <v>12</v>
      </c>
      <c r="D268" t="s">
        <v>36</v>
      </c>
      <c r="E268" t="s">
        <v>37</v>
      </c>
      <c r="F268">
        <v>200</v>
      </c>
      <c r="G268" s="2">
        <v>7.2</v>
      </c>
      <c r="H268" s="1">
        <v>46166.637426817128</v>
      </c>
      <c r="I268" s="1">
        <v>46166.637426898145</v>
      </c>
      <c r="J268" t="s">
        <v>15</v>
      </c>
      <c r="K268" t="s">
        <v>16</v>
      </c>
      <c r="L268" s="1">
        <v>46166.637426932873</v>
      </c>
    </row>
    <row r="269" spans="1:12" x14ac:dyDescent="0.25">
      <c r="A269" t="s">
        <v>347</v>
      </c>
      <c r="B269" t="str">
        <f>resultado_db_usuario_5[[#This Row],[metodo]]&amp;" "&amp;SUBSTITUTE(resultado_db_usuario_5[[#This Row],[rota]],"/api/v1","")</f>
        <v>GET /pecas/:id</v>
      </c>
      <c r="C269" t="s">
        <v>12</v>
      </c>
      <c r="D269" t="s">
        <v>204</v>
      </c>
      <c r="E269" t="s">
        <v>37</v>
      </c>
      <c r="F269">
        <v>200</v>
      </c>
      <c r="G269" s="2">
        <v>2.71</v>
      </c>
      <c r="H269" s="1">
        <v>46166.637426979163</v>
      </c>
      <c r="I269" s="1">
        <v>46166.637427013891</v>
      </c>
      <c r="J269" t="s">
        <v>15</v>
      </c>
      <c r="K269" t="s">
        <v>16</v>
      </c>
      <c r="L269" s="1">
        <v>46166.637427037036</v>
      </c>
    </row>
    <row r="270" spans="1:12" x14ac:dyDescent="0.25">
      <c r="A270" t="s">
        <v>350</v>
      </c>
      <c r="B270" t="str">
        <f>resultado_db_usuario_5[[#This Row],[metodo]]&amp;" "&amp;SUBSTITUTE(resultado_db_usuario_5[[#This Row],[rota]],"/api/v1","")</f>
        <v>GET /pecas/:id</v>
      </c>
      <c r="C270" t="s">
        <v>12</v>
      </c>
      <c r="D270" t="s">
        <v>208</v>
      </c>
      <c r="E270" t="s">
        <v>37</v>
      </c>
      <c r="F270">
        <v>200</v>
      </c>
      <c r="G270" s="2">
        <v>5.68</v>
      </c>
      <c r="H270" s="1">
        <v>46166.637427106485</v>
      </c>
      <c r="I270" s="1">
        <v>46166.637427164351</v>
      </c>
      <c r="J270" t="s">
        <v>15</v>
      </c>
      <c r="K270" t="s">
        <v>16</v>
      </c>
      <c r="L270" s="1">
        <v>46166.637427187503</v>
      </c>
    </row>
    <row r="271" spans="1:12" x14ac:dyDescent="0.25">
      <c r="A271" t="s">
        <v>351</v>
      </c>
      <c r="B271" t="str">
        <f>resultado_db_usuario_5[[#This Row],[metodo]]&amp;" "&amp;SUBSTITUTE(resultado_db_usuario_5[[#This Row],[rota]],"/api/v1","")</f>
        <v>GET /pecas/:id</v>
      </c>
      <c r="C271" t="s">
        <v>12</v>
      </c>
      <c r="D271" t="s">
        <v>173</v>
      </c>
      <c r="E271" t="s">
        <v>37</v>
      </c>
      <c r="F271">
        <v>404</v>
      </c>
      <c r="G271" s="2">
        <v>6.2</v>
      </c>
      <c r="H271" s="1">
        <v>46166.637427106485</v>
      </c>
      <c r="I271" s="1">
        <v>46166.637427187503</v>
      </c>
      <c r="J271" t="s">
        <v>15</v>
      </c>
      <c r="K271" t="s">
        <v>16</v>
      </c>
      <c r="L271" s="1">
        <v>46166.637427210648</v>
      </c>
    </row>
    <row r="272" spans="1:12" x14ac:dyDescent="0.25">
      <c r="A272" t="s">
        <v>364</v>
      </c>
      <c r="B272" t="str">
        <f>resultado_db_usuario_5[[#This Row],[metodo]]&amp;" "&amp;SUBSTITUTE(resultado_db_usuario_5[[#This Row],[rota]],"/api/v1","")</f>
        <v>GET /pecas/:id</v>
      </c>
      <c r="C272" t="s">
        <v>12</v>
      </c>
      <c r="D272" t="s">
        <v>305</v>
      </c>
      <c r="E272" t="s">
        <v>37</v>
      </c>
      <c r="F272">
        <v>200</v>
      </c>
      <c r="G272" s="2">
        <v>15.81</v>
      </c>
      <c r="H272" s="1">
        <v>46166.637428113427</v>
      </c>
      <c r="I272" s="1">
        <v>46166.637428298614</v>
      </c>
      <c r="J272" t="s">
        <v>15</v>
      </c>
      <c r="K272" t="s">
        <v>16</v>
      </c>
      <c r="L272" s="1">
        <v>46166.637428321759</v>
      </c>
    </row>
    <row r="273" spans="1:12" x14ac:dyDescent="0.25">
      <c r="A273" t="s">
        <v>397</v>
      </c>
      <c r="B273" t="str">
        <f>resultado_db_usuario_5[[#This Row],[metodo]]&amp;" "&amp;SUBSTITUTE(resultado_db_usuario_5[[#This Row],[rota]],"/api/v1","")</f>
        <v>GET /pecas/:id</v>
      </c>
      <c r="C273" t="s">
        <v>12</v>
      </c>
      <c r="D273" t="s">
        <v>36</v>
      </c>
      <c r="E273" t="s">
        <v>37</v>
      </c>
      <c r="F273">
        <v>200</v>
      </c>
      <c r="G273" s="2">
        <v>10.19</v>
      </c>
      <c r="H273" s="1">
        <v>46166.637429768518</v>
      </c>
      <c r="I273" s="1">
        <v>46166.637429884257</v>
      </c>
      <c r="J273" t="s">
        <v>15</v>
      </c>
      <c r="K273" t="s">
        <v>16</v>
      </c>
      <c r="L273" s="1">
        <v>46166.637429907409</v>
      </c>
    </row>
    <row r="274" spans="1:12" x14ac:dyDescent="0.25">
      <c r="A274" t="s">
        <v>399</v>
      </c>
      <c r="B274" t="str">
        <f>resultado_db_usuario_5[[#This Row],[metodo]]&amp;" "&amp;SUBSTITUTE(resultado_db_usuario_5[[#This Row],[rota]],"/api/v1","")</f>
        <v>GET /pecas/:id</v>
      </c>
      <c r="C274" t="s">
        <v>12</v>
      </c>
      <c r="D274" t="s">
        <v>204</v>
      </c>
      <c r="E274" t="s">
        <v>37</v>
      </c>
      <c r="F274">
        <v>200</v>
      </c>
      <c r="G274" s="2">
        <v>11.18</v>
      </c>
      <c r="H274" s="1">
        <v>46166.637429930553</v>
      </c>
      <c r="I274" s="1">
        <v>46166.637430057868</v>
      </c>
      <c r="J274" t="s">
        <v>15</v>
      </c>
      <c r="K274" t="s">
        <v>16</v>
      </c>
      <c r="L274" s="1">
        <v>46166.63743008102</v>
      </c>
    </row>
    <row r="275" spans="1:12" x14ac:dyDescent="0.25">
      <c r="A275" t="s">
        <v>403</v>
      </c>
      <c r="B275" t="str">
        <f>resultado_db_usuario_5[[#This Row],[metodo]]&amp;" "&amp;SUBSTITUTE(resultado_db_usuario_5[[#This Row],[rota]],"/api/v1","")</f>
        <v>GET /pecas/:id</v>
      </c>
      <c r="C275" t="s">
        <v>12</v>
      </c>
      <c r="D275" t="s">
        <v>173</v>
      </c>
      <c r="E275" t="s">
        <v>37</v>
      </c>
      <c r="F275">
        <v>404</v>
      </c>
      <c r="G275" s="2">
        <v>12.98</v>
      </c>
      <c r="H275" s="1">
        <v>46166.63743008102</v>
      </c>
      <c r="I275" s="1">
        <v>46166.637430219911</v>
      </c>
      <c r="J275" t="s">
        <v>15</v>
      </c>
      <c r="K275" t="s">
        <v>16</v>
      </c>
      <c r="L275" s="1">
        <v>46166.637430254632</v>
      </c>
    </row>
    <row r="276" spans="1:12" x14ac:dyDescent="0.25">
      <c r="A276" t="s">
        <v>405</v>
      </c>
      <c r="B276" t="str">
        <f>resultado_db_usuario_5[[#This Row],[metodo]]&amp;" "&amp;SUBSTITUTE(resultado_db_usuario_5[[#This Row],[rota]],"/api/v1","")</f>
        <v>GET /pecas/:id</v>
      </c>
      <c r="C276" t="s">
        <v>12</v>
      </c>
      <c r="D276" t="s">
        <v>208</v>
      </c>
      <c r="E276" t="s">
        <v>37</v>
      </c>
      <c r="F276">
        <v>200</v>
      </c>
      <c r="G276" s="2">
        <v>10.18</v>
      </c>
      <c r="H276" s="1">
        <v>46166.637430254632</v>
      </c>
      <c r="I276" s="1">
        <v>46166.637430370371</v>
      </c>
      <c r="J276" t="s">
        <v>15</v>
      </c>
      <c r="K276" t="s">
        <v>16</v>
      </c>
      <c r="L276" s="1">
        <v>46166.637430405091</v>
      </c>
    </row>
    <row r="277" spans="1:12" x14ac:dyDescent="0.25">
      <c r="A277" t="s">
        <v>414</v>
      </c>
      <c r="B277" t="str">
        <f>resultado_db_usuario_5[[#This Row],[metodo]]&amp;" "&amp;SUBSTITUTE(resultado_db_usuario_5[[#This Row],[rota]],"/api/v1","")</f>
        <v>GET /pecas/:id</v>
      </c>
      <c r="C277" t="s">
        <v>12</v>
      </c>
      <c r="D277" t="s">
        <v>305</v>
      </c>
      <c r="E277" t="s">
        <v>37</v>
      </c>
      <c r="F277">
        <v>200</v>
      </c>
      <c r="G277" s="2">
        <v>9.52</v>
      </c>
      <c r="H277" s="1">
        <v>46166.637431145835</v>
      </c>
      <c r="I277" s="1">
        <v>46166.637431249997</v>
      </c>
      <c r="J277" t="s">
        <v>15</v>
      </c>
      <c r="K277" t="s">
        <v>16</v>
      </c>
      <c r="L277" s="1">
        <v>46166.63743127315</v>
      </c>
    </row>
    <row r="278" spans="1:12" x14ac:dyDescent="0.25">
      <c r="A278" t="s">
        <v>450</v>
      </c>
      <c r="B278" t="str">
        <f>resultado_db_usuario_5[[#This Row],[metodo]]&amp;" "&amp;SUBSTITUTE(resultado_db_usuario_5[[#This Row],[rota]],"/api/v1","")</f>
        <v>GET /pecas/:id</v>
      </c>
      <c r="C278" t="s">
        <v>12</v>
      </c>
      <c r="D278" t="s">
        <v>36</v>
      </c>
      <c r="E278" t="s">
        <v>37</v>
      </c>
      <c r="F278">
        <v>200</v>
      </c>
      <c r="G278" s="2">
        <v>7.71</v>
      </c>
      <c r="H278" s="1">
        <v>46166.637432569441</v>
      </c>
      <c r="I278" s="1">
        <v>46166.637432662035</v>
      </c>
      <c r="J278" t="s">
        <v>15</v>
      </c>
      <c r="K278" t="s">
        <v>16</v>
      </c>
      <c r="L278" s="1">
        <v>46166.637432696756</v>
      </c>
    </row>
    <row r="279" spans="1:12" x14ac:dyDescent="0.25">
      <c r="A279" t="s">
        <v>452</v>
      </c>
      <c r="B279" t="str">
        <f>resultado_db_usuario_5[[#This Row],[metodo]]&amp;" "&amp;SUBSTITUTE(resultado_db_usuario_5[[#This Row],[rota]],"/api/v1","")</f>
        <v>GET /pecas/:id</v>
      </c>
      <c r="C279" t="s">
        <v>12</v>
      </c>
      <c r="D279" t="s">
        <v>173</v>
      </c>
      <c r="E279" t="s">
        <v>37</v>
      </c>
      <c r="F279">
        <v>404</v>
      </c>
      <c r="G279" s="2">
        <v>7.97</v>
      </c>
      <c r="H279" s="1">
        <v>46166.637432673611</v>
      </c>
      <c r="I279" s="1">
        <v>46166.637432766205</v>
      </c>
      <c r="J279" t="s">
        <v>15</v>
      </c>
      <c r="K279" t="s">
        <v>16</v>
      </c>
      <c r="L279" s="1">
        <v>46166.637432800926</v>
      </c>
    </row>
    <row r="280" spans="1:12" x14ac:dyDescent="0.25">
      <c r="A280" t="s">
        <v>453</v>
      </c>
      <c r="B280" t="str">
        <f>resultado_db_usuario_5[[#This Row],[metodo]]&amp;" "&amp;SUBSTITUTE(resultado_db_usuario_5[[#This Row],[rota]],"/api/v1","")</f>
        <v>GET /pecas/:id</v>
      </c>
      <c r="C280" t="s">
        <v>12</v>
      </c>
      <c r="D280" t="s">
        <v>173</v>
      </c>
      <c r="E280" t="s">
        <v>37</v>
      </c>
      <c r="F280">
        <v>404</v>
      </c>
      <c r="G280" s="2">
        <v>6.75</v>
      </c>
      <c r="H280" s="1">
        <v>46166.637432731484</v>
      </c>
      <c r="I280" s="1">
        <v>46166.637432812502</v>
      </c>
      <c r="J280" t="s">
        <v>15</v>
      </c>
      <c r="K280" t="s">
        <v>16</v>
      </c>
      <c r="L280" s="1">
        <v>46166.637432847223</v>
      </c>
    </row>
    <row r="281" spans="1:12" x14ac:dyDescent="0.25">
      <c r="A281" t="s">
        <v>455</v>
      </c>
      <c r="B281" t="str">
        <f>resultado_db_usuario_5[[#This Row],[metodo]]&amp;" "&amp;SUBSTITUTE(resultado_db_usuario_5[[#This Row],[rota]],"/api/v1","")</f>
        <v>GET /pecas/:id</v>
      </c>
      <c r="C281" t="s">
        <v>12</v>
      </c>
      <c r="D281" t="s">
        <v>204</v>
      </c>
      <c r="E281" t="s">
        <v>37</v>
      </c>
      <c r="F281">
        <v>200</v>
      </c>
      <c r="G281" s="2">
        <v>9.89</v>
      </c>
      <c r="H281" s="1">
        <v>46166.637432800926</v>
      </c>
      <c r="I281" s="1">
        <v>46166.637432905096</v>
      </c>
      <c r="J281" t="s">
        <v>15</v>
      </c>
      <c r="K281" t="s">
        <v>16</v>
      </c>
      <c r="L281" s="1">
        <v>46166.637432939817</v>
      </c>
    </row>
    <row r="282" spans="1:12" x14ac:dyDescent="0.25">
      <c r="A282" t="s">
        <v>467</v>
      </c>
      <c r="B282" t="str">
        <f>resultado_db_usuario_5[[#This Row],[metodo]]&amp;" "&amp;SUBSTITUTE(resultado_db_usuario_5[[#This Row],[rota]],"/api/v1","")</f>
        <v>GET /pecas/:id</v>
      </c>
      <c r="C282" t="s">
        <v>12</v>
      </c>
      <c r="D282" t="s">
        <v>208</v>
      </c>
      <c r="E282" t="s">
        <v>37</v>
      </c>
      <c r="F282">
        <v>200</v>
      </c>
      <c r="G282" s="2">
        <v>15.83</v>
      </c>
      <c r="H282" s="1">
        <v>46166.637433888885</v>
      </c>
      <c r="I282" s="1">
        <v>46166.637434074073</v>
      </c>
      <c r="J282" t="s">
        <v>15</v>
      </c>
      <c r="K282" t="s">
        <v>16</v>
      </c>
      <c r="L282" s="1">
        <v>46166.637434108794</v>
      </c>
    </row>
    <row r="283" spans="1:12" x14ac:dyDescent="0.25">
      <c r="A283" t="s">
        <v>498</v>
      </c>
      <c r="B283" t="str">
        <f>resultado_db_usuario_5[[#This Row],[metodo]]&amp;" "&amp;SUBSTITUTE(resultado_db_usuario_5[[#This Row],[rota]],"/api/v1","")</f>
        <v>GET /pecas/:id</v>
      </c>
      <c r="C283" t="s">
        <v>12</v>
      </c>
      <c r="D283" t="s">
        <v>173</v>
      </c>
      <c r="E283" t="s">
        <v>37</v>
      </c>
      <c r="F283">
        <v>404</v>
      </c>
      <c r="G283" s="2">
        <v>4.88</v>
      </c>
      <c r="H283" s="1">
        <v>46166.637435937497</v>
      </c>
      <c r="I283" s="1">
        <v>46166.63743599537</v>
      </c>
      <c r="J283" t="s">
        <v>15</v>
      </c>
      <c r="K283" t="s">
        <v>16</v>
      </c>
      <c r="L283" s="1">
        <v>46166.637436018522</v>
      </c>
    </row>
    <row r="284" spans="1:12" x14ac:dyDescent="0.25">
      <c r="A284" t="s">
        <v>500</v>
      </c>
      <c r="B284" t="str">
        <f>resultado_db_usuario_5[[#This Row],[metodo]]&amp;" "&amp;SUBSTITUTE(resultado_db_usuario_5[[#This Row],[rota]],"/api/v1","")</f>
        <v>GET /pecas/:id</v>
      </c>
      <c r="C284" t="s">
        <v>12</v>
      </c>
      <c r="D284" t="s">
        <v>173</v>
      </c>
      <c r="E284" t="s">
        <v>37</v>
      </c>
      <c r="F284">
        <v>404</v>
      </c>
      <c r="G284" s="2">
        <v>5.58</v>
      </c>
      <c r="H284" s="1">
        <v>46166.637435983794</v>
      </c>
      <c r="I284" s="1">
        <v>46166.637436053243</v>
      </c>
      <c r="J284" t="s">
        <v>15</v>
      </c>
      <c r="K284" t="s">
        <v>16</v>
      </c>
      <c r="L284" s="1">
        <v>46166.637436076388</v>
      </c>
    </row>
    <row r="285" spans="1:12" x14ac:dyDescent="0.25">
      <c r="A285" t="s">
        <v>503</v>
      </c>
      <c r="B285" t="str">
        <f>resultado_db_usuario_5[[#This Row],[metodo]]&amp;" "&amp;SUBSTITUTE(resultado_db_usuario_5[[#This Row],[rota]],"/api/v1","")</f>
        <v>GET /pecas/:id</v>
      </c>
      <c r="C285" t="s">
        <v>12</v>
      </c>
      <c r="D285" t="s">
        <v>36</v>
      </c>
      <c r="E285" t="s">
        <v>37</v>
      </c>
      <c r="F285">
        <v>200</v>
      </c>
      <c r="G285" s="2">
        <v>5.38</v>
      </c>
      <c r="H285" s="1">
        <v>46166.637436087964</v>
      </c>
      <c r="I285" s="1">
        <v>46166.637436157405</v>
      </c>
      <c r="J285" t="s">
        <v>15</v>
      </c>
      <c r="K285" t="s">
        <v>16</v>
      </c>
      <c r="L285" s="1">
        <v>46166.637436180557</v>
      </c>
    </row>
    <row r="286" spans="1:12" x14ac:dyDescent="0.25">
      <c r="A286" t="s">
        <v>508</v>
      </c>
      <c r="B286" t="str">
        <f>resultado_db_usuario_5[[#This Row],[metodo]]&amp;" "&amp;SUBSTITUTE(resultado_db_usuario_5[[#This Row],[rota]],"/api/v1","")</f>
        <v>GET /pecas/:id</v>
      </c>
      <c r="C286" t="s">
        <v>12</v>
      </c>
      <c r="D286" t="s">
        <v>204</v>
      </c>
      <c r="E286" t="s">
        <v>37</v>
      </c>
      <c r="F286">
        <v>200</v>
      </c>
      <c r="G286" s="2">
        <v>11.8</v>
      </c>
      <c r="H286" s="1">
        <v>46166.63743628472</v>
      </c>
      <c r="I286" s="1">
        <v>46166.637436423611</v>
      </c>
      <c r="J286" t="s">
        <v>15</v>
      </c>
      <c r="K286" t="s">
        <v>16</v>
      </c>
      <c r="L286" s="1">
        <v>46166.637436446763</v>
      </c>
    </row>
    <row r="287" spans="1:12" x14ac:dyDescent="0.25">
      <c r="A287" t="s">
        <v>519</v>
      </c>
      <c r="B287" t="str">
        <f>resultado_db_usuario_5[[#This Row],[metodo]]&amp;" "&amp;SUBSTITUTE(resultado_db_usuario_5[[#This Row],[rota]],"/api/v1","")</f>
        <v>GET /pecas/:id</v>
      </c>
      <c r="C287" t="s">
        <v>12</v>
      </c>
      <c r="D287" t="s">
        <v>208</v>
      </c>
      <c r="E287" t="s">
        <v>37</v>
      </c>
      <c r="F287">
        <v>200</v>
      </c>
      <c r="G287" s="2">
        <v>5.07</v>
      </c>
      <c r="H287" s="1">
        <v>46166.63743693287</v>
      </c>
      <c r="I287" s="1">
        <v>46166.637436990743</v>
      </c>
      <c r="J287" t="s">
        <v>15</v>
      </c>
      <c r="K287" t="s">
        <v>16</v>
      </c>
      <c r="L287" s="1">
        <v>46166.637437013887</v>
      </c>
    </row>
    <row r="288" spans="1:12" x14ac:dyDescent="0.25">
      <c r="A288" t="s">
        <v>539</v>
      </c>
      <c r="B288" t="str">
        <f>resultado_db_usuario_5[[#This Row],[metodo]]&amp;" "&amp;SUBSTITUTE(resultado_db_usuario_5[[#This Row],[rota]],"/api/v1","")</f>
        <v>GET /pecas/:id</v>
      </c>
      <c r="C288" t="s">
        <v>12</v>
      </c>
      <c r="D288" t="s">
        <v>173</v>
      </c>
      <c r="E288" t="s">
        <v>37</v>
      </c>
      <c r="F288">
        <v>404</v>
      </c>
      <c r="G288" s="2">
        <v>2.91</v>
      </c>
      <c r="H288" s="1">
        <v>46166.637437662037</v>
      </c>
      <c r="I288" s="1">
        <v>46166.637437696758</v>
      </c>
      <c r="J288" t="s">
        <v>15</v>
      </c>
      <c r="K288" t="s">
        <v>16</v>
      </c>
      <c r="L288" s="1">
        <v>46166.637437731479</v>
      </c>
    </row>
    <row r="289" spans="1:12" x14ac:dyDescent="0.25">
      <c r="A289" t="s">
        <v>544</v>
      </c>
      <c r="B289" t="str">
        <f>resultado_db_usuario_5[[#This Row],[metodo]]&amp;" "&amp;SUBSTITUTE(resultado_db_usuario_5[[#This Row],[rota]],"/api/v1","")</f>
        <v>GET /pecas/:id</v>
      </c>
      <c r="C289" t="s">
        <v>12</v>
      </c>
      <c r="D289" t="s">
        <v>36</v>
      </c>
      <c r="E289" t="s">
        <v>37</v>
      </c>
      <c r="F289">
        <v>200</v>
      </c>
      <c r="G289" s="2">
        <v>7.38</v>
      </c>
      <c r="H289" s="1">
        <v>46166.637437800928</v>
      </c>
      <c r="I289" s="1">
        <v>46166.637437881946</v>
      </c>
      <c r="J289" t="s">
        <v>15</v>
      </c>
      <c r="K289" t="s">
        <v>16</v>
      </c>
      <c r="L289" s="1">
        <v>46166.63743790509</v>
      </c>
    </row>
    <row r="290" spans="1:12" x14ac:dyDescent="0.25">
      <c r="A290" t="s">
        <v>547</v>
      </c>
      <c r="B290" t="str">
        <f>resultado_db_usuario_5[[#This Row],[metodo]]&amp;" "&amp;SUBSTITUTE(resultado_db_usuario_5[[#This Row],[rota]],"/api/v1","")</f>
        <v>GET /pecas/:id</v>
      </c>
      <c r="C290" t="s">
        <v>12</v>
      </c>
      <c r="D290" t="s">
        <v>204</v>
      </c>
      <c r="E290" t="s">
        <v>37</v>
      </c>
      <c r="F290">
        <v>200</v>
      </c>
      <c r="G290" s="2">
        <v>8.18</v>
      </c>
      <c r="H290" s="1">
        <v>46166.637437939811</v>
      </c>
      <c r="I290" s="1">
        <v>46166.637438043981</v>
      </c>
      <c r="J290" t="s">
        <v>15</v>
      </c>
      <c r="K290" t="s">
        <v>16</v>
      </c>
      <c r="L290" s="1">
        <v>46166.637438067133</v>
      </c>
    </row>
    <row r="291" spans="1:12" x14ac:dyDescent="0.25">
      <c r="A291" t="s">
        <v>559</v>
      </c>
      <c r="B291" t="str">
        <f>resultado_db_usuario_5[[#This Row],[metodo]]&amp;" "&amp;SUBSTITUTE(resultado_db_usuario_5[[#This Row],[rota]],"/api/v1","")</f>
        <v>GET /pecas/:id</v>
      </c>
      <c r="C291" t="s">
        <v>12</v>
      </c>
      <c r="D291" t="s">
        <v>208</v>
      </c>
      <c r="E291" t="s">
        <v>37</v>
      </c>
      <c r="F291">
        <v>200</v>
      </c>
      <c r="G291" s="2">
        <v>3.4</v>
      </c>
      <c r="H291" s="1">
        <v>46166.637438969905</v>
      </c>
      <c r="I291" s="1">
        <v>46166.637439016202</v>
      </c>
      <c r="J291" t="s">
        <v>15</v>
      </c>
      <c r="K291" t="s">
        <v>16</v>
      </c>
      <c r="L291" s="1">
        <v>46166.637439039354</v>
      </c>
    </row>
    <row r="292" spans="1:12" x14ac:dyDescent="0.25">
      <c r="A292" t="s">
        <v>580</v>
      </c>
      <c r="B292" t="str">
        <f>resultado_db_usuario_5[[#This Row],[metodo]]&amp;" "&amp;SUBSTITUTE(resultado_db_usuario_5[[#This Row],[rota]],"/api/v1","")</f>
        <v>GET /pecas/:id</v>
      </c>
      <c r="C292" t="s">
        <v>12</v>
      </c>
      <c r="D292" t="s">
        <v>36</v>
      </c>
      <c r="E292" t="s">
        <v>37</v>
      </c>
      <c r="F292">
        <v>200</v>
      </c>
      <c r="G292" s="2">
        <v>5.04</v>
      </c>
      <c r="H292" s="1">
        <v>46166.637440023151</v>
      </c>
      <c r="I292" s="1">
        <v>46166.637440081016</v>
      </c>
      <c r="J292" t="s">
        <v>15</v>
      </c>
      <c r="K292" t="s">
        <v>16</v>
      </c>
      <c r="L292" s="1">
        <v>46166.637440115737</v>
      </c>
    </row>
    <row r="293" spans="1:12" x14ac:dyDescent="0.25">
      <c r="A293" t="s">
        <v>584</v>
      </c>
      <c r="B293" t="str">
        <f>resultado_db_usuario_5[[#This Row],[metodo]]&amp;" "&amp;SUBSTITUTE(resultado_db_usuario_5[[#This Row],[rota]],"/api/v1","")</f>
        <v>GET /pecas/:id</v>
      </c>
      <c r="C293" t="s">
        <v>12</v>
      </c>
      <c r="D293" t="s">
        <v>204</v>
      </c>
      <c r="E293" t="s">
        <v>37</v>
      </c>
      <c r="F293">
        <v>200</v>
      </c>
      <c r="G293" s="2">
        <v>5.01</v>
      </c>
      <c r="H293" s="1">
        <v>46166.637440185186</v>
      </c>
      <c r="I293" s="1">
        <v>46166.637440243052</v>
      </c>
      <c r="J293" t="s">
        <v>15</v>
      </c>
      <c r="K293" t="s">
        <v>16</v>
      </c>
      <c r="L293" s="1">
        <v>46166.63744027778</v>
      </c>
    </row>
    <row r="294" spans="1:12" x14ac:dyDescent="0.25">
      <c r="A294" t="s">
        <v>589</v>
      </c>
      <c r="B294" t="str">
        <f>resultado_db_usuario_5[[#This Row],[metodo]]&amp;" "&amp;SUBSTITUTE(resultado_db_usuario_5[[#This Row],[rota]],"/api/v1","")</f>
        <v>GET /pecas/:id</v>
      </c>
      <c r="C294" t="s">
        <v>12</v>
      </c>
      <c r="D294" t="s">
        <v>208</v>
      </c>
      <c r="E294" t="s">
        <v>37</v>
      </c>
      <c r="F294">
        <v>200</v>
      </c>
      <c r="G294" s="2">
        <v>13.08</v>
      </c>
      <c r="H294" s="1">
        <v>46166.637440393519</v>
      </c>
      <c r="I294" s="1">
        <v>46166.637440543978</v>
      </c>
      <c r="J294" t="s">
        <v>15</v>
      </c>
      <c r="K294" t="s">
        <v>16</v>
      </c>
      <c r="L294" s="1">
        <v>46166.63744056713</v>
      </c>
    </row>
    <row r="295" spans="1:12" x14ac:dyDescent="0.25">
      <c r="A295" t="s">
        <v>601</v>
      </c>
      <c r="B295" t="str">
        <f>resultado_db_usuario_5[[#This Row],[metodo]]&amp;" "&amp;SUBSTITUTE(resultado_db_usuario_5[[#This Row],[rota]],"/api/v1","")</f>
        <v>GET /pecas/:id</v>
      </c>
      <c r="C295" t="s">
        <v>12</v>
      </c>
      <c r="D295" t="s">
        <v>305</v>
      </c>
      <c r="E295" t="s">
        <v>37</v>
      </c>
      <c r="F295">
        <v>200</v>
      </c>
      <c r="G295" s="2">
        <v>3.9</v>
      </c>
      <c r="H295" s="1">
        <v>46166.63744111111</v>
      </c>
      <c r="I295" s="1">
        <v>46166.637441157407</v>
      </c>
      <c r="J295" t="s">
        <v>15</v>
      </c>
      <c r="K295" t="s">
        <v>16</v>
      </c>
      <c r="L295" s="1">
        <v>46166.637441192128</v>
      </c>
    </row>
    <row r="296" spans="1:12" x14ac:dyDescent="0.25">
      <c r="A296" t="s">
        <v>615</v>
      </c>
      <c r="B296" t="str">
        <f>resultado_db_usuario_5[[#This Row],[metodo]]&amp;" "&amp;SUBSTITUTE(resultado_db_usuario_5[[#This Row],[rota]],"/api/v1","")</f>
        <v>GET /pecas/:id</v>
      </c>
      <c r="C296" t="s">
        <v>12</v>
      </c>
      <c r="D296" t="s">
        <v>36</v>
      </c>
      <c r="E296" t="s">
        <v>37</v>
      </c>
      <c r="F296">
        <v>200</v>
      </c>
      <c r="G296" s="2">
        <v>5.75</v>
      </c>
      <c r="H296" s="1">
        <v>46166.637441909719</v>
      </c>
      <c r="I296" s="1">
        <v>46166.637441979168</v>
      </c>
      <c r="J296" t="s">
        <v>15</v>
      </c>
      <c r="K296" t="s">
        <v>16</v>
      </c>
      <c r="L296" s="1">
        <v>46166.637442013889</v>
      </c>
    </row>
    <row r="297" spans="1:12" x14ac:dyDescent="0.25">
      <c r="A297" t="s">
        <v>619</v>
      </c>
      <c r="B297" t="str">
        <f>resultado_db_usuario_5[[#This Row],[metodo]]&amp;" "&amp;SUBSTITUTE(resultado_db_usuario_5[[#This Row],[rota]],"/api/v1","")</f>
        <v>GET /pecas/:id</v>
      </c>
      <c r="C297" t="s">
        <v>12</v>
      </c>
      <c r="D297" t="s">
        <v>204</v>
      </c>
      <c r="E297" t="s">
        <v>37</v>
      </c>
      <c r="F297">
        <v>200</v>
      </c>
      <c r="G297" s="2">
        <v>4.12</v>
      </c>
      <c r="H297" s="1">
        <v>46166.637442071762</v>
      </c>
      <c r="I297" s="1">
        <v>46166.637442118059</v>
      </c>
      <c r="J297" t="s">
        <v>15</v>
      </c>
      <c r="K297" t="s">
        <v>16</v>
      </c>
      <c r="L297" s="1">
        <v>46166.637442141204</v>
      </c>
    </row>
    <row r="298" spans="1:12" x14ac:dyDescent="0.25">
      <c r="A298" t="s">
        <v>630</v>
      </c>
      <c r="B298" t="str">
        <f>resultado_db_usuario_5[[#This Row],[metodo]]&amp;" "&amp;SUBSTITUTE(resultado_db_usuario_5[[#This Row],[rota]],"/api/v1","")</f>
        <v>GET /pecas/:id</v>
      </c>
      <c r="C298" t="s">
        <v>12</v>
      </c>
      <c r="D298" t="s">
        <v>36</v>
      </c>
      <c r="E298" t="s">
        <v>37</v>
      </c>
      <c r="F298">
        <v>200</v>
      </c>
      <c r="G298" s="2">
        <v>4.1500000000000004</v>
      </c>
      <c r="H298" s="1">
        <v>46166.637442766201</v>
      </c>
      <c r="I298" s="1">
        <v>46166.637442812498</v>
      </c>
      <c r="J298" t="s">
        <v>15</v>
      </c>
      <c r="K298" t="s">
        <v>16</v>
      </c>
      <c r="L298" s="1">
        <v>46166.637442847219</v>
      </c>
    </row>
    <row r="299" spans="1:12" x14ac:dyDescent="0.25">
      <c r="A299" t="s">
        <v>638</v>
      </c>
      <c r="B299" t="str">
        <f>resultado_db_usuario_5[[#This Row],[metodo]]&amp;" "&amp;SUBSTITUTE(resultado_db_usuario_5[[#This Row],[rota]],"/api/v1","")</f>
        <v>GET /pecas/:id</v>
      </c>
      <c r="C299" t="s">
        <v>12</v>
      </c>
      <c r="D299" t="s">
        <v>36</v>
      </c>
      <c r="E299" t="s">
        <v>37</v>
      </c>
      <c r="F299">
        <v>200</v>
      </c>
      <c r="G299" s="2">
        <v>3.03</v>
      </c>
      <c r="H299" s="1">
        <v>46166.637443541666</v>
      </c>
      <c r="I299" s="1">
        <v>46166.637443576386</v>
      </c>
      <c r="J299" t="s">
        <v>15</v>
      </c>
      <c r="K299" t="s">
        <v>16</v>
      </c>
      <c r="L299" s="1">
        <v>46166.637443599539</v>
      </c>
    </row>
    <row r="300" spans="1:12" x14ac:dyDescent="0.25">
      <c r="A300" t="s">
        <v>650</v>
      </c>
      <c r="B300" t="str">
        <f>resultado_db_usuario_5[[#This Row],[metodo]]&amp;" "&amp;SUBSTITUTE(resultado_db_usuario_5[[#This Row],[rota]],"/api/v1","")</f>
        <v>GET /pecas/:id</v>
      </c>
      <c r="C300" t="s">
        <v>12</v>
      </c>
      <c r="D300" t="s">
        <v>36</v>
      </c>
      <c r="E300" t="s">
        <v>37</v>
      </c>
      <c r="F300">
        <v>200</v>
      </c>
      <c r="G300" s="2">
        <v>3.05</v>
      </c>
      <c r="H300" s="1">
        <v>46166.637444131942</v>
      </c>
      <c r="I300" s="1">
        <v>46166.637444166663</v>
      </c>
      <c r="J300" t="s">
        <v>15</v>
      </c>
      <c r="K300" t="s">
        <v>16</v>
      </c>
      <c r="L300" s="1">
        <v>46166.637444189815</v>
      </c>
    </row>
    <row r="301" spans="1:12" x14ac:dyDescent="0.25">
      <c r="A301" t="s">
        <v>656</v>
      </c>
      <c r="B301" t="str">
        <f>resultado_db_usuario_5[[#This Row],[metodo]]&amp;" "&amp;SUBSTITUTE(resultado_db_usuario_5[[#This Row],[rota]],"/api/v1","")</f>
        <v>GET /pecas/:id</v>
      </c>
      <c r="C301" t="s">
        <v>12</v>
      </c>
      <c r="D301" t="s">
        <v>36</v>
      </c>
      <c r="E301" t="s">
        <v>37</v>
      </c>
      <c r="F301">
        <v>200</v>
      </c>
      <c r="G301" s="2">
        <v>3.26</v>
      </c>
      <c r="H301" s="1">
        <v>46166.637444467589</v>
      </c>
      <c r="I301" s="1">
        <v>46166.637444502318</v>
      </c>
      <c r="J301" t="s">
        <v>15</v>
      </c>
      <c r="K301" t="s">
        <v>16</v>
      </c>
      <c r="L301" s="1">
        <v>46166.637444525462</v>
      </c>
    </row>
    <row r="302" spans="1:12" x14ac:dyDescent="0.25">
      <c r="A302" t="s">
        <v>140</v>
      </c>
      <c r="B302" t="str">
        <f>resultado_db_usuario_5[[#This Row],[metodo]]&amp;" "&amp;SUBSTITUTE(resultado_db_usuario_5[[#This Row],[rota]],"/api/v1","")</f>
        <v>GET /relatorios/</v>
      </c>
      <c r="C302" t="s">
        <v>12</v>
      </c>
      <c r="D302" t="s">
        <v>27</v>
      </c>
      <c r="E302" t="s">
        <v>28</v>
      </c>
      <c r="F302">
        <v>200</v>
      </c>
      <c r="G302" s="2">
        <v>6.34</v>
      </c>
      <c r="H302" s="1">
        <v>46166.637414050929</v>
      </c>
      <c r="I302" s="1">
        <v>46166.637414120371</v>
      </c>
      <c r="J302" t="s">
        <v>15</v>
      </c>
      <c r="K302" t="s">
        <v>16</v>
      </c>
      <c r="L302" s="1">
        <v>46166.637414155091</v>
      </c>
    </row>
    <row r="303" spans="1:12" x14ac:dyDescent="0.25">
      <c r="A303" t="s">
        <v>152</v>
      </c>
      <c r="B303" t="str">
        <f>resultado_db_usuario_5[[#This Row],[metodo]]&amp;" "&amp;SUBSTITUTE(resultado_db_usuario_5[[#This Row],[rota]],"/api/v1","")</f>
        <v>GET /relatorios/</v>
      </c>
      <c r="C303" t="s">
        <v>12</v>
      </c>
      <c r="D303" t="s">
        <v>27</v>
      </c>
      <c r="E303" t="s">
        <v>28</v>
      </c>
      <c r="F303">
        <v>200</v>
      </c>
      <c r="G303" s="2">
        <v>4.5999999999999996</v>
      </c>
      <c r="H303" s="1">
        <v>46166.637415231482</v>
      </c>
      <c r="I303" s="1">
        <v>46166.637415277779</v>
      </c>
      <c r="J303" t="s">
        <v>15</v>
      </c>
      <c r="K303" t="s">
        <v>16</v>
      </c>
      <c r="L303" s="1">
        <v>46166.6374153125</v>
      </c>
    </row>
    <row r="304" spans="1:12" x14ac:dyDescent="0.25">
      <c r="A304" t="s">
        <v>165</v>
      </c>
      <c r="B304" t="str">
        <f>resultado_db_usuario_5[[#This Row],[metodo]]&amp;" "&amp;SUBSTITUTE(resultado_db_usuario_5[[#This Row],[rota]],"/api/v1","")</f>
        <v>GET /relatorios/</v>
      </c>
      <c r="C304" t="s">
        <v>12</v>
      </c>
      <c r="D304" t="s">
        <v>27</v>
      </c>
      <c r="E304" t="s">
        <v>28</v>
      </c>
      <c r="F304">
        <v>200</v>
      </c>
      <c r="G304" s="2">
        <v>5.42</v>
      </c>
      <c r="H304" s="1">
        <v>46166.637416585647</v>
      </c>
      <c r="I304" s="1">
        <v>46166.637416655096</v>
      </c>
      <c r="J304" t="s">
        <v>15</v>
      </c>
      <c r="K304" t="s">
        <v>16</v>
      </c>
      <c r="L304" s="1">
        <v>46166.637416678241</v>
      </c>
    </row>
    <row r="305" spans="1:12" x14ac:dyDescent="0.25">
      <c r="A305" t="s">
        <v>168</v>
      </c>
      <c r="B305" t="str">
        <f>resultado_db_usuario_5[[#This Row],[metodo]]&amp;" "&amp;SUBSTITUTE(resultado_db_usuario_5[[#This Row],[rota]],"/api/v1","")</f>
        <v>GET /relatorios/</v>
      </c>
      <c r="C305" t="s">
        <v>12</v>
      </c>
      <c r="D305" t="s">
        <v>27</v>
      </c>
      <c r="E305" t="s">
        <v>28</v>
      </c>
      <c r="F305">
        <v>200</v>
      </c>
      <c r="G305" s="2">
        <v>7.67</v>
      </c>
      <c r="H305" s="1">
        <v>46166.637416724538</v>
      </c>
      <c r="I305" s="1">
        <v>46166.637416817131</v>
      </c>
      <c r="J305" t="s">
        <v>15</v>
      </c>
      <c r="K305" t="s">
        <v>16</v>
      </c>
      <c r="L305" s="1">
        <v>46166.637416840276</v>
      </c>
    </row>
    <row r="306" spans="1:12" x14ac:dyDescent="0.25">
      <c r="A306" t="s">
        <v>185</v>
      </c>
      <c r="B306" t="str">
        <f>resultado_db_usuario_5[[#This Row],[metodo]]&amp;" "&amp;SUBSTITUTE(resultado_db_usuario_5[[#This Row],[rota]],"/api/v1","")</f>
        <v>GET /relatorios/</v>
      </c>
      <c r="C306" t="s">
        <v>12</v>
      </c>
      <c r="D306" t="s">
        <v>27</v>
      </c>
      <c r="E306" t="s">
        <v>28</v>
      </c>
      <c r="F306">
        <v>200</v>
      </c>
      <c r="G306" s="2">
        <v>14.71</v>
      </c>
      <c r="H306" s="1">
        <v>46166.637418275466</v>
      </c>
      <c r="I306" s="1">
        <v>46166.637418449071</v>
      </c>
      <c r="J306" t="s">
        <v>15</v>
      </c>
      <c r="K306" t="s">
        <v>16</v>
      </c>
      <c r="L306" s="1">
        <v>46166.637418483799</v>
      </c>
    </row>
    <row r="307" spans="1:12" x14ac:dyDescent="0.25">
      <c r="A307" t="s">
        <v>191</v>
      </c>
      <c r="B307" t="str">
        <f>resultado_db_usuario_5[[#This Row],[metodo]]&amp;" "&amp;SUBSTITUTE(resultado_db_usuario_5[[#This Row],[rota]],"/api/v1","")</f>
        <v>GET /relatorios/</v>
      </c>
      <c r="C307" t="s">
        <v>12</v>
      </c>
      <c r="D307" t="s">
        <v>27</v>
      </c>
      <c r="E307" t="s">
        <v>28</v>
      </c>
      <c r="F307">
        <v>200</v>
      </c>
      <c r="G307" s="2">
        <v>4.4400000000000004</v>
      </c>
      <c r="H307" s="1">
        <v>46166.637418854167</v>
      </c>
      <c r="I307" s="1">
        <v>46166.63741891204</v>
      </c>
      <c r="J307" t="s">
        <v>15</v>
      </c>
      <c r="K307" t="s">
        <v>16</v>
      </c>
      <c r="L307" s="1">
        <v>46166.637418935185</v>
      </c>
    </row>
    <row r="308" spans="1:12" x14ac:dyDescent="0.25">
      <c r="A308" t="s">
        <v>196</v>
      </c>
      <c r="B308" t="str">
        <f>resultado_db_usuario_5[[#This Row],[metodo]]&amp;" "&amp;SUBSTITUTE(resultado_db_usuario_5[[#This Row],[rota]],"/api/v1","")</f>
        <v>GET /relatorios/</v>
      </c>
      <c r="C308" t="s">
        <v>12</v>
      </c>
      <c r="D308" t="s">
        <v>27</v>
      </c>
      <c r="E308" t="s">
        <v>28</v>
      </c>
      <c r="F308">
        <v>200</v>
      </c>
      <c r="G308" s="2">
        <v>3.12</v>
      </c>
      <c r="H308" s="1">
        <v>46166.63741909722</v>
      </c>
      <c r="I308" s="1">
        <v>46166.637419131941</v>
      </c>
      <c r="J308" t="s">
        <v>15</v>
      </c>
      <c r="K308" t="s">
        <v>16</v>
      </c>
      <c r="L308" s="1">
        <v>46166.637419155093</v>
      </c>
    </row>
    <row r="309" spans="1:12" x14ac:dyDescent="0.25">
      <c r="A309" t="s">
        <v>225</v>
      </c>
      <c r="B309" t="str">
        <f>resultado_db_usuario_5[[#This Row],[metodo]]&amp;" "&amp;SUBSTITUTE(resultado_db_usuario_5[[#This Row],[rota]],"/api/v1","")</f>
        <v>GET /relatorios/</v>
      </c>
      <c r="C309" t="s">
        <v>12</v>
      </c>
      <c r="D309" t="s">
        <v>27</v>
      </c>
      <c r="E309" t="s">
        <v>28</v>
      </c>
      <c r="F309">
        <v>200</v>
      </c>
      <c r="G309" s="2">
        <v>13.21</v>
      </c>
      <c r="H309" s="1">
        <v>46166.63742068287</v>
      </c>
      <c r="I309" s="1">
        <v>46166.637420833336</v>
      </c>
      <c r="J309" t="s">
        <v>15</v>
      </c>
      <c r="K309" t="s">
        <v>16</v>
      </c>
      <c r="L309" s="1">
        <v>46166.637420868057</v>
      </c>
    </row>
    <row r="310" spans="1:12" x14ac:dyDescent="0.25">
      <c r="A310" t="s">
        <v>227</v>
      </c>
      <c r="B310" t="str">
        <f>resultado_db_usuario_5[[#This Row],[metodo]]&amp;" "&amp;SUBSTITUTE(resultado_db_usuario_5[[#This Row],[rota]],"/api/v1","")</f>
        <v>GET /relatorios/</v>
      </c>
      <c r="C310" t="s">
        <v>12</v>
      </c>
      <c r="D310" t="s">
        <v>27</v>
      </c>
      <c r="E310" t="s">
        <v>28</v>
      </c>
      <c r="F310">
        <v>200</v>
      </c>
      <c r="G310" s="2">
        <v>15.48</v>
      </c>
      <c r="H310" s="1">
        <v>46166.63742071759</v>
      </c>
      <c r="I310" s="1">
        <v>46166.637420891202</v>
      </c>
      <c r="J310" t="s">
        <v>15</v>
      </c>
      <c r="K310" t="s">
        <v>16</v>
      </c>
      <c r="L310" s="1">
        <v>46166.637420925923</v>
      </c>
    </row>
    <row r="311" spans="1:12" x14ac:dyDescent="0.25">
      <c r="A311" t="s">
        <v>232</v>
      </c>
      <c r="B311" t="str">
        <f>resultado_db_usuario_5[[#This Row],[metodo]]&amp;" "&amp;SUBSTITUTE(resultado_db_usuario_5[[#This Row],[rota]],"/api/v1","")</f>
        <v>GET /relatorios/</v>
      </c>
      <c r="C311" t="s">
        <v>12</v>
      </c>
      <c r="D311" t="s">
        <v>27</v>
      </c>
      <c r="E311" t="s">
        <v>28</v>
      </c>
      <c r="F311">
        <v>200</v>
      </c>
      <c r="G311" s="2">
        <v>4.55</v>
      </c>
      <c r="H311" s="1">
        <v>46166.637421111111</v>
      </c>
      <c r="I311" s="1">
        <v>46166.637421168984</v>
      </c>
      <c r="J311" t="s">
        <v>15</v>
      </c>
      <c r="K311" t="s">
        <v>16</v>
      </c>
      <c r="L311" s="1">
        <v>46166.637421192128</v>
      </c>
    </row>
    <row r="312" spans="1:12" x14ac:dyDescent="0.25">
      <c r="A312" t="s">
        <v>238</v>
      </c>
      <c r="B312" t="str">
        <f>resultado_db_usuario_5[[#This Row],[metodo]]&amp;" "&amp;SUBSTITUTE(resultado_db_usuario_5[[#This Row],[rota]],"/api/v1","")</f>
        <v>GET /relatorios/</v>
      </c>
      <c r="C312" t="s">
        <v>12</v>
      </c>
      <c r="D312" t="s">
        <v>27</v>
      </c>
      <c r="E312" t="s">
        <v>28</v>
      </c>
      <c r="F312">
        <v>200</v>
      </c>
      <c r="G312" s="2">
        <v>5.49</v>
      </c>
      <c r="H312" s="1">
        <v>46166.637421388892</v>
      </c>
      <c r="I312" s="1">
        <v>46166.637421446758</v>
      </c>
      <c r="J312" t="s">
        <v>15</v>
      </c>
      <c r="K312" t="s">
        <v>16</v>
      </c>
      <c r="L312" s="1">
        <v>46166.637421481479</v>
      </c>
    </row>
    <row r="313" spans="1:12" x14ac:dyDescent="0.25">
      <c r="A313" t="s">
        <v>266</v>
      </c>
      <c r="B313" t="str">
        <f>resultado_db_usuario_5[[#This Row],[metodo]]&amp;" "&amp;SUBSTITUTE(resultado_db_usuario_5[[#This Row],[rota]],"/api/v1","")</f>
        <v>GET /relatorios/</v>
      </c>
      <c r="C313" t="s">
        <v>12</v>
      </c>
      <c r="D313" t="s">
        <v>27</v>
      </c>
      <c r="E313" t="s">
        <v>28</v>
      </c>
      <c r="F313">
        <v>200</v>
      </c>
      <c r="G313" s="2">
        <v>12.93</v>
      </c>
      <c r="H313" s="1">
        <v>46166.637423125001</v>
      </c>
      <c r="I313" s="1">
        <v>46166.637423275461</v>
      </c>
      <c r="J313" t="s">
        <v>15</v>
      </c>
      <c r="K313" t="s">
        <v>16</v>
      </c>
      <c r="L313" s="1">
        <v>46166.637423298613</v>
      </c>
    </row>
    <row r="314" spans="1:12" x14ac:dyDescent="0.25">
      <c r="A314" t="s">
        <v>273</v>
      </c>
      <c r="B314" t="str">
        <f>resultado_db_usuario_5[[#This Row],[metodo]]&amp;" "&amp;SUBSTITUTE(resultado_db_usuario_5[[#This Row],[rota]],"/api/v1","")</f>
        <v>GET /relatorios/</v>
      </c>
      <c r="C314" t="s">
        <v>12</v>
      </c>
      <c r="D314" t="s">
        <v>27</v>
      </c>
      <c r="E314" t="s">
        <v>28</v>
      </c>
      <c r="F314">
        <v>200</v>
      </c>
      <c r="G314" s="2">
        <v>5.9</v>
      </c>
      <c r="H314" s="1">
        <v>46166.637423703702</v>
      </c>
      <c r="I314" s="1">
        <v>46166.637423773151</v>
      </c>
      <c r="J314" t="s">
        <v>15</v>
      </c>
      <c r="K314" t="s">
        <v>16</v>
      </c>
      <c r="L314" s="1">
        <v>46166.637423796295</v>
      </c>
    </row>
    <row r="315" spans="1:12" x14ac:dyDescent="0.25">
      <c r="A315" t="s">
        <v>279</v>
      </c>
      <c r="B315" t="str">
        <f>resultado_db_usuario_5[[#This Row],[metodo]]&amp;" "&amp;SUBSTITUTE(resultado_db_usuario_5[[#This Row],[rota]],"/api/v1","")</f>
        <v>GET /relatorios/</v>
      </c>
      <c r="C315" t="s">
        <v>12</v>
      </c>
      <c r="D315" t="s">
        <v>27</v>
      </c>
      <c r="E315" t="s">
        <v>28</v>
      </c>
      <c r="F315">
        <v>200</v>
      </c>
      <c r="G315" s="2">
        <v>7.62</v>
      </c>
      <c r="H315" s="1">
        <v>46166.637423854168</v>
      </c>
      <c r="I315" s="1">
        <v>46166.637423946762</v>
      </c>
      <c r="J315" t="s">
        <v>15</v>
      </c>
      <c r="K315" t="s">
        <v>16</v>
      </c>
      <c r="L315" s="1">
        <v>46166.637423969907</v>
      </c>
    </row>
    <row r="316" spans="1:12" x14ac:dyDescent="0.25">
      <c r="A316" t="s">
        <v>281</v>
      </c>
      <c r="B316" t="str">
        <f>resultado_db_usuario_5[[#This Row],[metodo]]&amp;" "&amp;SUBSTITUTE(resultado_db_usuario_5[[#This Row],[rota]],"/api/v1","")</f>
        <v>GET /relatorios/</v>
      </c>
      <c r="C316" t="s">
        <v>12</v>
      </c>
      <c r="D316" t="s">
        <v>27</v>
      </c>
      <c r="E316" t="s">
        <v>28</v>
      </c>
      <c r="F316">
        <v>200</v>
      </c>
      <c r="G316" s="2">
        <v>5.73</v>
      </c>
      <c r="H316" s="1">
        <v>46166.637423958331</v>
      </c>
      <c r="I316" s="1">
        <v>46166.63742402778</v>
      </c>
      <c r="J316" t="s">
        <v>15</v>
      </c>
      <c r="K316" t="s">
        <v>16</v>
      </c>
      <c r="L316" s="1">
        <v>46166.637424050925</v>
      </c>
    </row>
    <row r="317" spans="1:12" x14ac:dyDescent="0.25">
      <c r="A317" t="s">
        <v>285</v>
      </c>
      <c r="B317" t="str">
        <f>resultado_db_usuario_5[[#This Row],[metodo]]&amp;" "&amp;SUBSTITUTE(resultado_db_usuario_5[[#This Row],[rota]],"/api/v1","")</f>
        <v>GET /relatorios/</v>
      </c>
      <c r="C317" t="s">
        <v>12</v>
      </c>
      <c r="D317" t="s">
        <v>27</v>
      </c>
      <c r="E317" t="s">
        <v>28</v>
      </c>
      <c r="F317">
        <v>200</v>
      </c>
      <c r="G317" s="2">
        <v>6.3</v>
      </c>
      <c r="H317" s="1">
        <v>46166.637424108798</v>
      </c>
      <c r="I317" s="1">
        <v>46166.637424189816</v>
      </c>
      <c r="J317" t="s">
        <v>15</v>
      </c>
      <c r="K317" t="s">
        <v>16</v>
      </c>
      <c r="L317" s="1">
        <v>46166.63742421296</v>
      </c>
    </row>
    <row r="318" spans="1:12" x14ac:dyDescent="0.25">
      <c r="A318" t="s">
        <v>318</v>
      </c>
      <c r="B318" t="str">
        <f>resultado_db_usuario_5[[#This Row],[metodo]]&amp;" "&amp;SUBSTITUTE(resultado_db_usuario_5[[#This Row],[rota]],"/api/v1","")</f>
        <v>GET /relatorios/</v>
      </c>
      <c r="C318" t="s">
        <v>12</v>
      </c>
      <c r="D318" t="s">
        <v>27</v>
      </c>
      <c r="E318" t="s">
        <v>28</v>
      </c>
      <c r="F318">
        <v>200</v>
      </c>
      <c r="G318" s="2">
        <v>7.1</v>
      </c>
      <c r="H318" s="1">
        <v>46166.637425729168</v>
      </c>
      <c r="I318" s="1">
        <v>46166.637425810186</v>
      </c>
      <c r="J318" t="s">
        <v>15</v>
      </c>
      <c r="K318" t="s">
        <v>16</v>
      </c>
      <c r="L318" s="1">
        <v>46166.637425833331</v>
      </c>
    </row>
    <row r="319" spans="1:12" x14ac:dyDescent="0.25">
      <c r="A319" t="s">
        <v>327</v>
      </c>
      <c r="B319" t="str">
        <f>resultado_db_usuario_5[[#This Row],[metodo]]&amp;" "&amp;SUBSTITUTE(resultado_db_usuario_5[[#This Row],[rota]],"/api/v1","")</f>
        <v>GET /relatorios/</v>
      </c>
      <c r="C319" t="s">
        <v>12</v>
      </c>
      <c r="D319" t="s">
        <v>27</v>
      </c>
      <c r="E319" t="s">
        <v>28</v>
      </c>
      <c r="F319">
        <v>200</v>
      </c>
      <c r="G319" s="2">
        <v>9.36</v>
      </c>
      <c r="H319" s="1">
        <v>46166.637426006942</v>
      </c>
      <c r="I319" s="1">
        <v>46166.637426122688</v>
      </c>
      <c r="J319" t="s">
        <v>15</v>
      </c>
      <c r="K319" t="s">
        <v>16</v>
      </c>
      <c r="L319" s="1">
        <v>46166.637426145833</v>
      </c>
    </row>
    <row r="320" spans="1:12" x14ac:dyDescent="0.25">
      <c r="A320" t="s">
        <v>330</v>
      </c>
      <c r="B320" t="str">
        <f>resultado_db_usuario_5[[#This Row],[metodo]]&amp;" "&amp;SUBSTITUTE(resultado_db_usuario_5[[#This Row],[rota]],"/api/v1","")</f>
        <v>GET /relatorios/</v>
      </c>
      <c r="C320" t="s">
        <v>12</v>
      </c>
      <c r="D320" t="s">
        <v>27</v>
      </c>
      <c r="E320" t="s">
        <v>28</v>
      </c>
      <c r="F320">
        <v>200</v>
      </c>
      <c r="G320" s="2">
        <v>6.9</v>
      </c>
      <c r="H320" s="1">
        <v>46166.637426157409</v>
      </c>
      <c r="I320" s="1">
        <v>46166.637426226851</v>
      </c>
      <c r="J320" t="s">
        <v>15</v>
      </c>
      <c r="K320" t="s">
        <v>16</v>
      </c>
      <c r="L320" s="1">
        <v>46166.637426261572</v>
      </c>
    </row>
    <row r="321" spans="1:12" x14ac:dyDescent="0.25">
      <c r="A321" t="s">
        <v>332</v>
      </c>
      <c r="B321" t="str">
        <f>resultado_db_usuario_5[[#This Row],[metodo]]&amp;" "&amp;SUBSTITUTE(resultado_db_usuario_5[[#This Row],[rota]],"/api/v1","")</f>
        <v>GET /relatorios/</v>
      </c>
      <c r="C321" t="s">
        <v>12</v>
      </c>
      <c r="D321" t="s">
        <v>27</v>
      </c>
      <c r="E321" t="s">
        <v>28</v>
      </c>
      <c r="F321">
        <v>200</v>
      </c>
      <c r="G321" s="2">
        <v>7.16</v>
      </c>
      <c r="H321" s="1">
        <v>46166.637426250003</v>
      </c>
      <c r="I321" s="1">
        <v>46166.637426331021</v>
      </c>
      <c r="J321" t="s">
        <v>15</v>
      </c>
      <c r="K321" t="s">
        <v>16</v>
      </c>
      <c r="L321" s="1">
        <v>46166.637426365742</v>
      </c>
    </row>
    <row r="322" spans="1:12" x14ac:dyDescent="0.25">
      <c r="A322" t="s">
        <v>340</v>
      </c>
      <c r="B322" t="str">
        <f>resultado_db_usuario_5[[#This Row],[metodo]]&amp;" "&amp;SUBSTITUTE(resultado_db_usuario_5[[#This Row],[rota]],"/api/v1","")</f>
        <v>GET /relatorios/</v>
      </c>
      <c r="C322" t="s">
        <v>12</v>
      </c>
      <c r="D322" t="s">
        <v>27</v>
      </c>
      <c r="E322" t="s">
        <v>28</v>
      </c>
      <c r="F322">
        <v>200</v>
      </c>
      <c r="G322" s="2">
        <v>7.93</v>
      </c>
      <c r="H322" s="1">
        <v>46166.637426631947</v>
      </c>
      <c r="I322" s="1">
        <v>46166.637426724534</v>
      </c>
      <c r="J322" t="s">
        <v>15</v>
      </c>
      <c r="K322" t="s">
        <v>16</v>
      </c>
      <c r="L322" s="1">
        <v>46166.637426759262</v>
      </c>
    </row>
    <row r="323" spans="1:12" x14ac:dyDescent="0.25">
      <c r="A323" t="s">
        <v>370</v>
      </c>
      <c r="B323" t="str">
        <f>resultado_db_usuario_5[[#This Row],[metodo]]&amp;" "&amp;SUBSTITUTE(resultado_db_usuario_5[[#This Row],[rota]],"/api/v1","")</f>
        <v>GET /relatorios/</v>
      </c>
      <c r="C323" t="s">
        <v>12</v>
      </c>
      <c r="D323" t="s">
        <v>27</v>
      </c>
      <c r="E323" t="s">
        <v>28</v>
      </c>
      <c r="F323">
        <v>200</v>
      </c>
      <c r="G323" s="2">
        <v>10.1</v>
      </c>
      <c r="H323" s="1">
        <v>46166.637428495371</v>
      </c>
      <c r="I323" s="1">
        <v>46166.637428611109</v>
      </c>
      <c r="J323" t="s">
        <v>15</v>
      </c>
      <c r="K323" t="s">
        <v>16</v>
      </c>
      <c r="L323" s="1">
        <v>46166.63742864583</v>
      </c>
    </row>
    <row r="324" spans="1:12" x14ac:dyDescent="0.25">
      <c r="A324" t="s">
        <v>378</v>
      </c>
      <c r="B324" t="str">
        <f>resultado_db_usuario_5[[#This Row],[metodo]]&amp;" "&amp;SUBSTITUTE(resultado_db_usuario_5[[#This Row],[rota]],"/api/v1","")</f>
        <v>GET /relatorios/</v>
      </c>
      <c r="C324" t="s">
        <v>12</v>
      </c>
      <c r="D324" t="s">
        <v>27</v>
      </c>
      <c r="E324" t="s">
        <v>28</v>
      </c>
      <c r="F324">
        <v>200</v>
      </c>
      <c r="G324" s="2">
        <v>17.12</v>
      </c>
      <c r="H324" s="1">
        <v>46166.637428819442</v>
      </c>
      <c r="I324" s="1">
        <v>46166.637429016206</v>
      </c>
      <c r="J324" t="s">
        <v>15</v>
      </c>
      <c r="K324" t="s">
        <v>16</v>
      </c>
      <c r="L324" s="1">
        <v>46166.637429050927</v>
      </c>
    </row>
    <row r="325" spans="1:12" x14ac:dyDescent="0.25">
      <c r="A325" t="s">
        <v>382</v>
      </c>
      <c r="B325" t="str">
        <f>resultado_db_usuario_5[[#This Row],[metodo]]&amp;" "&amp;SUBSTITUTE(resultado_db_usuario_5[[#This Row],[rota]],"/api/v1","")</f>
        <v>GET /relatorios/</v>
      </c>
      <c r="C325" t="s">
        <v>12</v>
      </c>
      <c r="D325" t="s">
        <v>27</v>
      </c>
      <c r="E325" t="s">
        <v>28</v>
      </c>
      <c r="F325">
        <v>200</v>
      </c>
      <c r="G325" s="2">
        <v>10.83</v>
      </c>
      <c r="H325" s="1">
        <v>46166.637429097224</v>
      </c>
      <c r="I325" s="1">
        <v>46166.637429224538</v>
      </c>
      <c r="J325" t="s">
        <v>15</v>
      </c>
      <c r="K325" t="s">
        <v>16</v>
      </c>
      <c r="L325" s="1">
        <v>46166.637429259259</v>
      </c>
    </row>
    <row r="326" spans="1:12" x14ac:dyDescent="0.25">
      <c r="A326" t="s">
        <v>383</v>
      </c>
      <c r="B326" t="str">
        <f>resultado_db_usuario_5[[#This Row],[metodo]]&amp;" "&amp;SUBSTITUTE(resultado_db_usuario_5[[#This Row],[rota]],"/api/v1","")</f>
        <v>GET /relatorios/</v>
      </c>
      <c r="C326" t="s">
        <v>12</v>
      </c>
      <c r="D326" t="s">
        <v>27</v>
      </c>
      <c r="E326" t="s">
        <v>28</v>
      </c>
      <c r="F326">
        <v>200</v>
      </c>
      <c r="G326" s="2">
        <v>12.99</v>
      </c>
      <c r="H326" s="1">
        <v>46166.637429131944</v>
      </c>
      <c r="I326" s="1">
        <v>46166.637429282404</v>
      </c>
      <c r="J326" t="s">
        <v>15</v>
      </c>
      <c r="K326" t="s">
        <v>16</v>
      </c>
      <c r="L326" s="1">
        <v>46166.637429305556</v>
      </c>
    </row>
    <row r="327" spans="1:12" x14ac:dyDescent="0.25">
      <c r="A327" t="s">
        <v>390</v>
      </c>
      <c r="B327" t="str">
        <f>resultado_db_usuario_5[[#This Row],[metodo]]&amp;" "&amp;SUBSTITUTE(resultado_db_usuario_5[[#This Row],[rota]],"/api/v1","")</f>
        <v>GET /relatorios/</v>
      </c>
      <c r="C327" t="s">
        <v>12</v>
      </c>
      <c r="D327" t="s">
        <v>27</v>
      </c>
      <c r="E327" t="s">
        <v>28</v>
      </c>
      <c r="F327">
        <v>200</v>
      </c>
      <c r="G327" s="2">
        <v>3.96</v>
      </c>
      <c r="H327" s="1">
        <v>46166.637429594906</v>
      </c>
      <c r="I327" s="1">
        <v>46166.637429641203</v>
      </c>
      <c r="J327" t="s">
        <v>15</v>
      </c>
      <c r="K327" t="s">
        <v>16</v>
      </c>
      <c r="L327" s="1">
        <v>46166.637429664355</v>
      </c>
    </row>
    <row r="328" spans="1:12" x14ac:dyDescent="0.25">
      <c r="A328" t="s">
        <v>424</v>
      </c>
      <c r="B328" t="str">
        <f>resultado_db_usuario_5[[#This Row],[metodo]]&amp;" "&amp;SUBSTITUTE(resultado_db_usuario_5[[#This Row],[rota]],"/api/v1","")</f>
        <v>GET /relatorios/</v>
      </c>
      <c r="C328" t="s">
        <v>12</v>
      </c>
      <c r="D328" t="s">
        <v>27</v>
      </c>
      <c r="E328" t="s">
        <v>28</v>
      </c>
      <c r="F328">
        <v>200</v>
      </c>
      <c r="G328" s="2">
        <v>9.23</v>
      </c>
      <c r="H328" s="1">
        <v>46166.637431550924</v>
      </c>
      <c r="I328" s="1">
        <v>46166.637431655094</v>
      </c>
      <c r="J328" t="s">
        <v>15</v>
      </c>
      <c r="K328" t="s">
        <v>16</v>
      </c>
      <c r="L328" s="1">
        <v>46166.637431678238</v>
      </c>
    </row>
    <row r="329" spans="1:12" x14ac:dyDescent="0.25">
      <c r="A329" t="s">
        <v>430</v>
      </c>
      <c r="B329" t="str">
        <f>resultado_db_usuario_5[[#This Row],[metodo]]&amp;" "&amp;SUBSTITUTE(resultado_db_usuario_5[[#This Row],[rota]],"/api/v1","")</f>
        <v>GET /relatorios/</v>
      </c>
      <c r="C329" t="s">
        <v>12</v>
      </c>
      <c r="D329" t="s">
        <v>27</v>
      </c>
      <c r="E329" t="s">
        <v>28</v>
      </c>
      <c r="F329">
        <v>200</v>
      </c>
      <c r="G329" s="2">
        <v>5.32</v>
      </c>
      <c r="H329" s="1">
        <v>46166.637431817129</v>
      </c>
      <c r="I329" s="1">
        <v>46166.637431886571</v>
      </c>
      <c r="J329" t="s">
        <v>15</v>
      </c>
      <c r="K329" t="s">
        <v>16</v>
      </c>
      <c r="L329" s="1">
        <v>46166.637431909723</v>
      </c>
    </row>
    <row r="330" spans="1:12" x14ac:dyDescent="0.25">
      <c r="A330" t="s">
        <v>432</v>
      </c>
      <c r="B330" t="str">
        <f>resultado_db_usuario_5[[#This Row],[metodo]]&amp;" "&amp;SUBSTITUTE(resultado_db_usuario_5[[#This Row],[rota]],"/api/v1","")</f>
        <v>GET /relatorios/</v>
      </c>
      <c r="C330" t="s">
        <v>12</v>
      </c>
      <c r="D330" t="s">
        <v>27</v>
      </c>
      <c r="E330" t="s">
        <v>28</v>
      </c>
      <c r="F330">
        <v>200</v>
      </c>
      <c r="G330" s="2">
        <v>7.83</v>
      </c>
      <c r="H330" s="1">
        <v>46166.637431840281</v>
      </c>
      <c r="I330" s="1">
        <v>46166.637431932868</v>
      </c>
      <c r="J330" t="s">
        <v>15</v>
      </c>
      <c r="K330" t="s">
        <v>16</v>
      </c>
      <c r="L330" s="1">
        <v>46166.63743195602</v>
      </c>
    </row>
    <row r="331" spans="1:12" x14ac:dyDescent="0.25">
      <c r="A331" t="s">
        <v>436</v>
      </c>
      <c r="B331" t="str">
        <f>resultado_db_usuario_5[[#This Row],[metodo]]&amp;" "&amp;SUBSTITUTE(resultado_db_usuario_5[[#This Row],[rota]],"/api/v1","")</f>
        <v>GET /relatorios/</v>
      </c>
      <c r="C331" t="s">
        <v>12</v>
      </c>
      <c r="D331" t="s">
        <v>27</v>
      </c>
      <c r="E331" t="s">
        <v>28</v>
      </c>
      <c r="F331">
        <v>200</v>
      </c>
      <c r="G331" s="2">
        <v>6.44</v>
      </c>
      <c r="H331" s="1">
        <v>46166.637431990741</v>
      </c>
      <c r="I331" s="1">
        <v>46166.637432071759</v>
      </c>
      <c r="J331" t="s">
        <v>15</v>
      </c>
      <c r="K331" t="s">
        <v>16</v>
      </c>
      <c r="L331" s="1">
        <v>46166.637432094911</v>
      </c>
    </row>
    <row r="332" spans="1:12" x14ac:dyDescent="0.25">
      <c r="A332" t="s">
        <v>444</v>
      </c>
      <c r="B332" t="str">
        <f>resultado_db_usuario_5[[#This Row],[metodo]]&amp;" "&amp;SUBSTITUTE(resultado_db_usuario_5[[#This Row],[rota]],"/api/v1","")</f>
        <v>GET /relatorios/</v>
      </c>
      <c r="C332" t="s">
        <v>12</v>
      </c>
      <c r="D332" t="s">
        <v>27</v>
      </c>
      <c r="E332" t="s">
        <v>28</v>
      </c>
      <c r="F332">
        <v>200</v>
      </c>
      <c r="G332" s="2">
        <v>7.71</v>
      </c>
      <c r="H332" s="1">
        <v>46166.637432337964</v>
      </c>
      <c r="I332" s="1">
        <v>46166.637432430558</v>
      </c>
      <c r="J332" t="s">
        <v>15</v>
      </c>
      <c r="K332" t="s">
        <v>16</v>
      </c>
      <c r="L332" s="1">
        <v>46166.637432465279</v>
      </c>
    </row>
    <row r="333" spans="1:12" x14ac:dyDescent="0.25">
      <c r="A333" t="s">
        <v>478</v>
      </c>
      <c r="B333" t="str">
        <f>resultado_db_usuario_5[[#This Row],[metodo]]&amp;" "&amp;SUBSTITUTE(resultado_db_usuario_5[[#This Row],[rota]],"/api/v1","")</f>
        <v>GET /relatorios/</v>
      </c>
      <c r="C333" t="s">
        <v>12</v>
      </c>
      <c r="D333" t="s">
        <v>27</v>
      </c>
      <c r="E333" t="s">
        <v>28</v>
      </c>
      <c r="F333">
        <v>200</v>
      </c>
      <c r="G333" s="2">
        <v>20.72</v>
      </c>
      <c r="H333" s="1">
        <v>46166.637434421296</v>
      </c>
      <c r="I333" s="1">
        <v>46166.63743466435</v>
      </c>
      <c r="J333" t="s">
        <v>15</v>
      </c>
      <c r="K333" t="s">
        <v>16</v>
      </c>
      <c r="L333" s="1">
        <v>46166.637434733799</v>
      </c>
    </row>
    <row r="334" spans="1:12" x14ac:dyDescent="0.25">
      <c r="A334" t="s">
        <v>479</v>
      </c>
      <c r="B334" t="str">
        <f>resultado_db_usuario_5[[#This Row],[metodo]]&amp;" "&amp;SUBSTITUTE(resultado_db_usuario_5[[#This Row],[rota]],"/api/v1","")</f>
        <v>GET /relatorios/</v>
      </c>
      <c r="C334" t="s">
        <v>12</v>
      </c>
      <c r="D334" t="s">
        <v>27</v>
      </c>
      <c r="E334" t="s">
        <v>28</v>
      </c>
      <c r="F334">
        <v>200</v>
      </c>
      <c r="G334" s="2">
        <v>18.079999999999998</v>
      </c>
      <c r="H334" s="1">
        <v>46166.637434814817</v>
      </c>
      <c r="I334" s="1">
        <v>46166.637435023149</v>
      </c>
      <c r="J334" t="s">
        <v>15</v>
      </c>
      <c r="K334" t="s">
        <v>16</v>
      </c>
      <c r="L334" s="1">
        <v>46166.637435081022</v>
      </c>
    </row>
    <row r="335" spans="1:12" x14ac:dyDescent="0.25">
      <c r="A335" t="s">
        <v>481</v>
      </c>
      <c r="B335" t="str">
        <f>resultado_db_usuario_5[[#This Row],[metodo]]&amp;" "&amp;SUBSTITUTE(resultado_db_usuario_5[[#This Row],[rota]],"/api/v1","")</f>
        <v>GET /relatorios/</v>
      </c>
      <c r="C335" t="s">
        <v>12</v>
      </c>
      <c r="D335" t="s">
        <v>27</v>
      </c>
      <c r="E335" t="s">
        <v>28</v>
      </c>
      <c r="F335">
        <v>200</v>
      </c>
      <c r="G335" s="2">
        <v>25.96</v>
      </c>
      <c r="H335" s="1">
        <v>46166.637434849537</v>
      </c>
      <c r="I335" s="1">
        <v>46166.637435150464</v>
      </c>
      <c r="J335" t="s">
        <v>15</v>
      </c>
      <c r="K335" t="s">
        <v>16</v>
      </c>
      <c r="L335" s="1">
        <v>46166.637435185185</v>
      </c>
    </row>
    <row r="336" spans="1:12" x14ac:dyDescent="0.25">
      <c r="A336" t="s">
        <v>485</v>
      </c>
      <c r="B336" t="str">
        <f>resultado_db_usuario_5[[#This Row],[metodo]]&amp;" "&amp;SUBSTITUTE(resultado_db_usuario_5[[#This Row],[rota]],"/api/v1","")</f>
        <v>GET /relatorios/</v>
      </c>
      <c r="C336" t="s">
        <v>12</v>
      </c>
      <c r="D336" t="s">
        <v>27</v>
      </c>
      <c r="E336" t="s">
        <v>28</v>
      </c>
      <c r="F336">
        <v>200</v>
      </c>
      <c r="G336" s="2">
        <v>9.52</v>
      </c>
      <c r="H336" s="1">
        <v>46166.637435312499</v>
      </c>
      <c r="I336" s="1">
        <v>46166.637435416669</v>
      </c>
      <c r="J336" t="s">
        <v>15</v>
      </c>
      <c r="K336" t="s">
        <v>16</v>
      </c>
      <c r="L336" s="1">
        <v>46166.63743545139</v>
      </c>
    </row>
    <row r="337" spans="1:12" x14ac:dyDescent="0.25">
      <c r="A337" t="s">
        <v>496</v>
      </c>
      <c r="B337" t="str">
        <f>resultado_db_usuario_5[[#This Row],[metodo]]&amp;" "&amp;SUBSTITUTE(resultado_db_usuario_5[[#This Row],[rota]],"/api/v1","")</f>
        <v>GET /relatorios/</v>
      </c>
      <c r="C337" t="s">
        <v>12</v>
      </c>
      <c r="D337" t="s">
        <v>27</v>
      </c>
      <c r="E337" t="s">
        <v>28</v>
      </c>
      <c r="F337">
        <v>200</v>
      </c>
      <c r="G337" s="2">
        <v>4.6399999999999997</v>
      </c>
      <c r="H337" s="1">
        <v>46166.637435902776</v>
      </c>
      <c r="I337" s="1">
        <v>46166.637435960649</v>
      </c>
      <c r="J337" t="s">
        <v>15</v>
      </c>
      <c r="K337" t="s">
        <v>16</v>
      </c>
      <c r="L337" s="1">
        <v>46166.637435983794</v>
      </c>
    </row>
    <row r="338" spans="1:12" x14ac:dyDescent="0.25">
      <c r="A338" t="s">
        <v>523</v>
      </c>
      <c r="B338" t="str">
        <f>resultado_db_usuario_5[[#This Row],[metodo]]&amp;" "&amp;SUBSTITUTE(resultado_db_usuario_5[[#This Row],[rota]],"/api/v1","")</f>
        <v>GET /relatorios/</v>
      </c>
      <c r="C338" t="s">
        <v>12</v>
      </c>
      <c r="D338" t="s">
        <v>27</v>
      </c>
      <c r="E338" t="s">
        <v>28</v>
      </c>
      <c r="F338">
        <v>200</v>
      </c>
      <c r="G338" s="2">
        <v>3.88</v>
      </c>
      <c r="H338" s="1">
        <v>46166.637437060184</v>
      </c>
      <c r="I338" s="1">
        <v>46166.637437106481</v>
      </c>
      <c r="J338" t="s">
        <v>15</v>
      </c>
      <c r="K338" t="s">
        <v>16</v>
      </c>
      <c r="L338" s="1">
        <v>46166.637437129626</v>
      </c>
    </row>
    <row r="339" spans="1:12" x14ac:dyDescent="0.25">
      <c r="A339" t="s">
        <v>525</v>
      </c>
      <c r="B339" t="str">
        <f>resultado_db_usuario_5[[#This Row],[metodo]]&amp;" "&amp;SUBSTITUTE(resultado_db_usuario_5[[#This Row],[rota]],"/api/v1","")</f>
        <v>GET /relatorios/</v>
      </c>
      <c r="C339" t="s">
        <v>12</v>
      </c>
      <c r="D339" t="s">
        <v>27</v>
      </c>
      <c r="E339" t="s">
        <v>28</v>
      </c>
      <c r="F339">
        <v>200</v>
      </c>
      <c r="G339" s="2">
        <v>4.16</v>
      </c>
      <c r="H339" s="1">
        <v>46166.637437083336</v>
      </c>
      <c r="I339" s="1">
        <v>46166.637437141202</v>
      </c>
      <c r="J339" t="s">
        <v>15</v>
      </c>
      <c r="K339" t="s">
        <v>16</v>
      </c>
      <c r="L339" s="1">
        <v>46166.637437164354</v>
      </c>
    </row>
    <row r="340" spans="1:12" x14ac:dyDescent="0.25">
      <c r="A340" t="s">
        <v>530</v>
      </c>
      <c r="B340" t="str">
        <f>resultado_db_usuario_5[[#This Row],[metodo]]&amp;" "&amp;SUBSTITUTE(resultado_db_usuario_5[[#This Row],[rota]],"/api/v1","")</f>
        <v>GET /relatorios/</v>
      </c>
      <c r="C340" t="s">
        <v>12</v>
      </c>
      <c r="D340" t="s">
        <v>27</v>
      </c>
      <c r="E340" t="s">
        <v>28</v>
      </c>
      <c r="F340">
        <v>200</v>
      </c>
      <c r="G340" s="2">
        <v>7.63</v>
      </c>
      <c r="H340" s="1">
        <v>46166.637437256948</v>
      </c>
      <c r="I340" s="1">
        <v>46166.637437337966</v>
      </c>
      <c r="J340" t="s">
        <v>15</v>
      </c>
      <c r="K340" t="s">
        <v>16</v>
      </c>
      <c r="L340" s="1">
        <v>46166.637437361111</v>
      </c>
    </row>
    <row r="341" spans="1:12" x14ac:dyDescent="0.25">
      <c r="A341" t="s">
        <v>543</v>
      </c>
      <c r="B341" t="str">
        <f>resultado_db_usuario_5[[#This Row],[metodo]]&amp;" "&amp;SUBSTITUTE(resultado_db_usuario_5[[#This Row],[rota]],"/api/v1","")</f>
        <v>GET /relatorios/</v>
      </c>
      <c r="C341" t="s">
        <v>12</v>
      </c>
      <c r="D341" t="s">
        <v>27</v>
      </c>
      <c r="E341" t="s">
        <v>28</v>
      </c>
      <c r="F341">
        <v>200</v>
      </c>
      <c r="G341" s="2">
        <v>6.7</v>
      </c>
      <c r="H341" s="1">
        <v>46166.637437777776</v>
      </c>
      <c r="I341" s="1">
        <v>46166.637437858793</v>
      </c>
      <c r="J341" t="s">
        <v>15</v>
      </c>
      <c r="K341" t="s">
        <v>16</v>
      </c>
      <c r="L341" s="1">
        <v>46166.637437881946</v>
      </c>
    </row>
    <row r="342" spans="1:12" x14ac:dyDescent="0.25">
      <c r="A342" t="s">
        <v>561</v>
      </c>
      <c r="B342" t="str">
        <f>resultado_db_usuario_5[[#This Row],[metodo]]&amp;" "&amp;SUBSTITUTE(resultado_db_usuario_5[[#This Row],[rota]],"/api/v1","")</f>
        <v>GET /relatorios/</v>
      </c>
      <c r="C342" t="s">
        <v>12</v>
      </c>
      <c r="D342" t="s">
        <v>27</v>
      </c>
      <c r="E342" t="s">
        <v>28</v>
      </c>
      <c r="F342">
        <v>200</v>
      </c>
      <c r="G342" s="2">
        <v>5.31</v>
      </c>
      <c r="H342" s="1">
        <v>46166.637438981481</v>
      </c>
      <c r="I342" s="1">
        <v>46166.637439039354</v>
      </c>
      <c r="J342" t="s">
        <v>15</v>
      </c>
      <c r="K342" t="s">
        <v>16</v>
      </c>
      <c r="L342" s="1">
        <v>46166.637439074075</v>
      </c>
    </row>
    <row r="343" spans="1:12" x14ac:dyDescent="0.25">
      <c r="A343" t="s">
        <v>567</v>
      </c>
      <c r="B343" t="str">
        <f>resultado_db_usuario_5[[#This Row],[metodo]]&amp;" "&amp;SUBSTITUTE(resultado_db_usuario_5[[#This Row],[rota]],"/api/v1","")</f>
        <v>GET /relatorios/</v>
      </c>
      <c r="C343" t="s">
        <v>12</v>
      </c>
      <c r="D343" t="s">
        <v>27</v>
      </c>
      <c r="E343" t="s">
        <v>28</v>
      </c>
      <c r="F343">
        <v>200</v>
      </c>
      <c r="G343" s="2">
        <v>8.08</v>
      </c>
      <c r="H343" s="1">
        <v>46166.637439282407</v>
      </c>
      <c r="I343" s="1">
        <v>46166.637439375001</v>
      </c>
      <c r="J343" t="s">
        <v>15</v>
      </c>
      <c r="K343" t="s">
        <v>16</v>
      </c>
      <c r="L343" s="1">
        <v>46166.637439409722</v>
      </c>
    </row>
    <row r="344" spans="1:12" x14ac:dyDescent="0.25">
      <c r="A344" t="s">
        <v>572</v>
      </c>
      <c r="B344" t="str">
        <f>resultado_db_usuario_5[[#This Row],[metodo]]&amp;" "&amp;SUBSTITUTE(resultado_db_usuario_5[[#This Row],[rota]],"/api/v1","")</f>
        <v>GET /relatorios/</v>
      </c>
      <c r="C344" t="s">
        <v>12</v>
      </c>
      <c r="D344" t="s">
        <v>27</v>
      </c>
      <c r="E344" t="s">
        <v>28</v>
      </c>
      <c r="F344">
        <v>200</v>
      </c>
      <c r="G344" s="2">
        <v>6.36</v>
      </c>
      <c r="H344" s="1">
        <v>46166.637439652775</v>
      </c>
      <c r="I344" s="1">
        <v>46166.637439733793</v>
      </c>
      <c r="J344" t="s">
        <v>15</v>
      </c>
      <c r="K344" t="s">
        <v>16</v>
      </c>
      <c r="L344" s="1">
        <v>46166.637439756945</v>
      </c>
    </row>
    <row r="345" spans="1:12" x14ac:dyDescent="0.25">
      <c r="A345" t="s">
        <v>579</v>
      </c>
      <c r="B345" t="str">
        <f>resultado_db_usuario_5[[#This Row],[metodo]]&amp;" "&amp;SUBSTITUTE(resultado_db_usuario_5[[#This Row],[rota]],"/api/v1","")</f>
        <v>GET /relatorios/</v>
      </c>
      <c r="C345" t="s">
        <v>12</v>
      </c>
      <c r="D345" t="s">
        <v>27</v>
      </c>
      <c r="E345" t="s">
        <v>28</v>
      </c>
      <c r="F345">
        <v>200</v>
      </c>
      <c r="G345" s="2">
        <v>3.98</v>
      </c>
      <c r="H345" s="1">
        <v>46166.637440011575</v>
      </c>
      <c r="I345" s="1">
        <v>46166.637440057872</v>
      </c>
      <c r="J345" t="s">
        <v>15</v>
      </c>
      <c r="K345" t="s">
        <v>16</v>
      </c>
      <c r="L345" s="1">
        <v>46166.637440081016</v>
      </c>
    </row>
    <row r="346" spans="1:12" x14ac:dyDescent="0.25">
      <c r="A346" t="s">
        <v>602</v>
      </c>
      <c r="B346" t="str">
        <f>resultado_db_usuario_5[[#This Row],[metodo]]&amp;" "&amp;SUBSTITUTE(resultado_db_usuario_5[[#This Row],[rota]],"/api/v1","")</f>
        <v>GET /relatorios/</v>
      </c>
      <c r="C346" t="s">
        <v>12</v>
      </c>
      <c r="D346" t="s">
        <v>27</v>
      </c>
      <c r="E346" t="s">
        <v>28</v>
      </c>
      <c r="F346">
        <v>200</v>
      </c>
      <c r="G346" s="2">
        <v>6.37</v>
      </c>
      <c r="H346" s="1">
        <v>46166.637441122686</v>
      </c>
      <c r="I346" s="1">
        <v>46166.637441192128</v>
      </c>
      <c r="J346" t="s">
        <v>15</v>
      </c>
      <c r="K346" t="s">
        <v>16</v>
      </c>
      <c r="L346" s="1">
        <v>46166.637441226849</v>
      </c>
    </row>
    <row r="347" spans="1:12" x14ac:dyDescent="0.25">
      <c r="A347" t="s">
        <v>606</v>
      </c>
      <c r="B347" t="str">
        <f>resultado_db_usuario_5[[#This Row],[metodo]]&amp;" "&amp;SUBSTITUTE(resultado_db_usuario_5[[#This Row],[rota]],"/api/v1","")</f>
        <v>GET /relatorios/</v>
      </c>
      <c r="C347" t="s">
        <v>12</v>
      </c>
      <c r="D347" t="s">
        <v>27</v>
      </c>
      <c r="E347" t="s">
        <v>28</v>
      </c>
      <c r="F347">
        <v>200</v>
      </c>
      <c r="G347" s="2">
        <v>6.52</v>
      </c>
      <c r="H347" s="1">
        <v>46166.637441319443</v>
      </c>
      <c r="I347" s="1">
        <v>46166.637441388892</v>
      </c>
      <c r="J347" t="s">
        <v>15</v>
      </c>
      <c r="K347" t="s">
        <v>16</v>
      </c>
      <c r="L347" s="1">
        <v>46166.637441423612</v>
      </c>
    </row>
    <row r="348" spans="1:12" x14ac:dyDescent="0.25">
      <c r="A348" t="s">
        <v>617</v>
      </c>
      <c r="B348" t="str">
        <f>resultado_db_usuario_5[[#This Row],[metodo]]&amp;" "&amp;SUBSTITUTE(resultado_db_usuario_5[[#This Row],[rota]],"/api/v1","")</f>
        <v>GET /relatorios/</v>
      </c>
      <c r="C348" t="s">
        <v>12</v>
      </c>
      <c r="D348" t="s">
        <v>27</v>
      </c>
      <c r="E348" t="s">
        <v>28</v>
      </c>
      <c r="F348">
        <v>200</v>
      </c>
      <c r="G348" s="2">
        <v>4.46</v>
      </c>
      <c r="H348" s="1">
        <v>46166.637442002313</v>
      </c>
      <c r="I348" s="1">
        <v>46166.63744204861</v>
      </c>
      <c r="J348" t="s">
        <v>15</v>
      </c>
      <c r="K348" t="s">
        <v>16</v>
      </c>
      <c r="L348" s="1">
        <v>46166.637442083331</v>
      </c>
    </row>
    <row r="349" spans="1:12" x14ac:dyDescent="0.25">
      <c r="A349" t="s">
        <v>629</v>
      </c>
      <c r="B349" t="str">
        <f>resultado_db_usuario_5[[#This Row],[metodo]]&amp;" "&amp;SUBSTITUTE(resultado_db_usuario_5[[#This Row],[rota]],"/api/v1","")</f>
        <v>GET /relatorios/</v>
      </c>
      <c r="C349" t="s">
        <v>12</v>
      </c>
      <c r="D349" t="s">
        <v>27</v>
      </c>
      <c r="E349" t="s">
        <v>28</v>
      </c>
      <c r="F349">
        <v>200</v>
      </c>
      <c r="G349" s="2">
        <v>6.17</v>
      </c>
      <c r="H349" s="1">
        <v>46166.637442719904</v>
      </c>
      <c r="I349" s="1">
        <v>46166.637442789353</v>
      </c>
      <c r="J349" t="s">
        <v>15</v>
      </c>
      <c r="K349" t="s">
        <v>16</v>
      </c>
      <c r="L349" s="1">
        <v>46166.637442812498</v>
      </c>
    </row>
    <row r="350" spans="1:12" x14ac:dyDescent="0.25">
      <c r="A350" t="s">
        <v>641</v>
      </c>
      <c r="B350" t="str">
        <f>resultado_db_usuario_5[[#This Row],[metodo]]&amp;" "&amp;SUBSTITUTE(resultado_db_usuario_5[[#This Row],[rota]],"/api/v1","")</f>
        <v>GET /relatorios/</v>
      </c>
      <c r="C350" t="s">
        <v>12</v>
      </c>
      <c r="D350" t="s">
        <v>27</v>
      </c>
      <c r="E350" t="s">
        <v>28</v>
      </c>
      <c r="F350">
        <v>200</v>
      </c>
      <c r="G350" s="2">
        <v>5.61</v>
      </c>
      <c r="H350" s="1">
        <v>46166.63744366898</v>
      </c>
      <c r="I350" s="1">
        <v>46166.637443726853</v>
      </c>
      <c r="J350" t="s">
        <v>15</v>
      </c>
      <c r="K350" t="s">
        <v>16</v>
      </c>
      <c r="L350" s="1">
        <v>46166.637443749998</v>
      </c>
    </row>
    <row r="351" spans="1:12" x14ac:dyDescent="0.25">
      <c r="A351" t="s">
        <v>649</v>
      </c>
      <c r="B351" t="str">
        <f>resultado_db_usuario_5[[#This Row],[metodo]]&amp;" "&amp;SUBSTITUTE(resultado_db_usuario_5[[#This Row],[rota]],"/api/v1","")</f>
        <v>GET /relatorios/</v>
      </c>
      <c r="C351" t="s">
        <v>12</v>
      </c>
      <c r="D351" t="s">
        <v>27</v>
      </c>
      <c r="E351" t="s">
        <v>28</v>
      </c>
      <c r="F351">
        <v>200</v>
      </c>
      <c r="G351" s="2">
        <v>3.21</v>
      </c>
      <c r="H351" s="1">
        <v>46166.637444108797</v>
      </c>
      <c r="I351" s="1">
        <v>46166.637444143518</v>
      </c>
      <c r="J351" t="s">
        <v>15</v>
      </c>
      <c r="K351" t="s">
        <v>16</v>
      </c>
      <c r="L351" s="1">
        <v>46166.637444178239</v>
      </c>
    </row>
    <row r="352" spans="1:12" x14ac:dyDescent="0.25">
      <c r="A352" t="s">
        <v>142</v>
      </c>
      <c r="B352" t="str">
        <f>resultado_db_usuario_5[[#This Row],[metodo]]&amp;" "&amp;SUBSTITUTE(resultado_db_usuario_5[[#This Row],[rota]],"/api/v1","")</f>
        <v>GET /testes/</v>
      </c>
      <c r="C352" t="s">
        <v>12</v>
      </c>
      <c r="D352" t="s">
        <v>30</v>
      </c>
      <c r="E352" t="s">
        <v>31</v>
      </c>
      <c r="F352">
        <v>200</v>
      </c>
      <c r="G352" s="2">
        <v>5.34</v>
      </c>
      <c r="H352" s="1">
        <v>46166.637414143515</v>
      </c>
      <c r="I352" s="1">
        <v>46166.637414212964</v>
      </c>
      <c r="J352" t="s">
        <v>15</v>
      </c>
      <c r="K352" t="s">
        <v>16</v>
      </c>
      <c r="L352" s="1">
        <v>46166.637414236109</v>
      </c>
    </row>
    <row r="353" spans="1:12" x14ac:dyDescent="0.25">
      <c r="A353" t="s">
        <v>153</v>
      </c>
      <c r="B353" t="str">
        <f>resultado_db_usuario_5[[#This Row],[metodo]]&amp;" "&amp;SUBSTITUTE(resultado_db_usuario_5[[#This Row],[rota]],"/api/v1","")</f>
        <v>GET /testes/</v>
      </c>
      <c r="C353" t="s">
        <v>12</v>
      </c>
      <c r="D353" t="s">
        <v>30</v>
      </c>
      <c r="E353" t="s">
        <v>31</v>
      </c>
      <c r="F353">
        <v>200</v>
      </c>
      <c r="G353" s="2">
        <v>4.2300000000000004</v>
      </c>
      <c r="H353" s="1">
        <v>46166.637415300924</v>
      </c>
      <c r="I353" s="1">
        <v>46166.637415347221</v>
      </c>
      <c r="J353" t="s">
        <v>15</v>
      </c>
      <c r="K353" t="s">
        <v>16</v>
      </c>
      <c r="L353" s="1">
        <v>46166.637415381942</v>
      </c>
    </row>
    <row r="354" spans="1:12" x14ac:dyDescent="0.25">
      <c r="A354" t="s">
        <v>167</v>
      </c>
      <c r="B354" t="str">
        <f>resultado_db_usuario_5[[#This Row],[metodo]]&amp;" "&amp;SUBSTITUTE(resultado_db_usuario_5[[#This Row],[rota]],"/api/v1","")</f>
        <v>GET /testes/</v>
      </c>
      <c r="C354" t="s">
        <v>12</v>
      </c>
      <c r="D354" t="s">
        <v>30</v>
      </c>
      <c r="E354" t="s">
        <v>31</v>
      </c>
      <c r="F354">
        <v>200</v>
      </c>
      <c r="G354" s="2">
        <v>5.37</v>
      </c>
      <c r="H354" s="1">
        <v>46166.637416712962</v>
      </c>
      <c r="I354" s="1">
        <v>46166.637416770835</v>
      </c>
      <c r="J354" t="s">
        <v>15</v>
      </c>
      <c r="K354" t="s">
        <v>16</v>
      </c>
      <c r="L354" s="1">
        <v>46166.637416805555</v>
      </c>
    </row>
    <row r="355" spans="1:12" x14ac:dyDescent="0.25">
      <c r="A355" t="s">
        <v>169</v>
      </c>
      <c r="B355" t="str">
        <f>resultado_db_usuario_5[[#This Row],[metodo]]&amp;" "&amp;SUBSTITUTE(resultado_db_usuario_5[[#This Row],[rota]],"/api/v1","")</f>
        <v>GET /testes/</v>
      </c>
      <c r="C355" t="s">
        <v>12</v>
      </c>
      <c r="D355" t="s">
        <v>30</v>
      </c>
      <c r="E355" t="s">
        <v>31</v>
      </c>
      <c r="F355">
        <v>200</v>
      </c>
      <c r="G355" s="2">
        <v>4.63</v>
      </c>
      <c r="H355" s="1">
        <v>46166.637416863428</v>
      </c>
      <c r="I355" s="1">
        <v>46166.637416921294</v>
      </c>
      <c r="J355" t="s">
        <v>15</v>
      </c>
      <c r="K355" t="s">
        <v>16</v>
      </c>
      <c r="L355" s="1">
        <v>46166.637416956015</v>
      </c>
    </row>
    <row r="356" spans="1:12" x14ac:dyDescent="0.25">
      <c r="A356" t="s">
        <v>188</v>
      </c>
      <c r="B356" t="str">
        <f>resultado_db_usuario_5[[#This Row],[metodo]]&amp;" "&amp;SUBSTITUTE(resultado_db_usuario_5[[#This Row],[rota]],"/api/v1","")</f>
        <v>GET /testes/</v>
      </c>
      <c r="C356" t="s">
        <v>12</v>
      </c>
      <c r="D356" t="s">
        <v>30</v>
      </c>
      <c r="E356" t="s">
        <v>31</v>
      </c>
      <c r="F356">
        <v>200</v>
      </c>
      <c r="G356" s="2">
        <v>6.54</v>
      </c>
      <c r="H356" s="1">
        <v>46166.637418645834</v>
      </c>
      <c r="I356" s="1">
        <v>46166.637418726852</v>
      </c>
      <c r="J356" t="s">
        <v>15</v>
      </c>
      <c r="K356" t="s">
        <v>16</v>
      </c>
      <c r="L356" s="1">
        <v>46166.637418761573</v>
      </c>
    </row>
    <row r="357" spans="1:12" x14ac:dyDescent="0.25">
      <c r="A357" t="s">
        <v>193</v>
      </c>
      <c r="B357" t="str">
        <f>resultado_db_usuario_5[[#This Row],[metodo]]&amp;" "&amp;SUBSTITUTE(resultado_db_usuario_5[[#This Row],[rota]],"/api/v1","")</f>
        <v>GET /testes/</v>
      </c>
      <c r="C357" t="s">
        <v>12</v>
      </c>
      <c r="D357" t="s">
        <v>30</v>
      </c>
      <c r="E357" t="s">
        <v>31</v>
      </c>
      <c r="F357">
        <v>200</v>
      </c>
      <c r="G357" s="2">
        <v>3.89</v>
      </c>
      <c r="H357" s="1">
        <v>46166.637418958337</v>
      </c>
      <c r="I357" s="1">
        <v>46166.637419004626</v>
      </c>
      <c r="J357" t="s">
        <v>15</v>
      </c>
      <c r="K357" t="s">
        <v>16</v>
      </c>
      <c r="L357" s="1">
        <v>46166.637419039354</v>
      </c>
    </row>
    <row r="358" spans="1:12" x14ac:dyDescent="0.25">
      <c r="A358" t="s">
        <v>197</v>
      </c>
      <c r="B358" t="str">
        <f>resultado_db_usuario_5[[#This Row],[metodo]]&amp;" "&amp;SUBSTITUTE(resultado_db_usuario_5[[#This Row],[rota]],"/api/v1","")</f>
        <v>GET /testes/</v>
      </c>
      <c r="C358" t="s">
        <v>12</v>
      </c>
      <c r="D358" t="s">
        <v>30</v>
      </c>
      <c r="E358" t="s">
        <v>31</v>
      </c>
      <c r="F358">
        <v>200</v>
      </c>
      <c r="G358" s="2">
        <v>3.67</v>
      </c>
      <c r="H358" s="1">
        <v>46166.637419155093</v>
      </c>
      <c r="I358" s="1">
        <v>46166.637419189814</v>
      </c>
      <c r="J358" t="s">
        <v>15</v>
      </c>
      <c r="K358" t="s">
        <v>16</v>
      </c>
      <c r="L358" s="1">
        <v>46166.637419224535</v>
      </c>
    </row>
    <row r="359" spans="1:12" x14ac:dyDescent="0.25">
      <c r="A359" t="s">
        <v>228</v>
      </c>
      <c r="B359" t="str">
        <f>resultado_db_usuario_5[[#This Row],[metodo]]&amp;" "&amp;SUBSTITUTE(resultado_db_usuario_5[[#This Row],[rota]],"/api/v1","")</f>
        <v>GET /testes/</v>
      </c>
      <c r="C359" t="s">
        <v>12</v>
      </c>
      <c r="D359" t="s">
        <v>30</v>
      </c>
      <c r="E359" t="s">
        <v>31</v>
      </c>
      <c r="F359">
        <v>200</v>
      </c>
      <c r="G359" s="2">
        <v>3.72</v>
      </c>
      <c r="H359" s="1">
        <v>46166.637420949075</v>
      </c>
      <c r="I359" s="1">
        <v>46166.637420995372</v>
      </c>
      <c r="J359" t="s">
        <v>15</v>
      </c>
      <c r="K359" t="s">
        <v>16</v>
      </c>
      <c r="L359" s="1">
        <v>46166.637421018517</v>
      </c>
    </row>
    <row r="360" spans="1:12" x14ac:dyDescent="0.25">
      <c r="A360" t="s">
        <v>231</v>
      </c>
      <c r="B360" t="str">
        <f>resultado_db_usuario_5[[#This Row],[metodo]]&amp;" "&amp;SUBSTITUTE(resultado_db_usuario_5[[#This Row],[rota]],"/api/v1","")</f>
        <v>GET /testes/</v>
      </c>
      <c r="C360" t="s">
        <v>12</v>
      </c>
      <c r="D360" t="s">
        <v>30</v>
      </c>
      <c r="E360" t="s">
        <v>31</v>
      </c>
      <c r="F360">
        <v>200</v>
      </c>
      <c r="G360" s="2">
        <v>9.7100000000000009</v>
      </c>
      <c r="H360" s="1">
        <v>46166.63742097222</v>
      </c>
      <c r="I360" s="1">
        <v>46166.637421087966</v>
      </c>
      <c r="J360" t="s">
        <v>15</v>
      </c>
      <c r="K360" t="s">
        <v>16</v>
      </c>
      <c r="L360" s="1">
        <v>46166.637421111111</v>
      </c>
    </row>
    <row r="361" spans="1:12" x14ac:dyDescent="0.25">
      <c r="A361" t="s">
        <v>234</v>
      </c>
      <c r="B361" t="str">
        <f>resultado_db_usuario_5[[#This Row],[metodo]]&amp;" "&amp;SUBSTITUTE(resultado_db_usuario_5[[#This Row],[rota]],"/api/v1","")</f>
        <v>GET /testes/</v>
      </c>
      <c r="C361" t="s">
        <v>12</v>
      </c>
      <c r="D361" t="s">
        <v>30</v>
      </c>
      <c r="E361" t="s">
        <v>31</v>
      </c>
      <c r="F361">
        <v>200</v>
      </c>
      <c r="G361" s="2">
        <v>3.5</v>
      </c>
      <c r="H361" s="1">
        <v>46166.637421226849</v>
      </c>
      <c r="I361" s="1">
        <v>46166.637421273146</v>
      </c>
      <c r="J361" t="s">
        <v>15</v>
      </c>
      <c r="K361" t="s">
        <v>16</v>
      </c>
      <c r="L361" s="1">
        <v>46166.637421296298</v>
      </c>
    </row>
    <row r="362" spans="1:12" x14ac:dyDescent="0.25">
      <c r="A362" t="s">
        <v>241</v>
      </c>
      <c r="B362" t="str">
        <f>resultado_db_usuario_5[[#This Row],[metodo]]&amp;" "&amp;SUBSTITUTE(resultado_db_usuario_5[[#This Row],[rota]],"/api/v1","")</f>
        <v>GET /testes/</v>
      </c>
      <c r="C362" t="s">
        <v>12</v>
      </c>
      <c r="D362" t="s">
        <v>30</v>
      </c>
      <c r="E362" t="s">
        <v>31</v>
      </c>
      <c r="F362">
        <v>200</v>
      </c>
      <c r="G362" s="2">
        <v>4.08</v>
      </c>
      <c r="H362" s="1">
        <v>46166.637421504631</v>
      </c>
      <c r="I362" s="1">
        <v>46166.637421550928</v>
      </c>
      <c r="J362" t="s">
        <v>15</v>
      </c>
      <c r="K362" t="s">
        <v>16</v>
      </c>
      <c r="L362" s="1">
        <v>46166.637421585649</v>
      </c>
    </row>
    <row r="363" spans="1:12" x14ac:dyDescent="0.25">
      <c r="A363" t="s">
        <v>271</v>
      </c>
      <c r="B363" t="str">
        <f>resultado_db_usuario_5[[#This Row],[metodo]]&amp;" "&amp;SUBSTITUTE(resultado_db_usuario_5[[#This Row],[rota]],"/api/v1","")</f>
        <v>GET /testes/</v>
      </c>
      <c r="C363" t="s">
        <v>12</v>
      </c>
      <c r="D363" t="s">
        <v>30</v>
      </c>
      <c r="E363" t="s">
        <v>31</v>
      </c>
      <c r="F363">
        <v>200</v>
      </c>
      <c r="G363" s="2">
        <v>24.8</v>
      </c>
      <c r="H363" s="1">
        <v>46166.63742337963</v>
      </c>
      <c r="I363" s="1">
        <v>46166.637423668981</v>
      </c>
      <c r="J363" t="s">
        <v>15</v>
      </c>
      <c r="K363" t="s">
        <v>16</v>
      </c>
      <c r="L363" s="1">
        <v>46166.637423703702</v>
      </c>
    </row>
    <row r="364" spans="1:12" x14ac:dyDescent="0.25">
      <c r="A364" t="s">
        <v>277</v>
      </c>
      <c r="B364" t="str">
        <f>resultado_db_usuario_5[[#This Row],[metodo]]&amp;" "&amp;SUBSTITUTE(resultado_db_usuario_5[[#This Row],[rota]],"/api/v1","")</f>
        <v>GET /testes/</v>
      </c>
      <c r="C364" t="s">
        <v>12</v>
      </c>
      <c r="D364" t="s">
        <v>30</v>
      </c>
      <c r="E364" t="s">
        <v>31</v>
      </c>
      <c r="F364">
        <v>200</v>
      </c>
      <c r="G364" s="2">
        <v>5.37</v>
      </c>
      <c r="H364" s="1">
        <v>46166.637423842592</v>
      </c>
      <c r="I364" s="1">
        <v>46166.637423912034</v>
      </c>
      <c r="J364" t="s">
        <v>15</v>
      </c>
      <c r="K364" t="s">
        <v>16</v>
      </c>
      <c r="L364" s="1">
        <v>46166.637423935186</v>
      </c>
    </row>
    <row r="365" spans="1:12" x14ac:dyDescent="0.25">
      <c r="A365" t="s">
        <v>283</v>
      </c>
      <c r="B365" t="str">
        <f>resultado_db_usuario_5[[#This Row],[metodo]]&amp;" "&amp;SUBSTITUTE(resultado_db_usuario_5[[#This Row],[rota]],"/api/v1","")</f>
        <v>GET /testes/</v>
      </c>
      <c r="C365" t="s">
        <v>12</v>
      </c>
      <c r="D365" t="s">
        <v>30</v>
      </c>
      <c r="E365" t="s">
        <v>31</v>
      </c>
      <c r="F365">
        <v>200</v>
      </c>
      <c r="G365" s="2">
        <v>7.05</v>
      </c>
      <c r="H365" s="1">
        <v>46166.637424004628</v>
      </c>
      <c r="I365" s="1">
        <v>46166.637424085646</v>
      </c>
      <c r="J365" t="s">
        <v>15</v>
      </c>
      <c r="K365" t="s">
        <v>16</v>
      </c>
      <c r="L365" s="1">
        <v>46166.637424108798</v>
      </c>
    </row>
    <row r="366" spans="1:12" x14ac:dyDescent="0.25">
      <c r="A366" t="s">
        <v>284</v>
      </c>
      <c r="B366" t="str">
        <f>resultado_db_usuario_5[[#This Row],[metodo]]&amp;" "&amp;SUBSTITUTE(resultado_db_usuario_5[[#This Row],[rota]],"/api/v1","")</f>
        <v>GET /testes/</v>
      </c>
      <c r="C366" t="s">
        <v>12</v>
      </c>
      <c r="D366" t="s">
        <v>30</v>
      </c>
      <c r="E366" t="s">
        <v>31</v>
      </c>
      <c r="F366">
        <v>200</v>
      </c>
      <c r="G366" s="2">
        <v>5.53</v>
      </c>
      <c r="H366" s="1">
        <v>46166.637424097222</v>
      </c>
      <c r="I366" s="1">
        <v>46166.637424166664</v>
      </c>
      <c r="J366" t="s">
        <v>15</v>
      </c>
      <c r="K366" t="s">
        <v>16</v>
      </c>
      <c r="L366" s="1">
        <v>46166.637424189816</v>
      </c>
    </row>
    <row r="367" spans="1:12" x14ac:dyDescent="0.25">
      <c r="A367" t="s">
        <v>288</v>
      </c>
      <c r="B367" t="str">
        <f>resultado_db_usuario_5[[#This Row],[metodo]]&amp;" "&amp;SUBSTITUTE(resultado_db_usuario_5[[#This Row],[rota]],"/api/v1","")</f>
        <v>GET /testes/</v>
      </c>
      <c r="C367" t="s">
        <v>12</v>
      </c>
      <c r="D367" t="s">
        <v>30</v>
      </c>
      <c r="E367" t="s">
        <v>31</v>
      </c>
      <c r="F367">
        <v>200</v>
      </c>
      <c r="G367" s="2">
        <v>4.0999999999999996</v>
      </c>
      <c r="H367" s="1">
        <v>46166.637424259257</v>
      </c>
      <c r="I367" s="1">
        <v>46166.637424305554</v>
      </c>
      <c r="J367" t="s">
        <v>15</v>
      </c>
      <c r="K367" t="s">
        <v>16</v>
      </c>
      <c r="L367" s="1">
        <v>46166.637424328706</v>
      </c>
    </row>
    <row r="368" spans="1:12" x14ac:dyDescent="0.25">
      <c r="A368" t="s">
        <v>325</v>
      </c>
      <c r="B368" t="str">
        <f>resultado_db_usuario_5[[#This Row],[metodo]]&amp;" "&amp;SUBSTITUTE(resultado_db_usuario_5[[#This Row],[rota]],"/api/v1","")</f>
        <v>GET /testes/</v>
      </c>
      <c r="C368" t="s">
        <v>12</v>
      </c>
      <c r="D368" t="s">
        <v>30</v>
      </c>
      <c r="E368" t="s">
        <v>31</v>
      </c>
      <c r="F368">
        <v>200</v>
      </c>
      <c r="G368" s="2">
        <v>12.15</v>
      </c>
      <c r="H368" s="1">
        <v>46166.637425914349</v>
      </c>
      <c r="I368" s="1">
        <v>46166.637426053239</v>
      </c>
      <c r="J368" t="s">
        <v>15</v>
      </c>
      <c r="K368" t="s">
        <v>16</v>
      </c>
      <c r="L368" s="1">
        <v>46166.637426076391</v>
      </c>
    </row>
    <row r="369" spans="1:12" x14ac:dyDescent="0.25">
      <c r="A369" t="s">
        <v>331</v>
      </c>
      <c r="B369" t="str">
        <f>resultado_db_usuario_5[[#This Row],[metodo]]&amp;" "&amp;SUBSTITUTE(resultado_db_usuario_5[[#This Row],[rota]],"/api/v1","")</f>
        <v>GET /testes/</v>
      </c>
      <c r="C369" t="s">
        <v>12</v>
      </c>
      <c r="D369" t="s">
        <v>30</v>
      </c>
      <c r="E369" t="s">
        <v>31</v>
      </c>
      <c r="F369">
        <v>200</v>
      </c>
      <c r="G369" s="2">
        <v>7.5</v>
      </c>
      <c r="H369" s="1">
        <v>46166.637426180554</v>
      </c>
      <c r="I369" s="1">
        <v>46166.637426273148</v>
      </c>
      <c r="J369" t="s">
        <v>15</v>
      </c>
      <c r="K369" t="s">
        <v>16</v>
      </c>
      <c r="L369" s="1">
        <v>46166.637426296293</v>
      </c>
    </row>
    <row r="370" spans="1:12" x14ac:dyDescent="0.25">
      <c r="A370" t="s">
        <v>334</v>
      </c>
      <c r="B370" t="str">
        <f>resultado_db_usuario_5[[#This Row],[metodo]]&amp;" "&amp;SUBSTITUTE(resultado_db_usuario_5[[#This Row],[rota]],"/api/v1","")</f>
        <v>GET /testes/</v>
      </c>
      <c r="C370" t="s">
        <v>12</v>
      </c>
      <c r="D370" t="s">
        <v>30</v>
      </c>
      <c r="E370" t="s">
        <v>31</v>
      </c>
      <c r="F370">
        <v>200</v>
      </c>
      <c r="G370" s="2">
        <v>8.34</v>
      </c>
      <c r="H370" s="1">
        <v>46166.637426307869</v>
      </c>
      <c r="I370" s="1">
        <v>46166.637426400463</v>
      </c>
      <c r="J370" t="s">
        <v>15</v>
      </c>
      <c r="K370" t="s">
        <v>16</v>
      </c>
      <c r="L370" s="1">
        <v>46166.637426435183</v>
      </c>
    </row>
    <row r="371" spans="1:12" x14ac:dyDescent="0.25">
      <c r="A371" t="s">
        <v>336</v>
      </c>
      <c r="B371" t="str">
        <f>resultado_db_usuario_5[[#This Row],[metodo]]&amp;" "&amp;SUBSTITUTE(resultado_db_usuario_5[[#This Row],[rota]],"/api/v1","")</f>
        <v>GET /testes/</v>
      </c>
      <c r="C371" t="s">
        <v>12</v>
      </c>
      <c r="D371" t="s">
        <v>30</v>
      </c>
      <c r="E371" t="s">
        <v>31</v>
      </c>
      <c r="F371">
        <v>200</v>
      </c>
      <c r="G371" s="2">
        <v>6.11</v>
      </c>
      <c r="H371" s="1">
        <v>46166.637426423615</v>
      </c>
      <c r="I371" s="1">
        <v>46166.637426493056</v>
      </c>
      <c r="J371" t="s">
        <v>15</v>
      </c>
      <c r="K371" t="s">
        <v>16</v>
      </c>
      <c r="L371" s="1">
        <v>46166.637426516201</v>
      </c>
    </row>
    <row r="372" spans="1:12" x14ac:dyDescent="0.25">
      <c r="A372" t="s">
        <v>345</v>
      </c>
      <c r="B372" t="str">
        <f>resultado_db_usuario_5[[#This Row],[metodo]]&amp;" "&amp;SUBSTITUTE(resultado_db_usuario_5[[#This Row],[rota]],"/api/v1","")</f>
        <v>GET /testes/</v>
      </c>
      <c r="C372" t="s">
        <v>12</v>
      </c>
      <c r="D372" t="s">
        <v>30</v>
      </c>
      <c r="E372" t="s">
        <v>31</v>
      </c>
      <c r="F372">
        <v>200</v>
      </c>
      <c r="G372" s="2">
        <v>9.3800000000000008</v>
      </c>
      <c r="H372" s="1">
        <v>46166.637426828704</v>
      </c>
      <c r="I372" s="1">
        <v>46166.637426932873</v>
      </c>
      <c r="J372" t="s">
        <v>15</v>
      </c>
      <c r="K372" t="s">
        <v>16</v>
      </c>
      <c r="L372" s="1">
        <v>46166.637426967594</v>
      </c>
    </row>
    <row r="373" spans="1:12" x14ac:dyDescent="0.25">
      <c r="A373" t="s">
        <v>376</v>
      </c>
      <c r="B373" t="str">
        <f>resultado_db_usuario_5[[#This Row],[metodo]]&amp;" "&amp;SUBSTITUTE(resultado_db_usuario_5[[#This Row],[rota]],"/api/v1","")</f>
        <v>GET /testes/</v>
      </c>
      <c r="C373" t="s">
        <v>12</v>
      </c>
      <c r="D373" t="s">
        <v>30</v>
      </c>
      <c r="E373" t="s">
        <v>31</v>
      </c>
      <c r="F373">
        <v>200</v>
      </c>
      <c r="G373" s="2">
        <v>13.4</v>
      </c>
      <c r="H373" s="1">
        <v>46166.637428796297</v>
      </c>
      <c r="I373" s="1">
        <v>46166.637428958333</v>
      </c>
      <c r="J373" t="s">
        <v>15</v>
      </c>
      <c r="K373" t="s">
        <v>16</v>
      </c>
      <c r="L373" s="1">
        <v>46166.637428981485</v>
      </c>
    </row>
    <row r="374" spans="1:12" x14ac:dyDescent="0.25">
      <c r="A374" t="s">
        <v>381</v>
      </c>
      <c r="B374" t="str">
        <f>resultado_db_usuario_5[[#This Row],[metodo]]&amp;" "&amp;SUBSTITUTE(resultado_db_usuario_5[[#This Row],[rota]],"/api/v1","")</f>
        <v>GET /testes/</v>
      </c>
      <c r="C374" t="s">
        <v>12</v>
      </c>
      <c r="D374" t="s">
        <v>30</v>
      </c>
      <c r="E374" t="s">
        <v>31</v>
      </c>
      <c r="F374">
        <v>200</v>
      </c>
      <c r="G374" s="2">
        <v>6.77</v>
      </c>
      <c r="H374" s="1">
        <v>46166.637429120368</v>
      </c>
      <c r="I374" s="1">
        <v>46166.637429189817</v>
      </c>
      <c r="J374" t="s">
        <v>15</v>
      </c>
      <c r="K374" t="s">
        <v>16</v>
      </c>
      <c r="L374" s="1">
        <v>46166.637429224538</v>
      </c>
    </row>
    <row r="375" spans="1:12" x14ac:dyDescent="0.25">
      <c r="A375" t="s">
        <v>386</v>
      </c>
      <c r="B375" t="str">
        <f>resultado_db_usuario_5[[#This Row],[metodo]]&amp;" "&amp;SUBSTITUTE(resultado_db_usuario_5[[#This Row],[rota]],"/api/v1","")</f>
        <v>GET /testes/</v>
      </c>
      <c r="C375" t="s">
        <v>12</v>
      </c>
      <c r="D375" t="s">
        <v>30</v>
      </c>
      <c r="E375" t="s">
        <v>31</v>
      </c>
      <c r="F375">
        <v>200</v>
      </c>
      <c r="G375" s="2">
        <v>7.45</v>
      </c>
      <c r="H375" s="1">
        <v>46166.637429305556</v>
      </c>
      <c r="I375" s="1">
        <v>46166.63742939815</v>
      </c>
      <c r="J375" t="s">
        <v>15</v>
      </c>
      <c r="K375" t="s">
        <v>16</v>
      </c>
      <c r="L375" s="1">
        <v>46166.637429421295</v>
      </c>
    </row>
    <row r="376" spans="1:12" x14ac:dyDescent="0.25">
      <c r="A376" t="s">
        <v>387</v>
      </c>
      <c r="B376" t="str">
        <f>resultado_db_usuario_5[[#This Row],[metodo]]&amp;" "&amp;SUBSTITUTE(resultado_db_usuario_5[[#This Row],[rota]],"/api/v1","")</f>
        <v>GET /testes/</v>
      </c>
      <c r="C376" t="s">
        <v>12</v>
      </c>
      <c r="D376" t="s">
        <v>30</v>
      </c>
      <c r="E376" t="s">
        <v>31</v>
      </c>
      <c r="F376">
        <v>200</v>
      </c>
      <c r="G376" s="2">
        <v>9.42</v>
      </c>
      <c r="H376" s="1">
        <v>46166.637429317132</v>
      </c>
      <c r="I376" s="1">
        <v>46166.637429432871</v>
      </c>
      <c r="J376" t="s">
        <v>15</v>
      </c>
      <c r="K376" t="s">
        <v>16</v>
      </c>
      <c r="L376" s="1">
        <v>46166.637429467592</v>
      </c>
    </row>
    <row r="377" spans="1:12" x14ac:dyDescent="0.25">
      <c r="A377" t="s">
        <v>394</v>
      </c>
      <c r="B377" t="str">
        <f>resultado_db_usuario_5[[#This Row],[metodo]]&amp;" "&amp;SUBSTITUTE(resultado_db_usuario_5[[#This Row],[rota]],"/api/v1","")</f>
        <v>GET /testes/</v>
      </c>
      <c r="C377" t="s">
        <v>12</v>
      </c>
      <c r="D377" t="s">
        <v>30</v>
      </c>
      <c r="E377" t="s">
        <v>31</v>
      </c>
      <c r="F377">
        <v>200</v>
      </c>
      <c r="G377" s="2">
        <v>9.2100000000000009</v>
      </c>
      <c r="H377" s="1">
        <v>46166.6374296875</v>
      </c>
      <c r="I377" s="1">
        <v>46166.63742979167</v>
      </c>
      <c r="J377" t="s">
        <v>15</v>
      </c>
      <c r="K377" t="s">
        <v>16</v>
      </c>
      <c r="L377" s="1">
        <v>46166.637429826391</v>
      </c>
    </row>
    <row r="378" spans="1:12" x14ac:dyDescent="0.25">
      <c r="A378" t="s">
        <v>429</v>
      </c>
      <c r="B378" t="str">
        <f>resultado_db_usuario_5[[#This Row],[metodo]]&amp;" "&amp;SUBSTITUTE(resultado_db_usuario_5[[#This Row],[rota]],"/api/v1","")</f>
        <v>GET /testes/</v>
      </c>
      <c r="C378" t="s">
        <v>12</v>
      </c>
      <c r="D378" t="s">
        <v>30</v>
      </c>
      <c r="E378" t="s">
        <v>31</v>
      </c>
      <c r="F378">
        <v>200</v>
      </c>
      <c r="G378" s="2">
        <v>3.48</v>
      </c>
      <c r="H378" s="1">
        <v>46166.637431817129</v>
      </c>
      <c r="I378" s="1">
        <v>46166.63743185185</v>
      </c>
      <c r="J378" t="s">
        <v>15</v>
      </c>
      <c r="K378" t="s">
        <v>16</v>
      </c>
      <c r="L378" s="1">
        <v>46166.637431875002</v>
      </c>
    </row>
    <row r="379" spans="1:12" x14ac:dyDescent="0.25">
      <c r="A379" t="s">
        <v>435</v>
      </c>
      <c r="B379" t="str">
        <f>resultado_db_usuario_5[[#This Row],[metodo]]&amp;" "&amp;SUBSTITUTE(resultado_db_usuario_5[[#This Row],[rota]],"/api/v1","")</f>
        <v>GET /testes/</v>
      </c>
      <c r="C379" t="s">
        <v>12</v>
      </c>
      <c r="D379" t="s">
        <v>30</v>
      </c>
      <c r="E379" t="s">
        <v>31</v>
      </c>
      <c r="F379">
        <v>200</v>
      </c>
      <c r="G379" s="2">
        <v>4.42</v>
      </c>
      <c r="H379" s="1">
        <v>46166.637431990741</v>
      </c>
      <c r="I379" s="1">
        <v>46166.637432037038</v>
      </c>
      <c r="J379" t="s">
        <v>15</v>
      </c>
      <c r="K379" t="s">
        <v>16</v>
      </c>
      <c r="L379" s="1">
        <v>46166.637432071759</v>
      </c>
    </row>
    <row r="380" spans="1:12" x14ac:dyDescent="0.25">
      <c r="A380" t="s">
        <v>437</v>
      </c>
      <c r="B380" t="str">
        <f>resultado_db_usuario_5[[#This Row],[metodo]]&amp;" "&amp;SUBSTITUTE(resultado_db_usuario_5[[#This Row],[rota]],"/api/v1","")</f>
        <v>GET /testes/</v>
      </c>
      <c r="C380" t="s">
        <v>12</v>
      </c>
      <c r="D380" t="s">
        <v>30</v>
      </c>
      <c r="E380" t="s">
        <v>31</v>
      </c>
      <c r="F380">
        <v>200</v>
      </c>
      <c r="G380" s="2">
        <v>9.1199999999999992</v>
      </c>
      <c r="H380" s="1">
        <v>46166.637432002317</v>
      </c>
      <c r="I380" s="1">
        <v>46166.63743210648</v>
      </c>
      <c r="J380" t="s">
        <v>15</v>
      </c>
      <c r="K380" t="s">
        <v>16</v>
      </c>
      <c r="L380" s="1">
        <v>46166.6374321412</v>
      </c>
    </row>
    <row r="381" spans="1:12" x14ac:dyDescent="0.25">
      <c r="A381" t="s">
        <v>440</v>
      </c>
      <c r="B381" t="str">
        <f>resultado_db_usuario_5[[#This Row],[metodo]]&amp;" "&amp;SUBSTITUTE(resultado_db_usuario_5[[#This Row],[rota]],"/api/v1","")</f>
        <v>GET /testes/</v>
      </c>
      <c r="C381" t="s">
        <v>12</v>
      </c>
      <c r="D381" t="s">
        <v>30</v>
      </c>
      <c r="E381" t="s">
        <v>31</v>
      </c>
      <c r="F381">
        <v>200</v>
      </c>
      <c r="G381" s="2">
        <v>6.25</v>
      </c>
      <c r="H381" s="1">
        <v>46166.637432164353</v>
      </c>
      <c r="I381" s="1">
        <v>46166.637432233794</v>
      </c>
      <c r="J381" t="s">
        <v>15</v>
      </c>
      <c r="K381" t="s">
        <v>16</v>
      </c>
      <c r="L381" s="1">
        <v>46166.637432268515</v>
      </c>
    </row>
    <row r="382" spans="1:12" x14ac:dyDescent="0.25">
      <c r="A382" t="s">
        <v>448</v>
      </c>
      <c r="B382" t="str">
        <f>resultado_db_usuario_5[[#This Row],[metodo]]&amp;" "&amp;SUBSTITUTE(resultado_db_usuario_5[[#This Row],[rota]],"/api/v1","")</f>
        <v>GET /testes/</v>
      </c>
      <c r="C382" t="s">
        <v>12</v>
      </c>
      <c r="D382" t="s">
        <v>30</v>
      </c>
      <c r="E382" t="s">
        <v>31</v>
      </c>
      <c r="F382">
        <v>200</v>
      </c>
      <c r="G382" s="2">
        <v>6.52</v>
      </c>
      <c r="H382" s="1">
        <v>46166.637432546297</v>
      </c>
      <c r="I382" s="1">
        <v>46166.637432615738</v>
      </c>
      <c r="J382" t="s">
        <v>15</v>
      </c>
      <c r="K382" t="s">
        <v>16</v>
      </c>
      <c r="L382" s="1">
        <v>46166.637432650467</v>
      </c>
    </row>
    <row r="383" spans="1:12" x14ac:dyDescent="0.25">
      <c r="A383" t="s">
        <v>483</v>
      </c>
      <c r="B383" t="str">
        <f>resultado_db_usuario_5[[#This Row],[metodo]]&amp;" "&amp;SUBSTITUTE(resultado_db_usuario_5[[#This Row],[rota]],"/api/v1","")</f>
        <v>GET /testes/</v>
      </c>
      <c r="C383" t="s">
        <v>12</v>
      </c>
      <c r="D383" t="s">
        <v>30</v>
      </c>
      <c r="E383" t="s">
        <v>31</v>
      </c>
      <c r="F383">
        <v>200</v>
      </c>
      <c r="G383" s="2">
        <v>35.07</v>
      </c>
      <c r="H383" s="1">
        <v>46166.637434861113</v>
      </c>
      <c r="I383" s="1">
        <v>46166.637435266202</v>
      </c>
      <c r="J383" t="s">
        <v>15</v>
      </c>
      <c r="K383" t="s">
        <v>16</v>
      </c>
      <c r="L383" s="1">
        <v>46166.637435312499</v>
      </c>
    </row>
    <row r="384" spans="1:12" x14ac:dyDescent="0.25">
      <c r="A384" t="s">
        <v>484</v>
      </c>
      <c r="B384" t="str">
        <f>resultado_db_usuario_5[[#This Row],[metodo]]&amp;" "&amp;SUBSTITUTE(resultado_db_usuario_5[[#This Row],[rota]],"/api/v1","")</f>
        <v>GET /testes/</v>
      </c>
      <c r="C384" t="s">
        <v>12</v>
      </c>
      <c r="D384" t="s">
        <v>30</v>
      </c>
      <c r="E384" t="s">
        <v>31</v>
      </c>
      <c r="F384">
        <v>200</v>
      </c>
      <c r="G384" s="2">
        <v>7.96</v>
      </c>
      <c r="H384" s="1">
        <v>46166.637435289354</v>
      </c>
      <c r="I384" s="1">
        <v>46166.637435381941</v>
      </c>
      <c r="J384" t="s">
        <v>15</v>
      </c>
      <c r="K384" t="s">
        <v>16</v>
      </c>
      <c r="L384" s="1">
        <v>46166.637435416669</v>
      </c>
    </row>
    <row r="385" spans="1:12" x14ac:dyDescent="0.25">
      <c r="A385" t="s">
        <v>486</v>
      </c>
      <c r="B385" t="str">
        <f>resultado_db_usuario_5[[#This Row],[metodo]]&amp;" "&amp;SUBSTITUTE(resultado_db_usuario_5[[#This Row],[rota]],"/api/v1","")</f>
        <v>GET /testes/</v>
      </c>
      <c r="C385" t="s">
        <v>12</v>
      </c>
      <c r="D385" t="s">
        <v>30</v>
      </c>
      <c r="E385" t="s">
        <v>31</v>
      </c>
      <c r="F385">
        <v>200</v>
      </c>
      <c r="G385" s="2">
        <v>11.06</v>
      </c>
      <c r="H385" s="1">
        <v>46166.637435324075</v>
      </c>
      <c r="I385" s="1">
        <v>46166.63743545139</v>
      </c>
      <c r="J385" t="s">
        <v>15</v>
      </c>
      <c r="K385" t="s">
        <v>16</v>
      </c>
      <c r="L385" s="1">
        <v>46166.637435497687</v>
      </c>
    </row>
    <row r="386" spans="1:12" x14ac:dyDescent="0.25">
      <c r="A386" t="s">
        <v>488</v>
      </c>
      <c r="B386" t="str">
        <f>resultado_db_usuario_5[[#This Row],[metodo]]&amp;" "&amp;SUBSTITUTE(resultado_db_usuario_5[[#This Row],[rota]],"/api/v1","")</f>
        <v>GET /testes/</v>
      </c>
      <c r="C386" t="s">
        <v>12</v>
      </c>
      <c r="D386" t="s">
        <v>30</v>
      </c>
      <c r="E386" t="s">
        <v>31</v>
      </c>
      <c r="F386">
        <v>200</v>
      </c>
      <c r="G386" s="2">
        <v>4.45</v>
      </c>
      <c r="H386" s="1">
        <v>46166.637435567129</v>
      </c>
      <c r="I386" s="1">
        <v>46166.637435613426</v>
      </c>
      <c r="J386" t="s">
        <v>15</v>
      </c>
      <c r="K386" t="s">
        <v>16</v>
      </c>
      <c r="L386" s="1">
        <v>46166.63743563657</v>
      </c>
    </row>
    <row r="387" spans="1:12" x14ac:dyDescent="0.25">
      <c r="A387" t="s">
        <v>501</v>
      </c>
      <c r="B387" t="str">
        <f>resultado_db_usuario_5[[#This Row],[metodo]]&amp;" "&amp;SUBSTITUTE(resultado_db_usuario_5[[#This Row],[rota]],"/api/v1","")</f>
        <v>GET /testes/</v>
      </c>
      <c r="C387" t="s">
        <v>12</v>
      </c>
      <c r="D387" t="s">
        <v>30</v>
      </c>
      <c r="E387" t="s">
        <v>31</v>
      </c>
      <c r="F387">
        <v>200</v>
      </c>
      <c r="G387" s="2">
        <v>5.97</v>
      </c>
      <c r="H387" s="1">
        <v>46166.637436006946</v>
      </c>
      <c r="I387" s="1">
        <v>46166.637436076388</v>
      </c>
      <c r="J387" t="s">
        <v>15</v>
      </c>
      <c r="K387" t="s">
        <v>16</v>
      </c>
      <c r="L387" s="1">
        <v>46166.63743609954</v>
      </c>
    </row>
    <row r="388" spans="1:12" x14ac:dyDescent="0.25">
      <c r="A388" t="s">
        <v>528</v>
      </c>
      <c r="B388" t="str">
        <f>resultado_db_usuario_5[[#This Row],[metodo]]&amp;" "&amp;SUBSTITUTE(resultado_db_usuario_5[[#This Row],[rota]],"/api/v1","")</f>
        <v>GET /testes/</v>
      </c>
      <c r="C388" t="s">
        <v>12</v>
      </c>
      <c r="D388" t="s">
        <v>30</v>
      </c>
      <c r="E388" t="s">
        <v>31</v>
      </c>
      <c r="F388">
        <v>200</v>
      </c>
      <c r="G388" s="2">
        <v>6.4</v>
      </c>
      <c r="H388" s="1">
        <v>46166.637437164354</v>
      </c>
      <c r="I388" s="1">
        <v>46166.637437245372</v>
      </c>
      <c r="J388" t="s">
        <v>15</v>
      </c>
      <c r="K388" t="s">
        <v>16</v>
      </c>
      <c r="L388" s="1">
        <v>46166.637437268517</v>
      </c>
    </row>
    <row r="389" spans="1:12" x14ac:dyDescent="0.25">
      <c r="A389" t="s">
        <v>529</v>
      </c>
      <c r="B389" t="str">
        <f>resultado_db_usuario_5[[#This Row],[metodo]]&amp;" "&amp;SUBSTITUTE(resultado_db_usuario_5[[#This Row],[rota]],"/api/v1","")</f>
        <v>GET /testes/</v>
      </c>
      <c r="C389" t="s">
        <v>12</v>
      </c>
      <c r="D389" t="s">
        <v>30</v>
      </c>
      <c r="E389" t="s">
        <v>31</v>
      </c>
      <c r="F389">
        <v>200</v>
      </c>
      <c r="G389" s="2">
        <v>5.73</v>
      </c>
      <c r="H389" s="1">
        <v>46166.637437199075</v>
      </c>
      <c r="I389" s="1">
        <v>46166.637437268517</v>
      </c>
      <c r="J389" t="s">
        <v>15</v>
      </c>
      <c r="K389" t="s">
        <v>16</v>
      </c>
      <c r="L389" s="1">
        <v>46166.637437291669</v>
      </c>
    </row>
    <row r="390" spans="1:12" x14ac:dyDescent="0.25">
      <c r="A390" t="s">
        <v>532</v>
      </c>
      <c r="B390" t="str">
        <f>resultado_db_usuario_5[[#This Row],[metodo]]&amp;" "&amp;SUBSTITUTE(resultado_db_usuario_5[[#This Row],[rota]],"/api/v1","")</f>
        <v>GET /testes/</v>
      </c>
      <c r="C390" t="s">
        <v>12</v>
      </c>
      <c r="D390" t="s">
        <v>30</v>
      </c>
      <c r="E390" t="s">
        <v>31</v>
      </c>
      <c r="F390">
        <v>200</v>
      </c>
      <c r="G390" s="2">
        <v>4.0999999999999996</v>
      </c>
      <c r="H390" s="1">
        <v>46166.637437418984</v>
      </c>
      <c r="I390" s="1">
        <v>46166.637437465281</v>
      </c>
      <c r="J390" t="s">
        <v>15</v>
      </c>
      <c r="K390" t="s">
        <v>16</v>
      </c>
      <c r="L390" s="1">
        <v>46166.637437488425</v>
      </c>
    </row>
    <row r="391" spans="1:12" x14ac:dyDescent="0.25">
      <c r="A391" t="s">
        <v>546</v>
      </c>
      <c r="B391" t="str">
        <f>resultado_db_usuario_5[[#This Row],[metodo]]&amp;" "&amp;SUBSTITUTE(resultado_db_usuario_5[[#This Row],[rota]],"/api/v1","")</f>
        <v>GET /testes/</v>
      </c>
      <c r="C391" t="s">
        <v>12</v>
      </c>
      <c r="D391" t="s">
        <v>30</v>
      </c>
      <c r="E391" t="s">
        <v>31</v>
      </c>
      <c r="F391">
        <v>200</v>
      </c>
      <c r="G391" s="2">
        <v>7.68</v>
      </c>
      <c r="H391" s="1">
        <v>46166.637437928242</v>
      </c>
      <c r="I391" s="1">
        <v>46166.63743800926</v>
      </c>
      <c r="J391" t="s">
        <v>15</v>
      </c>
      <c r="K391" t="s">
        <v>16</v>
      </c>
      <c r="L391" s="1">
        <v>46166.637438043981</v>
      </c>
    </row>
    <row r="392" spans="1:12" x14ac:dyDescent="0.25">
      <c r="A392" t="s">
        <v>564</v>
      </c>
      <c r="B392" t="str">
        <f>resultado_db_usuario_5[[#This Row],[metodo]]&amp;" "&amp;SUBSTITUTE(resultado_db_usuario_5[[#This Row],[rota]],"/api/v1","")</f>
        <v>GET /testes/</v>
      </c>
      <c r="C392" t="s">
        <v>12</v>
      </c>
      <c r="D392" t="s">
        <v>30</v>
      </c>
      <c r="E392" t="s">
        <v>31</v>
      </c>
      <c r="F392">
        <v>200</v>
      </c>
      <c r="G392" s="2">
        <v>4.3499999999999996</v>
      </c>
      <c r="H392" s="1">
        <v>46166.637439120372</v>
      </c>
      <c r="I392" s="1">
        <v>46166.637439166669</v>
      </c>
      <c r="J392" t="s">
        <v>15</v>
      </c>
      <c r="K392" t="s">
        <v>16</v>
      </c>
      <c r="L392" s="1">
        <v>46166.637439201389</v>
      </c>
    </row>
    <row r="393" spans="1:12" x14ac:dyDescent="0.25">
      <c r="A393" t="s">
        <v>570</v>
      </c>
      <c r="B393" t="str">
        <f>resultado_db_usuario_5[[#This Row],[metodo]]&amp;" "&amp;SUBSTITUTE(resultado_db_usuario_5[[#This Row],[rota]],"/api/v1","")</f>
        <v>GET /testes/</v>
      </c>
      <c r="C393" t="s">
        <v>12</v>
      </c>
      <c r="D393" t="s">
        <v>30</v>
      </c>
      <c r="E393" t="s">
        <v>31</v>
      </c>
      <c r="F393">
        <v>200</v>
      </c>
      <c r="G393" s="2">
        <v>9.92</v>
      </c>
      <c r="H393" s="1">
        <v>46166.637439560189</v>
      </c>
      <c r="I393" s="1">
        <v>46166.637439675927</v>
      </c>
      <c r="J393" t="s">
        <v>15</v>
      </c>
      <c r="K393" t="s">
        <v>16</v>
      </c>
      <c r="L393" s="1">
        <v>46166.637439699072</v>
      </c>
    </row>
    <row r="394" spans="1:12" x14ac:dyDescent="0.25">
      <c r="A394" t="s">
        <v>574</v>
      </c>
      <c r="B394" t="str">
        <f>resultado_db_usuario_5[[#This Row],[metodo]]&amp;" "&amp;SUBSTITUTE(resultado_db_usuario_5[[#This Row],[rota]],"/api/v1","")</f>
        <v>GET /testes/</v>
      </c>
      <c r="C394" t="s">
        <v>12</v>
      </c>
      <c r="D394" t="s">
        <v>30</v>
      </c>
      <c r="E394" t="s">
        <v>31</v>
      </c>
      <c r="F394">
        <v>200</v>
      </c>
      <c r="G394" s="2">
        <v>3.86</v>
      </c>
      <c r="H394" s="1">
        <v>46166.637439803242</v>
      </c>
      <c r="I394" s="1">
        <v>46166.637439849539</v>
      </c>
      <c r="J394" t="s">
        <v>15</v>
      </c>
      <c r="K394" t="s">
        <v>16</v>
      </c>
      <c r="L394" s="1">
        <v>46166.637439872684</v>
      </c>
    </row>
    <row r="395" spans="1:12" x14ac:dyDescent="0.25">
      <c r="A395" t="s">
        <v>583</v>
      </c>
      <c r="B395" t="str">
        <f>resultado_db_usuario_5[[#This Row],[metodo]]&amp;" "&amp;SUBSTITUTE(resultado_db_usuario_5[[#This Row],[rota]],"/api/v1","")</f>
        <v>GET /testes/</v>
      </c>
      <c r="C395" t="s">
        <v>12</v>
      </c>
      <c r="D395" t="s">
        <v>30</v>
      </c>
      <c r="E395" t="s">
        <v>31</v>
      </c>
      <c r="F395">
        <v>200</v>
      </c>
      <c r="G395" s="2">
        <v>8.31</v>
      </c>
      <c r="H395" s="1">
        <v>46166.637440115737</v>
      </c>
      <c r="I395" s="1">
        <v>46166.637440219907</v>
      </c>
      <c r="J395" t="s">
        <v>15</v>
      </c>
      <c r="K395" t="s">
        <v>16</v>
      </c>
      <c r="L395" s="1">
        <v>46166.637440243052</v>
      </c>
    </row>
    <row r="396" spans="1:12" x14ac:dyDescent="0.25">
      <c r="A396" t="s">
        <v>604</v>
      </c>
      <c r="B396" t="str">
        <f>resultado_db_usuario_5[[#This Row],[metodo]]&amp;" "&amp;SUBSTITUTE(resultado_db_usuario_5[[#This Row],[rota]],"/api/v1","")</f>
        <v>GET /testes/</v>
      </c>
      <c r="C396" t="s">
        <v>12</v>
      </c>
      <c r="D396" t="s">
        <v>30</v>
      </c>
      <c r="E396" t="s">
        <v>31</v>
      </c>
      <c r="F396">
        <v>200</v>
      </c>
      <c r="G396" s="2">
        <v>5.18</v>
      </c>
      <c r="H396" s="1">
        <v>46166.637441238425</v>
      </c>
      <c r="I396" s="1">
        <v>46166.637441296298</v>
      </c>
      <c r="J396" t="s">
        <v>15</v>
      </c>
      <c r="K396" t="s">
        <v>16</v>
      </c>
      <c r="L396" s="1">
        <v>46166.637441319443</v>
      </c>
    </row>
    <row r="397" spans="1:12" x14ac:dyDescent="0.25">
      <c r="A397" t="s">
        <v>607</v>
      </c>
      <c r="B397" t="str">
        <f>resultado_db_usuario_5[[#This Row],[metodo]]&amp;" "&amp;SUBSTITUTE(resultado_db_usuario_5[[#This Row],[rota]],"/api/v1","")</f>
        <v>GET /testes/</v>
      </c>
      <c r="C397" t="s">
        <v>12</v>
      </c>
      <c r="D397" t="s">
        <v>30</v>
      </c>
      <c r="E397" t="s">
        <v>31</v>
      </c>
      <c r="F397">
        <v>200</v>
      </c>
      <c r="G397" s="2">
        <v>9.94</v>
      </c>
      <c r="H397" s="1">
        <v>46166.637441458333</v>
      </c>
      <c r="I397" s="1">
        <v>46166.637441574072</v>
      </c>
      <c r="J397" t="s">
        <v>15</v>
      </c>
      <c r="K397" t="s">
        <v>16</v>
      </c>
      <c r="L397" s="1">
        <v>46166.637441608793</v>
      </c>
    </row>
    <row r="398" spans="1:12" x14ac:dyDescent="0.25">
      <c r="A398" t="s">
        <v>620</v>
      </c>
      <c r="B398" t="str">
        <f>resultado_db_usuario_5[[#This Row],[metodo]]&amp;" "&amp;SUBSTITUTE(resultado_db_usuario_5[[#This Row],[rota]],"/api/v1","")</f>
        <v>GET /testes/</v>
      </c>
      <c r="C398" t="s">
        <v>12</v>
      </c>
      <c r="D398" t="s">
        <v>30</v>
      </c>
      <c r="E398" t="s">
        <v>31</v>
      </c>
      <c r="F398">
        <v>200</v>
      </c>
      <c r="G398" s="2">
        <v>5.65</v>
      </c>
      <c r="H398" s="1">
        <v>46166.637442083331</v>
      </c>
      <c r="I398" s="1">
        <v>46166.63744215278</v>
      </c>
      <c r="J398" t="s">
        <v>15</v>
      </c>
      <c r="K398" t="s">
        <v>16</v>
      </c>
      <c r="L398" s="1">
        <v>46166.637442187501</v>
      </c>
    </row>
    <row r="399" spans="1:12" x14ac:dyDescent="0.25">
      <c r="A399" t="s">
        <v>631</v>
      </c>
      <c r="B399" t="str">
        <f>resultado_db_usuario_5[[#This Row],[metodo]]&amp;" "&amp;SUBSTITUTE(resultado_db_usuario_5[[#This Row],[rota]],"/api/v1","")</f>
        <v>GET /testes/</v>
      </c>
      <c r="C399" t="s">
        <v>12</v>
      </c>
      <c r="D399" t="s">
        <v>30</v>
      </c>
      <c r="E399" t="s">
        <v>31</v>
      </c>
      <c r="F399">
        <v>200</v>
      </c>
      <c r="G399" s="2">
        <v>3.96</v>
      </c>
      <c r="H399" s="1">
        <v>46166.63744283565</v>
      </c>
      <c r="I399" s="1">
        <v>46166.637442881947</v>
      </c>
      <c r="J399" t="s">
        <v>15</v>
      </c>
      <c r="K399" t="s">
        <v>16</v>
      </c>
      <c r="L399" s="1">
        <v>46166.637442916668</v>
      </c>
    </row>
    <row r="400" spans="1:12" x14ac:dyDescent="0.25">
      <c r="A400" t="s">
        <v>642</v>
      </c>
      <c r="B400" t="str">
        <f>resultado_db_usuario_5[[#This Row],[metodo]]&amp;" "&amp;SUBSTITUTE(resultado_db_usuario_5[[#This Row],[rota]],"/api/v1","")</f>
        <v>GET /testes/</v>
      </c>
      <c r="C400" t="s">
        <v>12</v>
      </c>
      <c r="D400" t="s">
        <v>30</v>
      </c>
      <c r="E400" t="s">
        <v>31</v>
      </c>
      <c r="F400">
        <v>200</v>
      </c>
      <c r="G400" s="2">
        <v>5.16</v>
      </c>
      <c r="H400" s="1">
        <v>46166.63744377315</v>
      </c>
      <c r="I400" s="1">
        <v>46166.637443831016</v>
      </c>
      <c r="J400" t="s">
        <v>15</v>
      </c>
      <c r="K400" t="s">
        <v>16</v>
      </c>
      <c r="L400" s="1">
        <v>46166.637443854168</v>
      </c>
    </row>
    <row r="401" spans="1:12" x14ac:dyDescent="0.25">
      <c r="A401" t="s">
        <v>651</v>
      </c>
      <c r="B401" t="str">
        <f>resultado_db_usuario_5[[#This Row],[metodo]]&amp;" "&amp;SUBSTITUTE(resultado_db_usuario_5[[#This Row],[rota]],"/api/v1","")</f>
        <v>GET /testes/</v>
      </c>
      <c r="C401" t="s">
        <v>12</v>
      </c>
      <c r="D401" t="s">
        <v>30</v>
      </c>
      <c r="E401" t="s">
        <v>31</v>
      </c>
      <c r="F401">
        <v>200</v>
      </c>
      <c r="G401" s="2">
        <v>3.83</v>
      </c>
      <c r="H401" s="1">
        <v>46166.637444178239</v>
      </c>
      <c r="I401" s="1">
        <v>46166.637444224536</v>
      </c>
      <c r="J401" t="s">
        <v>15</v>
      </c>
      <c r="K401" t="s">
        <v>16</v>
      </c>
      <c r="L401" s="1">
        <v>46166.637444247688</v>
      </c>
    </row>
    <row r="402" spans="1:12" x14ac:dyDescent="0.25">
      <c r="A402" t="s">
        <v>145</v>
      </c>
      <c r="B402" t="str">
        <f>resultado_db_usuario_5[[#This Row],[metodo]]&amp;" "&amp;SUBSTITUTE(resultado_db_usuario_5[[#This Row],[rota]],"/api/v1","")</f>
        <v>PATCH /pecas/:id</v>
      </c>
      <c r="C402" t="s">
        <v>35</v>
      </c>
      <c r="D402" t="s">
        <v>36</v>
      </c>
      <c r="E402" t="s">
        <v>37</v>
      </c>
      <c r="F402">
        <v>200</v>
      </c>
      <c r="G402" s="2">
        <v>11.13</v>
      </c>
      <c r="H402" s="1">
        <v>46166.637414421297</v>
      </c>
      <c r="I402" s="1">
        <v>46166.637414548612</v>
      </c>
      <c r="J402" t="s">
        <v>15</v>
      </c>
      <c r="K402" t="s">
        <v>16</v>
      </c>
      <c r="L402" s="1">
        <v>46166.637414583332</v>
      </c>
    </row>
    <row r="403" spans="1:12" x14ac:dyDescent="0.25">
      <c r="A403" t="s">
        <v>155</v>
      </c>
      <c r="B403" t="str">
        <f>resultado_db_usuario_5[[#This Row],[metodo]]&amp;" "&amp;SUBSTITUTE(resultado_db_usuario_5[[#This Row],[rota]],"/api/v1","")</f>
        <v>PATCH /pecas/:id</v>
      </c>
      <c r="C403" t="s">
        <v>35</v>
      </c>
      <c r="D403" t="s">
        <v>36</v>
      </c>
      <c r="E403" t="s">
        <v>37</v>
      </c>
      <c r="F403">
        <v>200</v>
      </c>
      <c r="G403" s="2">
        <v>9.0299999999999994</v>
      </c>
      <c r="H403" s="1">
        <v>46166.637415543984</v>
      </c>
      <c r="I403" s="1">
        <v>46166.637415648147</v>
      </c>
      <c r="J403" t="s">
        <v>15</v>
      </c>
      <c r="K403" t="s">
        <v>16</v>
      </c>
      <c r="L403" s="1">
        <v>46166.637415682868</v>
      </c>
    </row>
    <row r="404" spans="1:12" x14ac:dyDescent="0.25">
      <c r="A404" t="s">
        <v>172</v>
      </c>
      <c r="B404" t="str">
        <f>resultado_db_usuario_5[[#This Row],[metodo]]&amp;" "&amp;SUBSTITUTE(resultado_db_usuario_5[[#This Row],[rota]],"/api/v1","")</f>
        <v>PATCH /pecas/:id</v>
      </c>
      <c r="C404" t="s">
        <v>35</v>
      </c>
      <c r="D404" t="s">
        <v>173</v>
      </c>
      <c r="E404" t="s">
        <v>37</v>
      </c>
      <c r="F404">
        <v>404</v>
      </c>
      <c r="G404" s="2">
        <v>3.15</v>
      </c>
      <c r="H404" s="1">
        <v>46166.637417152779</v>
      </c>
      <c r="I404" s="1">
        <v>46166.6374171875</v>
      </c>
      <c r="J404" t="s">
        <v>15</v>
      </c>
      <c r="K404" t="s">
        <v>16</v>
      </c>
      <c r="L404" s="1">
        <v>46166.63741722222</v>
      </c>
    </row>
    <row r="405" spans="1:12" x14ac:dyDescent="0.25">
      <c r="A405" t="s">
        <v>175</v>
      </c>
      <c r="B405" t="str">
        <f>resultado_db_usuario_5[[#This Row],[metodo]]&amp;" "&amp;SUBSTITUTE(resultado_db_usuario_5[[#This Row],[rota]],"/api/v1","")</f>
        <v>PATCH /pecas/:id</v>
      </c>
      <c r="C405" t="s">
        <v>35</v>
      </c>
      <c r="D405" t="s">
        <v>36</v>
      </c>
      <c r="E405" t="s">
        <v>37</v>
      </c>
      <c r="F405">
        <v>200</v>
      </c>
      <c r="G405" s="2">
        <v>14.11</v>
      </c>
      <c r="H405" s="1">
        <v>46166.637417129627</v>
      </c>
      <c r="I405" s="1">
        <v>46166.637417291669</v>
      </c>
      <c r="J405" t="s">
        <v>15</v>
      </c>
      <c r="K405" t="s">
        <v>16</v>
      </c>
      <c r="L405" s="1">
        <v>46166.63741732639</v>
      </c>
    </row>
    <row r="406" spans="1:12" x14ac:dyDescent="0.25">
      <c r="A406" t="s">
        <v>200</v>
      </c>
      <c r="B406" t="str">
        <f>resultado_db_usuario_5[[#This Row],[metodo]]&amp;" "&amp;SUBSTITUTE(resultado_db_usuario_5[[#This Row],[rota]],"/api/v1","")</f>
        <v>PATCH /pecas/:id</v>
      </c>
      <c r="C406" t="s">
        <v>35</v>
      </c>
      <c r="D406" t="s">
        <v>36</v>
      </c>
      <c r="E406" t="s">
        <v>37</v>
      </c>
      <c r="F406">
        <v>200</v>
      </c>
      <c r="G406" s="2">
        <v>12.55</v>
      </c>
      <c r="H406" s="1">
        <v>46166.637419108796</v>
      </c>
      <c r="I406" s="1">
        <v>46166.637419247687</v>
      </c>
      <c r="J406" t="s">
        <v>15</v>
      </c>
      <c r="K406" t="s">
        <v>16</v>
      </c>
      <c r="L406" s="1">
        <v>46166.637419282408</v>
      </c>
    </row>
    <row r="407" spans="1:12" x14ac:dyDescent="0.25">
      <c r="A407" t="s">
        <v>203</v>
      </c>
      <c r="B407" t="str">
        <f>resultado_db_usuario_5[[#This Row],[metodo]]&amp;" "&amp;SUBSTITUTE(resultado_db_usuario_5[[#This Row],[rota]],"/api/v1","")</f>
        <v>PATCH /pecas/:id</v>
      </c>
      <c r="C407" t="s">
        <v>35</v>
      </c>
      <c r="D407" t="s">
        <v>204</v>
      </c>
      <c r="E407" t="s">
        <v>37</v>
      </c>
      <c r="F407">
        <v>200</v>
      </c>
      <c r="G407" s="2">
        <v>10.71</v>
      </c>
      <c r="H407" s="1">
        <v>46166.637419270832</v>
      </c>
      <c r="I407" s="1">
        <v>46166.637419386578</v>
      </c>
      <c r="J407" t="s">
        <v>15</v>
      </c>
      <c r="K407" t="s">
        <v>16</v>
      </c>
      <c r="L407" s="1">
        <v>46166.637419421299</v>
      </c>
    </row>
    <row r="408" spans="1:12" x14ac:dyDescent="0.25">
      <c r="A408" t="s">
        <v>207</v>
      </c>
      <c r="B408" t="str">
        <f>resultado_db_usuario_5[[#This Row],[metodo]]&amp;" "&amp;SUBSTITUTE(resultado_db_usuario_5[[#This Row],[rota]],"/api/v1","")</f>
        <v>PATCH /pecas/:id</v>
      </c>
      <c r="C408" t="s">
        <v>35</v>
      </c>
      <c r="D408" t="s">
        <v>208</v>
      </c>
      <c r="E408" t="s">
        <v>37</v>
      </c>
      <c r="F408">
        <v>200</v>
      </c>
      <c r="G408" s="2">
        <v>12.66</v>
      </c>
      <c r="H408" s="1">
        <v>46166.637419409722</v>
      </c>
      <c r="I408" s="1">
        <v>46166.637419560182</v>
      </c>
      <c r="J408" t="s">
        <v>15</v>
      </c>
      <c r="K408" t="s">
        <v>16</v>
      </c>
      <c r="L408" s="1">
        <v>46166.637419583334</v>
      </c>
    </row>
    <row r="409" spans="1:12" x14ac:dyDescent="0.25">
      <c r="A409" t="s">
        <v>239</v>
      </c>
      <c r="B409" t="str">
        <f>resultado_db_usuario_5[[#This Row],[metodo]]&amp;" "&amp;SUBSTITUTE(resultado_db_usuario_5[[#This Row],[rota]],"/api/v1","")</f>
        <v>PATCH /pecas/:id</v>
      </c>
      <c r="C409" t="s">
        <v>35</v>
      </c>
      <c r="D409" t="s">
        <v>173</v>
      </c>
      <c r="E409" t="s">
        <v>37</v>
      </c>
      <c r="F409">
        <v>404</v>
      </c>
      <c r="G409" s="2">
        <v>5.32</v>
      </c>
      <c r="H409" s="1">
        <v>46166.637421423613</v>
      </c>
      <c r="I409" s="1">
        <v>46166.637421493055</v>
      </c>
      <c r="J409" t="s">
        <v>15</v>
      </c>
      <c r="K409" t="s">
        <v>16</v>
      </c>
      <c r="L409" s="1">
        <v>46166.637421516207</v>
      </c>
    </row>
    <row r="410" spans="1:12" x14ac:dyDescent="0.25">
      <c r="A410" t="s">
        <v>243</v>
      </c>
      <c r="B410" t="str">
        <f>resultado_db_usuario_5[[#This Row],[metodo]]&amp;" "&amp;SUBSTITUTE(resultado_db_usuario_5[[#This Row],[rota]],"/api/v1","")</f>
        <v>PATCH /pecas/:id</v>
      </c>
      <c r="C410" t="s">
        <v>35</v>
      </c>
      <c r="D410" t="s">
        <v>36</v>
      </c>
      <c r="E410" t="s">
        <v>37</v>
      </c>
      <c r="F410">
        <v>200</v>
      </c>
      <c r="G410" s="2">
        <v>17.45</v>
      </c>
      <c r="H410" s="1">
        <v>46166.637421400461</v>
      </c>
      <c r="I410" s="1">
        <v>46166.637421608793</v>
      </c>
      <c r="J410" t="s">
        <v>15</v>
      </c>
      <c r="K410" t="s">
        <v>16</v>
      </c>
      <c r="L410" s="1">
        <v>46166.637421631945</v>
      </c>
    </row>
    <row r="411" spans="1:12" x14ac:dyDescent="0.25">
      <c r="A411" t="s">
        <v>248</v>
      </c>
      <c r="B411" t="str">
        <f>resultado_db_usuario_5[[#This Row],[metodo]]&amp;" "&amp;SUBSTITUTE(resultado_db_usuario_5[[#This Row],[rota]],"/api/v1","")</f>
        <v>PATCH /pecas/:id</v>
      </c>
      <c r="C411" t="s">
        <v>35</v>
      </c>
      <c r="D411" t="s">
        <v>204</v>
      </c>
      <c r="E411" t="s">
        <v>37</v>
      </c>
      <c r="F411">
        <v>200</v>
      </c>
      <c r="G411" s="2">
        <v>15.36</v>
      </c>
      <c r="H411" s="1">
        <v>46166.637421678242</v>
      </c>
      <c r="I411" s="1">
        <v>46166.637421851854</v>
      </c>
      <c r="J411" t="s">
        <v>15</v>
      </c>
      <c r="K411" t="s">
        <v>16</v>
      </c>
      <c r="L411" s="1">
        <v>46166.637421886575</v>
      </c>
    </row>
    <row r="412" spans="1:12" x14ac:dyDescent="0.25">
      <c r="A412" t="s">
        <v>254</v>
      </c>
      <c r="B412" t="str">
        <f>resultado_db_usuario_5[[#This Row],[metodo]]&amp;" "&amp;SUBSTITUTE(resultado_db_usuario_5[[#This Row],[rota]],"/api/v1","")</f>
        <v>PATCH /pecas/:id</v>
      </c>
      <c r="C412" t="s">
        <v>35</v>
      </c>
      <c r="D412" t="s">
        <v>208</v>
      </c>
      <c r="E412" t="s">
        <v>37</v>
      </c>
      <c r="F412">
        <v>200</v>
      </c>
      <c r="G412" s="2">
        <v>33.549999999999997</v>
      </c>
      <c r="H412" s="1">
        <v>46166.637422025466</v>
      </c>
      <c r="I412" s="1">
        <v>46166.637422418979</v>
      </c>
      <c r="J412" t="s">
        <v>15</v>
      </c>
      <c r="K412" t="s">
        <v>16</v>
      </c>
      <c r="L412" s="1">
        <v>46166.637422442131</v>
      </c>
    </row>
    <row r="413" spans="1:12" x14ac:dyDescent="0.25">
      <c r="A413" t="s">
        <v>287</v>
      </c>
      <c r="B413" t="str">
        <f>resultado_db_usuario_5[[#This Row],[metodo]]&amp;" "&amp;SUBSTITUTE(resultado_db_usuario_5[[#This Row],[rota]],"/api/v1","")</f>
        <v>PATCH /pecas/:id</v>
      </c>
      <c r="C413" t="s">
        <v>35</v>
      </c>
      <c r="D413" t="s">
        <v>36</v>
      </c>
      <c r="E413" t="s">
        <v>37</v>
      </c>
      <c r="F413">
        <v>200</v>
      </c>
      <c r="G413" s="2">
        <v>15.06</v>
      </c>
      <c r="H413" s="1">
        <v>46166.637424074077</v>
      </c>
      <c r="I413" s="1">
        <v>46166.637424247689</v>
      </c>
      <c r="J413" t="s">
        <v>15</v>
      </c>
      <c r="K413" t="s">
        <v>16</v>
      </c>
      <c r="L413" s="1">
        <v>46166.637424270833</v>
      </c>
    </row>
    <row r="414" spans="1:12" x14ac:dyDescent="0.25">
      <c r="A414" t="s">
        <v>292</v>
      </c>
      <c r="B414" t="str">
        <f>resultado_db_usuario_5[[#This Row],[metodo]]&amp;" "&amp;SUBSTITUTE(resultado_db_usuario_5[[#This Row],[rota]],"/api/v1","")</f>
        <v>PATCH /pecas/:id</v>
      </c>
      <c r="C414" t="s">
        <v>35</v>
      </c>
      <c r="D414" t="s">
        <v>204</v>
      </c>
      <c r="E414" t="s">
        <v>37</v>
      </c>
      <c r="F414">
        <v>200</v>
      </c>
      <c r="G414" s="2">
        <v>17.53</v>
      </c>
      <c r="H414" s="1">
        <v>46166.637424270833</v>
      </c>
      <c r="I414" s="1">
        <v>46166.63742446759</v>
      </c>
      <c r="J414" t="s">
        <v>15</v>
      </c>
      <c r="K414" t="s">
        <v>16</v>
      </c>
      <c r="L414" s="1">
        <v>46166.637424502318</v>
      </c>
    </row>
    <row r="415" spans="1:12" x14ac:dyDescent="0.25">
      <c r="A415" t="s">
        <v>294</v>
      </c>
      <c r="B415" t="str">
        <f>resultado_db_usuario_5[[#This Row],[metodo]]&amp;" "&amp;SUBSTITUTE(resultado_db_usuario_5[[#This Row],[rota]],"/api/v1","")</f>
        <v>PATCH /pecas/:id</v>
      </c>
      <c r="C415" t="s">
        <v>35</v>
      </c>
      <c r="D415" t="s">
        <v>173</v>
      </c>
      <c r="E415" t="s">
        <v>37</v>
      </c>
      <c r="F415">
        <v>404</v>
      </c>
      <c r="G415" s="2">
        <v>4.46</v>
      </c>
      <c r="H415" s="1">
        <v>46166.637424513887</v>
      </c>
      <c r="I415" s="1">
        <v>46166.637424560184</v>
      </c>
      <c r="J415" t="s">
        <v>15</v>
      </c>
      <c r="K415" t="s">
        <v>16</v>
      </c>
      <c r="L415" s="1">
        <v>46166.637424594905</v>
      </c>
    </row>
    <row r="416" spans="1:12" x14ac:dyDescent="0.25">
      <c r="A416" t="s">
        <v>297</v>
      </c>
      <c r="B416" t="str">
        <f>resultado_db_usuario_5[[#This Row],[metodo]]&amp;" "&amp;SUBSTITUTE(resultado_db_usuario_5[[#This Row],[rota]],"/api/v1","")</f>
        <v>PATCH /pecas/:id</v>
      </c>
      <c r="C416" t="s">
        <v>35</v>
      </c>
      <c r="D416" t="s">
        <v>208</v>
      </c>
      <c r="E416" t="s">
        <v>37</v>
      </c>
      <c r="F416">
        <v>200</v>
      </c>
      <c r="G416" s="2">
        <v>14.03</v>
      </c>
      <c r="H416" s="1">
        <v>46166.637424490742</v>
      </c>
      <c r="I416" s="1">
        <v>46166.637424652778</v>
      </c>
      <c r="J416" t="s">
        <v>15</v>
      </c>
      <c r="K416" t="s">
        <v>16</v>
      </c>
      <c r="L416" s="1">
        <v>46166.637424687498</v>
      </c>
    </row>
    <row r="417" spans="1:12" x14ac:dyDescent="0.25">
      <c r="A417" t="s">
        <v>304</v>
      </c>
      <c r="B417" t="str">
        <f>resultado_db_usuario_5[[#This Row],[metodo]]&amp;" "&amp;SUBSTITUTE(resultado_db_usuario_5[[#This Row],[rota]],"/api/v1","")</f>
        <v>PATCH /pecas/:id</v>
      </c>
      <c r="C417" t="s">
        <v>35</v>
      </c>
      <c r="D417" t="s">
        <v>305</v>
      </c>
      <c r="E417" t="s">
        <v>37</v>
      </c>
      <c r="F417">
        <v>200</v>
      </c>
      <c r="G417" s="2">
        <v>28.45</v>
      </c>
      <c r="H417" s="1">
        <v>46166.637424745371</v>
      </c>
      <c r="I417" s="1">
        <v>46166.637425069443</v>
      </c>
      <c r="J417" t="s">
        <v>15</v>
      </c>
      <c r="K417" t="s">
        <v>16</v>
      </c>
      <c r="L417" s="1">
        <v>46166.637425092595</v>
      </c>
    </row>
    <row r="418" spans="1:12" x14ac:dyDescent="0.25">
      <c r="A418" t="s">
        <v>339</v>
      </c>
      <c r="B418" t="str">
        <f>resultado_db_usuario_5[[#This Row],[metodo]]&amp;" "&amp;SUBSTITUTE(resultado_db_usuario_5[[#This Row],[rota]],"/api/v1","")</f>
        <v>PATCH /pecas/:id</v>
      </c>
      <c r="C418" t="s">
        <v>35</v>
      </c>
      <c r="D418" t="s">
        <v>36</v>
      </c>
      <c r="E418" t="s">
        <v>37</v>
      </c>
      <c r="F418">
        <v>200</v>
      </c>
      <c r="G418" s="2">
        <v>15.84</v>
      </c>
      <c r="H418" s="1">
        <v>46166.637426504632</v>
      </c>
      <c r="I418" s="1">
        <v>46166.637426689813</v>
      </c>
      <c r="J418" t="s">
        <v>15</v>
      </c>
      <c r="K418" t="s">
        <v>16</v>
      </c>
      <c r="L418" s="1">
        <v>46166.637426712965</v>
      </c>
    </row>
    <row r="419" spans="1:12" x14ac:dyDescent="0.25">
      <c r="A419" t="s">
        <v>343</v>
      </c>
      <c r="B419" t="str">
        <f>resultado_db_usuario_5[[#This Row],[metodo]]&amp;" "&amp;SUBSTITUTE(resultado_db_usuario_5[[#This Row],[rota]],"/api/v1","")</f>
        <v>PATCH /pecas/:id</v>
      </c>
      <c r="C419" t="s">
        <v>35</v>
      </c>
      <c r="D419" t="s">
        <v>204</v>
      </c>
      <c r="E419" t="s">
        <v>37</v>
      </c>
      <c r="F419">
        <v>200</v>
      </c>
      <c r="G419" s="2">
        <v>18.940000000000001</v>
      </c>
      <c r="H419" s="1">
        <v>46166.637426655092</v>
      </c>
      <c r="I419" s="1">
        <v>46166.637426875001</v>
      </c>
      <c r="J419" t="s">
        <v>15</v>
      </c>
      <c r="K419" t="s">
        <v>16</v>
      </c>
      <c r="L419" s="1">
        <v>46166.637426909721</v>
      </c>
    </row>
    <row r="420" spans="1:12" x14ac:dyDescent="0.25">
      <c r="A420" t="s">
        <v>346</v>
      </c>
      <c r="B420" t="str">
        <f>resultado_db_usuario_5[[#This Row],[metodo]]&amp;" "&amp;SUBSTITUTE(resultado_db_usuario_5[[#This Row],[rota]],"/api/v1","")</f>
        <v>PATCH /pecas/:id</v>
      </c>
      <c r="C420" t="s">
        <v>35</v>
      </c>
      <c r="D420" t="s">
        <v>173</v>
      </c>
      <c r="E420" t="s">
        <v>37</v>
      </c>
      <c r="F420">
        <v>404</v>
      </c>
      <c r="G420" s="2">
        <v>8.8800000000000008</v>
      </c>
      <c r="H420" s="1">
        <v>46166.637426863424</v>
      </c>
      <c r="I420" s="1">
        <v>46166.637426967594</v>
      </c>
      <c r="J420" t="s">
        <v>15</v>
      </c>
      <c r="K420" t="s">
        <v>16</v>
      </c>
      <c r="L420" s="1">
        <v>46166.637426990739</v>
      </c>
    </row>
    <row r="421" spans="1:12" x14ac:dyDescent="0.25">
      <c r="A421" t="s">
        <v>348</v>
      </c>
      <c r="B421" t="str">
        <f>resultado_db_usuario_5[[#This Row],[metodo]]&amp;" "&amp;SUBSTITUTE(resultado_db_usuario_5[[#This Row],[rota]],"/api/v1","")</f>
        <v>PATCH /pecas/:id</v>
      </c>
      <c r="C421" t="s">
        <v>35</v>
      </c>
      <c r="D421" t="s">
        <v>208</v>
      </c>
      <c r="E421" t="s">
        <v>37</v>
      </c>
      <c r="F421">
        <v>200</v>
      </c>
      <c r="G421" s="2">
        <v>16.78</v>
      </c>
      <c r="H421" s="1">
        <v>46166.63742684028</v>
      </c>
      <c r="I421" s="1">
        <v>46166.637427037036</v>
      </c>
      <c r="J421" t="s">
        <v>15</v>
      </c>
      <c r="K421" t="s">
        <v>16</v>
      </c>
      <c r="L421" s="1">
        <v>46166.637427060188</v>
      </c>
    </row>
    <row r="422" spans="1:12" x14ac:dyDescent="0.25">
      <c r="A422" t="s">
        <v>359</v>
      </c>
      <c r="B422" t="str">
        <f>resultado_db_usuario_5[[#This Row],[metodo]]&amp;" "&amp;SUBSTITUTE(resultado_db_usuario_5[[#This Row],[rota]],"/api/v1","")</f>
        <v>PATCH /pecas/:id</v>
      </c>
      <c r="C422" t="s">
        <v>35</v>
      </c>
      <c r="D422" t="s">
        <v>305</v>
      </c>
      <c r="E422" t="s">
        <v>37</v>
      </c>
      <c r="F422">
        <v>200</v>
      </c>
      <c r="G422" s="2">
        <v>40.04</v>
      </c>
      <c r="H422" s="1">
        <v>46166.637427442132</v>
      </c>
      <c r="I422" s="1">
        <v>46166.637427905094</v>
      </c>
      <c r="J422" t="s">
        <v>15</v>
      </c>
      <c r="K422" t="s">
        <v>16</v>
      </c>
      <c r="L422" s="1">
        <v>46166.637427939815</v>
      </c>
    </row>
    <row r="423" spans="1:12" x14ac:dyDescent="0.25">
      <c r="A423" t="s">
        <v>391</v>
      </c>
      <c r="B423" t="str">
        <f>resultado_db_usuario_5[[#This Row],[metodo]]&amp;" "&amp;SUBSTITUTE(resultado_db_usuario_5[[#This Row],[rota]],"/api/v1","")</f>
        <v>PATCH /pecas/:id</v>
      </c>
      <c r="C423" t="s">
        <v>35</v>
      </c>
      <c r="D423" t="s">
        <v>36</v>
      </c>
      <c r="E423" t="s">
        <v>37</v>
      </c>
      <c r="F423">
        <v>200</v>
      </c>
      <c r="G423" s="2">
        <v>16.100000000000001</v>
      </c>
      <c r="H423" s="1">
        <v>46166.637429479168</v>
      </c>
      <c r="I423" s="1">
        <v>46166.637429664355</v>
      </c>
      <c r="J423" t="s">
        <v>15</v>
      </c>
      <c r="K423" t="s">
        <v>16</v>
      </c>
      <c r="L423" s="1">
        <v>46166.6374296875</v>
      </c>
    </row>
    <row r="424" spans="1:12" x14ac:dyDescent="0.25">
      <c r="A424" t="s">
        <v>396</v>
      </c>
      <c r="B424" t="str">
        <f>resultado_db_usuario_5[[#This Row],[metodo]]&amp;" "&amp;SUBSTITUTE(resultado_db_usuario_5[[#This Row],[rota]],"/api/v1","")</f>
        <v>PATCH /pecas/:id</v>
      </c>
      <c r="C424" t="s">
        <v>35</v>
      </c>
      <c r="D424" t="s">
        <v>204</v>
      </c>
      <c r="E424" t="s">
        <v>37</v>
      </c>
      <c r="F424">
        <v>200</v>
      </c>
      <c r="G424" s="2">
        <v>19.010000000000002</v>
      </c>
      <c r="H424" s="1">
        <v>46166.637429618058</v>
      </c>
      <c r="I424" s="1">
        <v>46166.63742983796</v>
      </c>
      <c r="J424" t="s">
        <v>15</v>
      </c>
      <c r="K424" t="s">
        <v>16</v>
      </c>
      <c r="L424" s="1">
        <v>46166.637429861112</v>
      </c>
    </row>
    <row r="425" spans="1:12" x14ac:dyDescent="0.25">
      <c r="A425" t="s">
        <v>398</v>
      </c>
      <c r="B425" t="str">
        <f>resultado_db_usuario_5[[#This Row],[metodo]]&amp;" "&amp;SUBSTITUTE(resultado_db_usuario_5[[#This Row],[rota]],"/api/v1","")</f>
        <v>PATCH /pecas/:id</v>
      </c>
      <c r="C425" t="s">
        <v>35</v>
      </c>
      <c r="D425" t="s">
        <v>173</v>
      </c>
      <c r="E425" t="s">
        <v>37</v>
      </c>
      <c r="F425">
        <v>404</v>
      </c>
      <c r="G425" s="2">
        <v>7.56</v>
      </c>
      <c r="H425" s="1">
        <v>46166.637429861112</v>
      </c>
      <c r="I425" s="1">
        <v>46166.63742994213</v>
      </c>
      <c r="J425" t="s">
        <v>15</v>
      </c>
      <c r="K425" t="s">
        <v>16</v>
      </c>
      <c r="L425" s="1">
        <v>46166.63742997685</v>
      </c>
    </row>
    <row r="426" spans="1:12" x14ac:dyDescent="0.25">
      <c r="A426" t="s">
        <v>401</v>
      </c>
      <c r="B426" t="str">
        <f>resultado_db_usuario_5[[#This Row],[metodo]]&amp;" "&amp;SUBSTITUTE(resultado_db_usuario_5[[#This Row],[rota]],"/api/v1","")</f>
        <v>PATCH /pecas/:id</v>
      </c>
      <c r="C426" t="s">
        <v>35</v>
      </c>
      <c r="D426" t="s">
        <v>208</v>
      </c>
      <c r="E426" t="s">
        <v>37</v>
      </c>
      <c r="F426">
        <v>200</v>
      </c>
      <c r="G426" s="2">
        <v>23.84</v>
      </c>
      <c r="H426" s="1">
        <v>46166.637429814815</v>
      </c>
      <c r="I426" s="1">
        <v>46166.637430092589</v>
      </c>
      <c r="J426" t="s">
        <v>15</v>
      </c>
      <c r="K426" t="s">
        <v>16</v>
      </c>
      <c r="L426" s="1">
        <v>46166.637430115741</v>
      </c>
    </row>
    <row r="427" spans="1:12" x14ac:dyDescent="0.25">
      <c r="A427" t="s">
        <v>410</v>
      </c>
      <c r="B427" t="str">
        <f>resultado_db_usuario_5[[#This Row],[metodo]]&amp;" "&amp;SUBSTITUTE(resultado_db_usuario_5[[#This Row],[rota]],"/api/v1","")</f>
        <v>PATCH /pecas/:id</v>
      </c>
      <c r="C427" t="s">
        <v>35</v>
      </c>
      <c r="D427" t="s">
        <v>305</v>
      </c>
      <c r="E427" t="s">
        <v>37</v>
      </c>
      <c r="F427">
        <v>200</v>
      </c>
      <c r="G427" s="2">
        <v>40.619999999999997</v>
      </c>
      <c r="H427" s="1">
        <v>46166.637430486109</v>
      </c>
      <c r="I427" s="1">
        <v>46166.637430949071</v>
      </c>
      <c r="J427" t="s">
        <v>15</v>
      </c>
      <c r="K427" t="s">
        <v>16</v>
      </c>
      <c r="L427" s="1">
        <v>46166.637430983799</v>
      </c>
    </row>
    <row r="428" spans="1:12" x14ac:dyDescent="0.25">
      <c r="A428" t="s">
        <v>446</v>
      </c>
      <c r="B428" t="str">
        <f>resultado_db_usuario_5[[#This Row],[metodo]]&amp;" "&amp;SUBSTITUTE(resultado_db_usuario_5[[#This Row],[rota]],"/api/v1","")</f>
        <v>PATCH /pecas/:id</v>
      </c>
      <c r="C428" t="s">
        <v>35</v>
      </c>
      <c r="D428" t="s">
        <v>36</v>
      </c>
      <c r="E428" t="s">
        <v>37</v>
      </c>
      <c r="F428">
        <v>200</v>
      </c>
      <c r="G428" s="2">
        <v>20.65</v>
      </c>
      <c r="H428" s="1">
        <v>46166.637432268515</v>
      </c>
      <c r="I428" s="1">
        <v>46166.637432511576</v>
      </c>
      <c r="J428" t="s">
        <v>15</v>
      </c>
      <c r="K428" t="s">
        <v>16</v>
      </c>
      <c r="L428" s="1">
        <v>46166.637432534721</v>
      </c>
    </row>
    <row r="429" spans="1:12" x14ac:dyDescent="0.25">
      <c r="A429" t="s">
        <v>447</v>
      </c>
      <c r="B429" t="str">
        <f>resultado_db_usuario_5[[#This Row],[metodo]]&amp;" "&amp;SUBSTITUTE(resultado_db_usuario_5[[#This Row],[rota]],"/api/v1","")</f>
        <v>PATCH /pecas/:id</v>
      </c>
      <c r="C429" t="s">
        <v>35</v>
      </c>
      <c r="D429" t="s">
        <v>173</v>
      </c>
      <c r="E429" t="s">
        <v>37</v>
      </c>
      <c r="F429">
        <v>404</v>
      </c>
      <c r="G429" s="2">
        <v>5.27</v>
      </c>
      <c r="H429" s="1">
        <v>46166.637432523145</v>
      </c>
      <c r="I429" s="1">
        <v>46166.637432592594</v>
      </c>
      <c r="J429" t="s">
        <v>15</v>
      </c>
      <c r="K429" t="s">
        <v>16</v>
      </c>
      <c r="L429" s="1">
        <v>46166.637432615738</v>
      </c>
    </row>
    <row r="430" spans="1:12" x14ac:dyDescent="0.25">
      <c r="A430" t="s">
        <v>449</v>
      </c>
      <c r="B430" t="str">
        <f>resultado_db_usuario_5[[#This Row],[metodo]]&amp;" "&amp;SUBSTITUTE(resultado_db_usuario_5[[#This Row],[rota]],"/api/v1","")</f>
        <v>PATCH /pecas/:id</v>
      </c>
      <c r="C430" t="s">
        <v>35</v>
      </c>
      <c r="D430" t="s">
        <v>173</v>
      </c>
      <c r="E430" t="s">
        <v>37</v>
      </c>
      <c r="F430">
        <v>404</v>
      </c>
      <c r="G430" s="2">
        <v>7.27</v>
      </c>
      <c r="H430" s="1">
        <v>46166.637432557873</v>
      </c>
      <c r="I430" s="1">
        <v>46166.63743263889</v>
      </c>
      <c r="J430" t="s">
        <v>15</v>
      </c>
      <c r="K430" t="s">
        <v>16</v>
      </c>
      <c r="L430" s="1">
        <v>46166.637432662035</v>
      </c>
    </row>
    <row r="431" spans="1:12" x14ac:dyDescent="0.25">
      <c r="A431" t="s">
        <v>451</v>
      </c>
      <c r="B431" t="str">
        <f>resultado_db_usuario_5[[#This Row],[metodo]]&amp;" "&amp;SUBSTITUTE(resultado_db_usuario_5[[#This Row],[rota]],"/api/v1","")</f>
        <v>PATCH /pecas/:id</v>
      </c>
      <c r="C431" t="s">
        <v>35</v>
      </c>
      <c r="D431" t="s">
        <v>204</v>
      </c>
      <c r="E431" t="s">
        <v>37</v>
      </c>
      <c r="F431">
        <v>200</v>
      </c>
      <c r="G431" s="2">
        <v>20.05</v>
      </c>
      <c r="H431" s="1">
        <v>46166.637432488424</v>
      </c>
      <c r="I431" s="1">
        <v>46166.637432719908</v>
      </c>
      <c r="J431" t="s">
        <v>15</v>
      </c>
      <c r="K431" t="s">
        <v>16</v>
      </c>
      <c r="L431" s="1">
        <v>46166.637432743053</v>
      </c>
    </row>
    <row r="432" spans="1:12" x14ac:dyDescent="0.25">
      <c r="A432" t="s">
        <v>463</v>
      </c>
      <c r="B432" t="str">
        <f>resultado_db_usuario_5[[#This Row],[metodo]]&amp;" "&amp;SUBSTITUTE(resultado_db_usuario_5[[#This Row],[rota]],"/api/v1","")</f>
        <v>PATCH /pecas/:id</v>
      </c>
      <c r="C432" t="s">
        <v>35</v>
      </c>
      <c r="D432" t="s">
        <v>208</v>
      </c>
      <c r="E432" t="s">
        <v>37</v>
      </c>
      <c r="F432">
        <v>200</v>
      </c>
      <c r="G432" s="2">
        <v>49.08</v>
      </c>
      <c r="H432" s="1">
        <v>46166.637433101852</v>
      </c>
      <c r="I432" s="1">
        <v>46166.637433668984</v>
      </c>
      <c r="J432" t="s">
        <v>15</v>
      </c>
      <c r="K432" t="s">
        <v>16</v>
      </c>
      <c r="L432" s="1">
        <v>46166.637433703705</v>
      </c>
    </row>
    <row r="433" spans="1:12" x14ac:dyDescent="0.25">
      <c r="A433" t="s">
        <v>494</v>
      </c>
      <c r="B433" t="str">
        <f>resultado_db_usuario_5[[#This Row],[metodo]]&amp;" "&amp;SUBSTITUTE(resultado_db_usuario_5[[#This Row],[rota]],"/api/v1","")</f>
        <v>PATCH /pecas/:id</v>
      </c>
      <c r="C433" t="s">
        <v>35</v>
      </c>
      <c r="D433" t="s">
        <v>173</v>
      </c>
      <c r="E433" t="s">
        <v>37</v>
      </c>
      <c r="F433">
        <v>404</v>
      </c>
      <c r="G433" s="2">
        <v>5.05</v>
      </c>
      <c r="H433" s="1">
        <v>46166.637435856479</v>
      </c>
      <c r="I433" s="1">
        <v>46166.637435914352</v>
      </c>
      <c r="J433" t="s">
        <v>15</v>
      </c>
      <c r="K433" t="s">
        <v>16</v>
      </c>
      <c r="L433" s="1">
        <v>46166.637435937497</v>
      </c>
    </row>
    <row r="434" spans="1:12" x14ac:dyDescent="0.25">
      <c r="A434" t="s">
        <v>495</v>
      </c>
      <c r="B434" t="str">
        <f>resultado_db_usuario_5[[#This Row],[metodo]]&amp;" "&amp;SUBSTITUTE(resultado_db_usuario_5[[#This Row],[rota]],"/api/v1","")</f>
        <v>PATCH /pecas/:id</v>
      </c>
      <c r="C434" t="s">
        <v>35</v>
      </c>
      <c r="D434" t="s">
        <v>173</v>
      </c>
      <c r="E434" t="s">
        <v>37</v>
      </c>
      <c r="F434">
        <v>404</v>
      </c>
      <c r="G434" s="2">
        <v>3.98</v>
      </c>
      <c r="H434" s="1">
        <v>46166.637435879631</v>
      </c>
      <c r="I434" s="1">
        <v>46166.637435925928</v>
      </c>
      <c r="J434" t="s">
        <v>15</v>
      </c>
      <c r="K434" t="s">
        <v>16</v>
      </c>
      <c r="L434" s="1">
        <v>46166.637435960649</v>
      </c>
    </row>
    <row r="435" spans="1:12" x14ac:dyDescent="0.25">
      <c r="A435" t="s">
        <v>499</v>
      </c>
      <c r="B435" t="str">
        <f>resultado_db_usuario_5[[#This Row],[metodo]]&amp;" "&amp;SUBSTITUTE(resultado_db_usuario_5[[#This Row],[rota]],"/api/v1","")</f>
        <v>PATCH /pecas/:id</v>
      </c>
      <c r="C435" t="s">
        <v>35</v>
      </c>
      <c r="D435" t="s">
        <v>36</v>
      </c>
      <c r="E435" t="s">
        <v>37</v>
      </c>
      <c r="F435">
        <v>200</v>
      </c>
      <c r="G435" s="2">
        <v>17.940000000000001</v>
      </c>
      <c r="H435" s="1">
        <v>46166.637435810182</v>
      </c>
      <c r="I435" s="1">
        <v>46166.637436018522</v>
      </c>
      <c r="J435" t="s">
        <v>15</v>
      </c>
      <c r="K435" t="s">
        <v>16</v>
      </c>
      <c r="L435" s="1">
        <v>46166.637436041667</v>
      </c>
    </row>
    <row r="436" spans="1:12" x14ac:dyDescent="0.25">
      <c r="A436" t="s">
        <v>505</v>
      </c>
      <c r="B436" t="str">
        <f>resultado_db_usuario_5[[#This Row],[metodo]]&amp;" "&amp;SUBSTITUTE(resultado_db_usuario_5[[#This Row],[rota]],"/api/v1","")</f>
        <v>PATCH /pecas/:id</v>
      </c>
      <c r="C436" t="s">
        <v>35</v>
      </c>
      <c r="D436" t="s">
        <v>204</v>
      </c>
      <c r="E436" t="s">
        <v>37</v>
      </c>
      <c r="F436">
        <v>200</v>
      </c>
      <c r="G436" s="2">
        <v>15.2</v>
      </c>
      <c r="H436" s="1">
        <v>46166.637436041667</v>
      </c>
      <c r="I436" s="1">
        <v>46166.637436215278</v>
      </c>
      <c r="J436" t="s">
        <v>15</v>
      </c>
      <c r="K436" t="s">
        <v>16</v>
      </c>
      <c r="L436" s="1">
        <v>46166.637436238423</v>
      </c>
    </row>
    <row r="437" spans="1:12" x14ac:dyDescent="0.25">
      <c r="A437" t="s">
        <v>515</v>
      </c>
      <c r="B437" t="str">
        <f>resultado_db_usuario_5[[#This Row],[metodo]]&amp;" "&amp;SUBSTITUTE(resultado_db_usuario_5[[#This Row],[rota]],"/api/v1","")</f>
        <v>PATCH /pecas/:id</v>
      </c>
      <c r="C437" t="s">
        <v>35</v>
      </c>
      <c r="D437" t="s">
        <v>208</v>
      </c>
      <c r="E437" t="s">
        <v>37</v>
      </c>
      <c r="F437">
        <v>200</v>
      </c>
      <c r="G437" s="2">
        <v>26.28</v>
      </c>
      <c r="H437" s="1">
        <v>46166.637436562502</v>
      </c>
      <c r="I437" s="1">
        <v>46166.637436863428</v>
      </c>
      <c r="J437" t="s">
        <v>15</v>
      </c>
      <c r="K437" t="s">
        <v>16</v>
      </c>
      <c r="L437" s="1">
        <v>46166.637436886573</v>
      </c>
    </row>
    <row r="438" spans="1:12" x14ac:dyDescent="0.25">
      <c r="A438" t="s">
        <v>537</v>
      </c>
      <c r="B438" t="str">
        <f>resultado_db_usuario_5[[#This Row],[metodo]]&amp;" "&amp;SUBSTITUTE(resultado_db_usuario_5[[#This Row],[rota]],"/api/v1","")</f>
        <v>PATCH /pecas/:id</v>
      </c>
      <c r="C438" t="s">
        <v>35</v>
      </c>
      <c r="D438" t="s">
        <v>173</v>
      </c>
      <c r="E438" t="s">
        <v>37</v>
      </c>
      <c r="F438">
        <v>404</v>
      </c>
      <c r="G438" s="2">
        <v>3.52</v>
      </c>
      <c r="H438" s="1">
        <v>46166.637437604164</v>
      </c>
      <c r="I438" s="1">
        <v>46166.637437638892</v>
      </c>
      <c r="J438" t="s">
        <v>15</v>
      </c>
      <c r="K438" t="s">
        <v>16</v>
      </c>
      <c r="L438" s="1">
        <v>46166.637437673613</v>
      </c>
    </row>
    <row r="439" spans="1:12" x14ac:dyDescent="0.25">
      <c r="A439" t="s">
        <v>541</v>
      </c>
      <c r="B439" t="str">
        <f>resultado_db_usuario_5[[#This Row],[metodo]]&amp;" "&amp;SUBSTITUTE(resultado_db_usuario_5[[#This Row],[rota]],"/api/v1","")</f>
        <v>PATCH /pecas/:id</v>
      </c>
      <c r="C439" t="s">
        <v>35</v>
      </c>
      <c r="D439" t="s">
        <v>36</v>
      </c>
      <c r="E439" t="s">
        <v>37</v>
      </c>
      <c r="F439">
        <v>200</v>
      </c>
      <c r="G439" s="2">
        <v>15.37</v>
      </c>
      <c r="H439" s="1">
        <v>46166.637437581019</v>
      </c>
      <c r="I439" s="1">
        <v>46166.637437754631</v>
      </c>
      <c r="J439" t="s">
        <v>15</v>
      </c>
      <c r="K439" t="s">
        <v>16</v>
      </c>
      <c r="L439" s="1">
        <v>46166.637437789352</v>
      </c>
    </row>
    <row r="440" spans="1:12" x14ac:dyDescent="0.25">
      <c r="A440" t="s">
        <v>545</v>
      </c>
      <c r="B440" t="str">
        <f>resultado_db_usuario_5[[#This Row],[metodo]]&amp;" "&amp;SUBSTITUTE(resultado_db_usuario_5[[#This Row],[rota]],"/api/v1","")</f>
        <v>PATCH /pecas/:id</v>
      </c>
      <c r="C440" t="s">
        <v>35</v>
      </c>
      <c r="D440" t="s">
        <v>204</v>
      </c>
      <c r="E440" t="s">
        <v>37</v>
      </c>
      <c r="F440">
        <v>200</v>
      </c>
      <c r="G440" s="2">
        <v>13.47</v>
      </c>
      <c r="H440" s="1">
        <v>46166.637437743055</v>
      </c>
      <c r="I440" s="1">
        <v>46166.63743790509</v>
      </c>
      <c r="J440" t="s">
        <v>15</v>
      </c>
      <c r="K440" t="s">
        <v>16</v>
      </c>
      <c r="L440" s="1">
        <v>46166.637437928242</v>
      </c>
    </row>
    <row r="441" spans="1:12" x14ac:dyDescent="0.25">
      <c r="A441" t="s">
        <v>558</v>
      </c>
      <c r="B441" t="str">
        <f>resultado_db_usuario_5[[#This Row],[metodo]]&amp;" "&amp;SUBSTITUTE(resultado_db_usuario_5[[#This Row],[rota]],"/api/v1","")</f>
        <v>PATCH /pecas/:id</v>
      </c>
      <c r="C441" t="s">
        <v>35</v>
      </c>
      <c r="D441" t="s">
        <v>208</v>
      </c>
      <c r="E441" t="s">
        <v>37</v>
      </c>
      <c r="F441">
        <v>200</v>
      </c>
      <c r="G441" s="2">
        <v>16.77</v>
      </c>
      <c r="H441" s="1">
        <v>46166.637438703707</v>
      </c>
      <c r="I441" s="1">
        <v>46166.637438900463</v>
      </c>
      <c r="J441" t="s">
        <v>15</v>
      </c>
      <c r="K441" t="s">
        <v>16</v>
      </c>
      <c r="L441" s="1">
        <v>46166.637438923608</v>
      </c>
    </row>
    <row r="442" spans="1:12" x14ac:dyDescent="0.25">
      <c r="A442" t="s">
        <v>578</v>
      </c>
      <c r="B442" t="str">
        <f>resultado_db_usuario_5[[#This Row],[metodo]]&amp;" "&amp;SUBSTITUTE(resultado_db_usuario_5[[#This Row],[rota]],"/api/v1","")</f>
        <v>PATCH /pecas/:id</v>
      </c>
      <c r="C442" t="s">
        <v>35</v>
      </c>
      <c r="D442" t="s">
        <v>36</v>
      </c>
      <c r="E442" t="s">
        <v>37</v>
      </c>
      <c r="F442">
        <v>200</v>
      </c>
      <c r="G442" s="2">
        <v>16.059999999999999</v>
      </c>
      <c r="H442" s="1">
        <v>46166.637439803242</v>
      </c>
      <c r="I442" s="1">
        <v>46166.637439988423</v>
      </c>
      <c r="J442" t="s">
        <v>15</v>
      </c>
      <c r="K442" t="s">
        <v>16</v>
      </c>
      <c r="L442" s="1">
        <v>46166.637440011575</v>
      </c>
    </row>
    <row r="443" spans="1:12" x14ac:dyDescent="0.25">
      <c r="A443" t="s">
        <v>582</v>
      </c>
      <c r="B443" t="str">
        <f>resultado_db_usuario_5[[#This Row],[metodo]]&amp;" "&amp;SUBSTITUTE(resultado_db_usuario_5[[#This Row],[rota]],"/api/v1","")</f>
        <v>PATCH /pecas/:id</v>
      </c>
      <c r="C443" t="s">
        <v>35</v>
      </c>
      <c r="D443" t="s">
        <v>204</v>
      </c>
      <c r="E443" t="s">
        <v>37</v>
      </c>
      <c r="F443">
        <v>200</v>
      </c>
      <c r="G443" s="2">
        <v>14.93</v>
      </c>
      <c r="H443" s="1">
        <v>46166.637439965278</v>
      </c>
      <c r="I443" s="1">
        <v>46166.637440138889</v>
      </c>
      <c r="J443" t="s">
        <v>15</v>
      </c>
      <c r="K443" t="s">
        <v>16</v>
      </c>
      <c r="L443" s="1">
        <v>46166.637440162034</v>
      </c>
    </row>
    <row r="444" spans="1:12" x14ac:dyDescent="0.25">
      <c r="A444" t="s">
        <v>586</v>
      </c>
      <c r="B444" t="str">
        <f>resultado_db_usuario_5[[#This Row],[metodo]]&amp;" "&amp;SUBSTITUTE(resultado_db_usuario_5[[#This Row],[rota]],"/api/v1","")</f>
        <v>PATCH /pecas/:id</v>
      </c>
      <c r="C444" t="s">
        <v>35</v>
      </c>
      <c r="D444" t="s">
        <v>208</v>
      </c>
      <c r="E444" t="s">
        <v>37</v>
      </c>
      <c r="F444">
        <v>200</v>
      </c>
      <c r="G444" s="2" t="s">
        <v>587</v>
      </c>
      <c r="H444" s="1">
        <v>46166.63744017361</v>
      </c>
      <c r="I444" s="1">
        <v>46166.637440347222</v>
      </c>
      <c r="J444" t="s">
        <v>15</v>
      </c>
      <c r="K444" t="s">
        <v>16</v>
      </c>
      <c r="L444" s="1">
        <v>46166.637440370374</v>
      </c>
    </row>
    <row r="445" spans="1:12" x14ac:dyDescent="0.25">
      <c r="A445" t="s">
        <v>598</v>
      </c>
      <c r="B445" t="str">
        <f>resultado_db_usuario_5[[#This Row],[metodo]]&amp;" "&amp;SUBSTITUTE(resultado_db_usuario_5[[#This Row],[rota]],"/api/v1","")</f>
        <v>PATCH /pecas/:id</v>
      </c>
      <c r="C445" t="s">
        <v>35</v>
      </c>
      <c r="D445" t="s">
        <v>305</v>
      </c>
      <c r="E445" t="s">
        <v>37</v>
      </c>
      <c r="F445">
        <v>200</v>
      </c>
      <c r="G445" s="2">
        <v>22.12</v>
      </c>
      <c r="H445" s="1">
        <v>46166.637440787039</v>
      </c>
      <c r="I445" s="1">
        <v>46166.637441053237</v>
      </c>
      <c r="J445" t="s">
        <v>15</v>
      </c>
      <c r="K445" t="s">
        <v>16</v>
      </c>
      <c r="L445" s="1">
        <v>46166.637441076389</v>
      </c>
    </row>
    <row r="446" spans="1:12" x14ac:dyDescent="0.25">
      <c r="A446" t="s">
        <v>613</v>
      </c>
      <c r="B446" t="str">
        <f>resultado_db_usuario_5[[#This Row],[metodo]]&amp;" "&amp;SUBSTITUTE(resultado_db_usuario_5[[#This Row],[rota]],"/api/v1","")</f>
        <v>PATCH /pecas/:id</v>
      </c>
      <c r="C446" t="s">
        <v>35</v>
      </c>
      <c r="D446" t="s">
        <v>36</v>
      </c>
      <c r="E446" t="s">
        <v>37</v>
      </c>
      <c r="F446">
        <v>200</v>
      </c>
      <c r="G446" s="2">
        <v>12.89</v>
      </c>
      <c r="H446" s="1">
        <v>46166.637441724539</v>
      </c>
      <c r="I446" s="1">
        <v>46166.637441874998</v>
      </c>
      <c r="J446" t="s">
        <v>15</v>
      </c>
      <c r="K446" t="s">
        <v>16</v>
      </c>
      <c r="L446" s="1">
        <v>46166.63744189815</v>
      </c>
    </row>
    <row r="447" spans="1:12" x14ac:dyDescent="0.25">
      <c r="A447" t="s">
        <v>616</v>
      </c>
      <c r="B447" t="str">
        <f>resultado_db_usuario_5[[#This Row],[metodo]]&amp;" "&amp;SUBSTITUTE(resultado_db_usuario_5[[#This Row],[rota]],"/api/v1","")</f>
        <v>PATCH /pecas/:id</v>
      </c>
      <c r="C447" t="s">
        <v>35</v>
      </c>
      <c r="D447" t="s">
        <v>204</v>
      </c>
      <c r="E447" t="s">
        <v>37</v>
      </c>
      <c r="F447">
        <v>200</v>
      </c>
      <c r="G447" s="2">
        <v>11.18</v>
      </c>
      <c r="H447" s="1">
        <v>46166.63744189815</v>
      </c>
      <c r="I447" s="1">
        <v>46166.637442025465</v>
      </c>
      <c r="J447" t="s">
        <v>15</v>
      </c>
      <c r="K447" t="s">
        <v>16</v>
      </c>
      <c r="L447" s="1">
        <v>46166.63744204861</v>
      </c>
    </row>
    <row r="448" spans="1:12" x14ac:dyDescent="0.25">
      <c r="A448" t="s">
        <v>627</v>
      </c>
      <c r="B448" t="str">
        <f>resultado_db_usuario_5[[#This Row],[metodo]]&amp;" "&amp;SUBSTITUTE(resultado_db_usuario_5[[#This Row],[rota]],"/api/v1","")</f>
        <v>PATCH /pecas/:id</v>
      </c>
      <c r="C448" t="s">
        <v>35</v>
      </c>
      <c r="D448" t="s">
        <v>36</v>
      </c>
      <c r="E448" t="s">
        <v>37</v>
      </c>
      <c r="F448">
        <v>200</v>
      </c>
      <c r="G448" s="2">
        <v>12.88</v>
      </c>
      <c r="H448" s="1">
        <v>46166.63744259259</v>
      </c>
      <c r="I448" s="1">
        <v>46166.637442743056</v>
      </c>
      <c r="J448" t="s">
        <v>15</v>
      </c>
      <c r="K448" t="s">
        <v>16</v>
      </c>
      <c r="L448" s="1">
        <v>46166.637442777777</v>
      </c>
    </row>
    <row r="449" spans="1:12" x14ac:dyDescent="0.25">
      <c r="A449" t="s">
        <v>636</v>
      </c>
      <c r="B449" t="str">
        <f>resultado_db_usuario_5[[#This Row],[metodo]]&amp;" "&amp;SUBSTITUTE(resultado_db_usuario_5[[#This Row],[rota]],"/api/v1","")</f>
        <v>PATCH /pecas/:id</v>
      </c>
      <c r="C449" t="s">
        <v>35</v>
      </c>
      <c r="D449" t="s">
        <v>36</v>
      </c>
      <c r="E449" t="s">
        <v>37</v>
      </c>
      <c r="F449">
        <v>200</v>
      </c>
      <c r="G449" s="2">
        <v>9.74</v>
      </c>
      <c r="H449" s="1">
        <v>46166.63744337963</v>
      </c>
      <c r="I449" s="1">
        <v>46166.637443495369</v>
      </c>
      <c r="J449" t="s">
        <v>15</v>
      </c>
      <c r="K449" t="s">
        <v>16</v>
      </c>
      <c r="L449" s="1">
        <v>46166.637443518521</v>
      </c>
    </row>
    <row r="450" spans="1:12" x14ac:dyDescent="0.25">
      <c r="A450" t="s">
        <v>648</v>
      </c>
      <c r="B450" t="str">
        <f>resultado_db_usuario_5[[#This Row],[metodo]]&amp;" "&amp;SUBSTITUTE(resultado_db_usuario_5[[#This Row],[rota]],"/api/v1","")</f>
        <v>PATCH /pecas/:id</v>
      </c>
      <c r="C450" t="s">
        <v>35</v>
      </c>
      <c r="D450" t="s">
        <v>36</v>
      </c>
      <c r="E450" t="s">
        <v>37</v>
      </c>
      <c r="F450">
        <v>200</v>
      </c>
      <c r="G450" s="2">
        <v>7.56</v>
      </c>
      <c r="H450" s="1">
        <v>46166.637444039348</v>
      </c>
      <c r="I450" s="1">
        <v>46166.637444120373</v>
      </c>
      <c r="J450" t="s">
        <v>15</v>
      </c>
      <c r="K450" t="s">
        <v>16</v>
      </c>
      <c r="L450" s="1">
        <v>46166.637444143518</v>
      </c>
    </row>
    <row r="451" spans="1:12" x14ac:dyDescent="0.25">
      <c r="A451" t="s">
        <v>655</v>
      </c>
      <c r="B451" t="str">
        <f>resultado_db_usuario_5[[#This Row],[metodo]]&amp;" "&amp;SUBSTITUTE(resultado_db_usuario_5[[#This Row],[rota]],"/api/v1","")</f>
        <v>PATCH /pecas/:id</v>
      </c>
      <c r="C451" t="s">
        <v>35</v>
      </c>
      <c r="D451" t="s">
        <v>36</v>
      </c>
      <c r="E451" t="s">
        <v>37</v>
      </c>
      <c r="F451">
        <v>200</v>
      </c>
      <c r="G451" s="2">
        <v>7.86</v>
      </c>
      <c r="H451" s="1">
        <v>46166.637444363427</v>
      </c>
      <c r="I451" s="1">
        <v>46166.637444456021</v>
      </c>
      <c r="J451" t="s">
        <v>15</v>
      </c>
      <c r="K451" t="s">
        <v>16</v>
      </c>
      <c r="L451" s="1">
        <v>46166.637444479165</v>
      </c>
    </row>
    <row r="452" spans="1:12" x14ac:dyDescent="0.25">
      <c r="A452" t="s">
        <v>143</v>
      </c>
      <c r="B452" t="str">
        <f>resultado_db_usuario_5[[#This Row],[metodo]]&amp;" "&amp;SUBSTITUTE(resultado_db_usuario_5[[#This Row],[rota]],"/api/v1","")</f>
        <v>POST /pecas/</v>
      </c>
      <c r="C452" t="s">
        <v>33</v>
      </c>
      <c r="D452" t="s">
        <v>24</v>
      </c>
      <c r="E452" t="s">
        <v>25</v>
      </c>
      <c r="F452">
        <v>201</v>
      </c>
      <c r="G452" s="2" t="s">
        <v>144</v>
      </c>
      <c r="H452" s="1">
        <v>46166.637414236109</v>
      </c>
      <c r="I452" s="1">
        <v>46166.637414398145</v>
      </c>
      <c r="J452" t="s">
        <v>15</v>
      </c>
      <c r="K452" t="s">
        <v>16</v>
      </c>
      <c r="L452" s="1">
        <v>46166.637414421297</v>
      </c>
    </row>
    <row r="453" spans="1:12" x14ac:dyDescent="0.25">
      <c r="A453" t="s">
        <v>154</v>
      </c>
      <c r="B453" t="str">
        <f>resultado_db_usuario_5[[#This Row],[metodo]]&amp;" "&amp;SUBSTITUTE(resultado_db_usuario_5[[#This Row],[rota]],"/api/v1","")</f>
        <v>POST /pecas/</v>
      </c>
      <c r="C453" t="s">
        <v>33</v>
      </c>
      <c r="D453" t="s">
        <v>24</v>
      </c>
      <c r="E453" t="s">
        <v>25</v>
      </c>
      <c r="F453">
        <v>201</v>
      </c>
      <c r="G453" s="2">
        <v>10.55</v>
      </c>
      <c r="H453" s="1">
        <v>46166.637415381942</v>
      </c>
      <c r="I453" s="1">
        <v>46166.637415509256</v>
      </c>
      <c r="J453" t="s">
        <v>15</v>
      </c>
      <c r="K453" t="s">
        <v>16</v>
      </c>
      <c r="L453" s="1">
        <v>46166.637415543984</v>
      </c>
    </row>
    <row r="454" spans="1:12" x14ac:dyDescent="0.25">
      <c r="A454" t="s">
        <v>170</v>
      </c>
      <c r="B454" t="str">
        <f>resultado_db_usuario_5[[#This Row],[metodo]]&amp;" "&amp;SUBSTITUTE(resultado_db_usuario_5[[#This Row],[rota]],"/api/v1","")</f>
        <v>POST /pecas/</v>
      </c>
      <c r="C454" t="s">
        <v>33</v>
      </c>
      <c r="D454" t="s">
        <v>24</v>
      </c>
      <c r="E454" t="s">
        <v>25</v>
      </c>
      <c r="F454">
        <v>201</v>
      </c>
      <c r="G454" s="2">
        <v>18.28</v>
      </c>
      <c r="H454" s="1">
        <v>46166.637416840276</v>
      </c>
      <c r="I454" s="1">
        <v>46166.637417060185</v>
      </c>
      <c r="J454" t="s">
        <v>15</v>
      </c>
      <c r="K454" t="s">
        <v>16</v>
      </c>
      <c r="L454" s="1">
        <v>46166.637417083337</v>
      </c>
    </row>
    <row r="455" spans="1:12" x14ac:dyDescent="0.25">
      <c r="A455" t="s">
        <v>171</v>
      </c>
      <c r="B455" t="str">
        <f>resultado_db_usuario_5[[#This Row],[metodo]]&amp;" "&amp;SUBSTITUTE(resultado_db_usuario_5[[#This Row],[rota]],"/api/v1","")</f>
        <v>POST /pecas/</v>
      </c>
      <c r="C455" t="s">
        <v>33</v>
      </c>
      <c r="D455" t="s">
        <v>24</v>
      </c>
      <c r="E455" t="s">
        <v>25</v>
      </c>
      <c r="F455">
        <v>400</v>
      </c>
      <c r="G455" s="2">
        <v>13.12</v>
      </c>
      <c r="H455" s="1">
        <v>46166.637416956015</v>
      </c>
      <c r="I455" s="1">
        <v>46166.637417106482</v>
      </c>
      <c r="J455" t="s">
        <v>15</v>
      </c>
      <c r="K455" t="s">
        <v>16</v>
      </c>
      <c r="L455" s="1">
        <v>46166.637417141203</v>
      </c>
    </row>
    <row r="456" spans="1:12" x14ac:dyDescent="0.25">
      <c r="A456" t="s">
        <v>195</v>
      </c>
      <c r="B456" t="str">
        <f>resultado_db_usuario_5[[#This Row],[metodo]]&amp;" "&amp;SUBSTITUTE(resultado_db_usuario_5[[#This Row],[rota]],"/api/v1","")</f>
        <v>POST /pecas/</v>
      </c>
      <c r="C456" t="s">
        <v>33</v>
      </c>
      <c r="D456" t="s">
        <v>24</v>
      </c>
      <c r="E456" t="s">
        <v>25</v>
      </c>
      <c r="F456">
        <v>201</v>
      </c>
      <c r="G456" s="2">
        <v>20.79</v>
      </c>
      <c r="H456" s="1">
        <v>46166.637418819446</v>
      </c>
      <c r="I456" s="1">
        <v>46166.637419062499</v>
      </c>
      <c r="J456" t="s">
        <v>15</v>
      </c>
      <c r="K456" t="s">
        <v>16</v>
      </c>
      <c r="L456" s="1">
        <v>46166.637419085651</v>
      </c>
    </row>
    <row r="457" spans="1:12" x14ac:dyDescent="0.25">
      <c r="A457" t="s">
        <v>198</v>
      </c>
      <c r="B457" t="str">
        <f>resultado_db_usuario_5[[#This Row],[metodo]]&amp;" "&amp;SUBSTITUTE(resultado_db_usuario_5[[#This Row],[rota]],"/api/v1","")</f>
        <v>POST /pecas/</v>
      </c>
      <c r="C457" t="s">
        <v>33</v>
      </c>
      <c r="D457" t="s">
        <v>24</v>
      </c>
      <c r="E457" t="s">
        <v>25</v>
      </c>
      <c r="F457">
        <v>201</v>
      </c>
      <c r="G457" s="2">
        <v>11.29</v>
      </c>
      <c r="H457" s="1">
        <v>46166.637419085651</v>
      </c>
      <c r="I457" s="1">
        <v>46166.637419212966</v>
      </c>
      <c r="J457" t="s">
        <v>15</v>
      </c>
      <c r="K457" t="s">
        <v>16</v>
      </c>
      <c r="L457" s="1">
        <v>46166.637419236111</v>
      </c>
    </row>
    <row r="458" spans="1:12" x14ac:dyDescent="0.25">
      <c r="A458" t="s">
        <v>202</v>
      </c>
      <c r="B458" t="str">
        <f>resultado_db_usuario_5[[#This Row],[metodo]]&amp;" "&amp;SUBSTITUTE(resultado_db_usuario_5[[#This Row],[rota]],"/api/v1","")</f>
        <v>POST /pecas/</v>
      </c>
      <c r="C458" t="s">
        <v>33</v>
      </c>
      <c r="D458" t="s">
        <v>24</v>
      </c>
      <c r="E458" t="s">
        <v>25</v>
      </c>
      <c r="F458">
        <v>201</v>
      </c>
      <c r="G458" s="2">
        <v>12.37</v>
      </c>
      <c r="H458" s="1">
        <v>46166.637419236111</v>
      </c>
      <c r="I458" s="1">
        <v>46166.637419375002</v>
      </c>
      <c r="J458" t="s">
        <v>15</v>
      </c>
      <c r="K458" t="s">
        <v>16</v>
      </c>
      <c r="L458" s="1">
        <v>46166.637419398146</v>
      </c>
    </row>
    <row r="459" spans="1:12" x14ac:dyDescent="0.25">
      <c r="A459" t="s">
        <v>236</v>
      </c>
      <c r="B459" t="str">
        <f>resultado_db_usuario_5[[#This Row],[metodo]]&amp;" "&amp;SUBSTITUTE(resultado_db_usuario_5[[#This Row],[rota]],"/api/v1","")</f>
        <v>POST /pecas/</v>
      </c>
      <c r="C459" t="s">
        <v>33</v>
      </c>
      <c r="D459" t="s">
        <v>24</v>
      </c>
      <c r="E459" t="s">
        <v>25</v>
      </c>
      <c r="F459">
        <v>201</v>
      </c>
      <c r="G459" s="2">
        <v>17.760000000000002</v>
      </c>
      <c r="H459" s="1">
        <v>46166.637421111111</v>
      </c>
      <c r="I459" s="1">
        <v>46166.637421307867</v>
      </c>
      <c r="J459" t="s">
        <v>15</v>
      </c>
      <c r="K459" t="s">
        <v>16</v>
      </c>
      <c r="L459" s="1">
        <v>46166.637421342595</v>
      </c>
    </row>
    <row r="460" spans="1:12" x14ac:dyDescent="0.25">
      <c r="A460" t="s">
        <v>237</v>
      </c>
      <c r="B460" t="str">
        <f>resultado_db_usuario_5[[#This Row],[metodo]]&amp;" "&amp;SUBSTITUTE(resultado_db_usuario_5[[#This Row],[rota]],"/api/v1","")</f>
        <v>POST /pecas/</v>
      </c>
      <c r="C460" t="s">
        <v>33</v>
      </c>
      <c r="D460" t="s">
        <v>24</v>
      </c>
      <c r="E460" t="s">
        <v>25</v>
      </c>
      <c r="F460">
        <v>400</v>
      </c>
      <c r="G460" s="2">
        <v>19.920000000000002</v>
      </c>
      <c r="H460" s="1">
        <v>46166.637421145831</v>
      </c>
      <c r="I460" s="1">
        <v>46166.63742136574</v>
      </c>
      <c r="J460" t="s">
        <v>15</v>
      </c>
      <c r="K460" t="s">
        <v>16</v>
      </c>
      <c r="L460" s="1">
        <v>46166.637421400461</v>
      </c>
    </row>
    <row r="461" spans="1:12" x14ac:dyDescent="0.25">
      <c r="A461" t="s">
        <v>242</v>
      </c>
      <c r="B461" t="str">
        <f>resultado_db_usuario_5[[#This Row],[metodo]]&amp;" "&amp;SUBSTITUTE(resultado_db_usuario_5[[#This Row],[rota]],"/api/v1","")</f>
        <v>POST /pecas/</v>
      </c>
      <c r="C461" t="s">
        <v>33</v>
      </c>
      <c r="D461" t="s">
        <v>24</v>
      </c>
      <c r="E461" t="s">
        <v>25</v>
      </c>
      <c r="F461">
        <v>201</v>
      </c>
      <c r="G461" s="2">
        <v>21.72</v>
      </c>
      <c r="H461" s="1">
        <v>46166.637421331019</v>
      </c>
      <c r="I461" s="1">
        <v>46166.637421585649</v>
      </c>
      <c r="J461" t="s">
        <v>15</v>
      </c>
      <c r="K461" t="s">
        <v>16</v>
      </c>
      <c r="L461" s="1">
        <v>46166.637421608793</v>
      </c>
    </row>
    <row r="462" spans="1:12" x14ac:dyDescent="0.25">
      <c r="A462" t="s">
        <v>249</v>
      </c>
      <c r="B462" t="str">
        <f>resultado_db_usuario_5[[#This Row],[metodo]]&amp;" "&amp;SUBSTITUTE(resultado_db_usuario_5[[#This Row],[rota]],"/api/v1","")</f>
        <v>POST /pecas/</v>
      </c>
      <c r="C462" t="s">
        <v>33</v>
      </c>
      <c r="D462" t="s">
        <v>24</v>
      </c>
      <c r="E462" t="s">
        <v>25</v>
      </c>
      <c r="F462">
        <v>201</v>
      </c>
      <c r="G462" s="2">
        <v>19.440000000000001</v>
      </c>
      <c r="H462" s="1">
        <v>46166.63742165509</v>
      </c>
      <c r="I462" s="1">
        <v>46166.637421886575</v>
      </c>
      <c r="J462" t="s">
        <v>15</v>
      </c>
      <c r="K462" t="s">
        <v>16</v>
      </c>
      <c r="L462" s="1">
        <v>46166.637421921296</v>
      </c>
    </row>
    <row r="463" spans="1:12" x14ac:dyDescent="0.25">
      <c r="A463" t="s">
        <v>280</v>
      </c>
      <c r="B463" t="str">
        <f>resultado_db_usuario_5[[#This Row],[metodo]]&amp;" "&amp;SUBSTITUTE(resultado_db_usuario_5[[#This Row],[rota]],"/api/v1","")</f>
        <v>POST /pecas/</v>
      </c>
      <c r="C463" t="s">
        <v>33</v>
      </c>
      <c r="D463" t="s">
        <v>24</v>
      </c>
      <c r="E463" t="s">
        <v>25</v>
      </c>
      <c r="F463">
        <v>201</v>
      </c>
      <c r="G463" s="2">
        <v>22.58</v>
      </c>
      <c r="H463" s="1">
        <v>46166.637423726854</v>
      </c>
      <c r="I463" s="1">
        <v>46166.637423993052</v>
      </c>
      <c r="J463" t="s">
        <v>15</v>
      </c>
      <c r="K463" t="s">
        <v>16</v>
      </c>
      <c r="L463" s="1">
        <v>46166.637424016204</v>
      </c>
    </row>
    <row r="464" spans="1:12" x14ac:dyDescent="0.25">
      <c r="A464" t="s">
        <v>286</v>
      </c>
      <c r="B464" t="str">
        <f>resultado_db_usuario_5[[#This Row],[metodo]]&amp;" "&amp;SUBSTITUTE(resultado_db_usuario_5[[#This Row],[rota]],"/api/v1","")</f>
        <v>POST /pecas/</v>
      </c>
      <c r="C464" t="s">
        <v>33</v>
      </c>
      <c r="D464" t="s">
        <v>24</v>
      </c>
      <c r="E464" t="s">
        <v>25</v>
      </c>
      <c r="F464">
        <v>201</v>
      </c>
      <c r="G464" s="2">
        <v>20.38</v>
      </c>
      <c r="H464" s="1">
        <v>46166.637423969907</v>
      </c>
      <c r="I464" s="1">
        <v>46166.637424201392</v>
      </c>
      <c r="J464" t="s">
        <v>15</v>
      </c>
      <c r="K464" t="s">
        <v>16</v>
      </c>
      <c r="L464" s="1">
        <v>46166.637424236113</v>
      </c>
    </row>
    <row r="465" spans="1:12" x14ac:dyDescent="0.25">
      <c r="A465" t="s">
        <v>290</v>
      </c>
      <c r="B465" t="str">
        <f>resultado_db_usuario_5[[#This Row],[metodo]]&amp;" "&amp;SUBSTITUTE(resultado_db_usuario_5[[#This Row],[rota]],"/api/v1","")</f>
        <v>POST /pecas/</v>
      </c>
      <c r="C465" t="s">
        <v>33</v>
      </c>
      <c r="D465" t="s">
        <v>24</v>
      </c>
      <c r="E465" t="s">
        <v>25</v>
      </c>
      <c r="F465">
        <v>201</v>
      </c>
      <c r="G465" s="2">
        <v>21.42</v>
      </c>
      <c r="H465" s="1">
        <v>46166.637424143519</v>
      </c>
      <c r="I465" s="1">
        <v>46166.637424386572</v>
      </c>
      <c r="J465" t="s">
        <v>15</v>
      </c>
      <c r="K465" t="s">
        <v>16</v>
      </c>
      <c r="L465" s="1">
        <v>46166.637424409724</v>
      </c>
    </row>
    <row r="466" spans="1:12" x14ac:dyDescent="0.25">
      <c r="A466" t="s">
        <v>291</v>
      </c>
      <c r="B466" t="str">
        <f>resultado_db_usuario_5[[#This Row],[metodo]]&amp;" "&amp;SUBSTITUTE(resultado_db_usuario_5[[#This Row],[rota]],"/api/v1","")</f>
        <v>POST /pecas/</v>
      </c>
      <c r="C466" t="s">
        <v>33</v>
      </c>
      <c r="D466" t="s">
        <v>24</v>
      </c>
      <c r="E466" t="s">
        <v>25</v>
      </c>
      <c r="F466">
        <v>400</v>
      </c>
      <c r="G466" s="2">
        <v>18.690000000000001</v>
      </c>
      <c r="H466" s="1">
        <v>46166.637424224537</v>
      </c>
      <c r="I466" s="1">
        <v>46166.637424444445</v>
      </c>
      <c r="J466" t="s">
        <v>15</v>
      </c>
      <c r="K466" t="s">
        <v>16</v>
      </c>
      <c r="L466" s="1">
        <v>46166.63742446759</v>
      </c>
    </row>
    <row r="467" spans="1:12" x14ac:dyDescent="0.25">
      <c r="A467" t="s">
        <v>296</v>
      </c>
      <c r="B467" t="str">
        <f>resultado_db_usuario_5[[#This Row],[metodo]]&amp;" "&amp;SUBSTITUTE(resultado_db_usuario_5[[#This Row],[rota]],"/api/v1","")</f>
        <v>POST /pecas/</v>
      </c>
      <c r="C467" t="s">
        <v>33</v>
      </c>
      <c r="D467" t="s">
        <v>24</v>
      </c>
      <c r="E467" t="s">
        <v>25</v>
      </c>
      <c r="F467">
        <v>201</v>
      </c>
      <c r="G467" s="2">
        <v>22.61</v>
      </c>
      <c r="H467" s="1">
        <v>46166.637424363427</v>
      </c>
      <c r="I467" s="1">
        <v>46166.637424629633</v>
      </c>
      <c r="J467" t="s">
        <v>15</v>
      </c>
      <c r="K467" t="s">
        <v>16</v>
      </c>
      <c r="L467" s="1">
        <v>46166.637424652778</v>
      </c>
    </row>
    <row r="468" spans="1:12" x14ac:dyDescent="0.25">
      <c r="A468" t="s">
        <v>335</v>
      </c>
      <c r="B468" t="str">
        <f>resultado_db_usuario_5[[#This Row],[metodo]]&amp;" "&amp;SUBSTITUTE(resultado_db_usuario_5[[#This Row],[rota]],"/api/v1","")</f>
        <v>POST /pecas/</v>
      </c>
      <c r="C468" t="s">
        <v>33</v>
      </c>
      <c r="D468" t="s">
        <v>24</v>
      </c>
      <c r="E468" t="s">
        <v>25</v>
      </c>
      <c r="F468">
        <v>201</v>
      </c>
      <c r="G468" s="2">
        <v>25.29</v>
      </c>
      <c r="H468" s="1">
        <v>46166.637426145833</v>
      </c>
      <c r="I468" s="1">
        <v>46166.637426435183</v>
      </c>
      <c r="J468" t="s">
        <v>15</v>
      </c>
      <c r="K468" t="s">
        <v>16</v>
      </c>
      <c r="L468" s="1">
        <v>46166.637426458336</v>
      </c>
    </row>
    <row r="469" spans="1:12" x14ac:dyDescent="0.25">
      <c r="A469" t="s">
        <v>338</v>
      </c>
      <c r="B469" t="str">
        <f>resultado_db_usuario_5[[#This Row],[metodo]]&amp;" "&amp;SUBSTITUTE(resultado_db_usuario_5[[#This Row],[rota]],"/api/v1","")</f>
        <v>POST /pecas/</v>
      </c>
      <c r="C469" t="s">
        <v>33</v>
      </c>
      <c r="D469" t="s">
        <v>24</v>
      </c>
      <c r="E469" t="s">
        <v>25</v>
      </c>
      <c r="F469">
        <v>201</v>
      </c>
      <c r="G469" s="2">
        <v>22.53</v>
      </c>
      <c r="H469" s="1">
        <v>46166.637426354166</v>
      </c>
      <c r="I469" s="1">
        <v>46166.637426608795</v>
      </c>
      <c r="J469" t="s">
        <v>15</v>
      </c>
      <c r="K469" t="s">
        <v>16</v>
      </c>
      <c r="L469" s="1">
        <v>46166.637426643516</v>
      </c>
    </row>
    <row r="470" spans="1:12" x14ac:dyDescent="0.25">
      <c r="A470" t="s">
        <v>341</v>
      </c>
      <c r="B470" t="str">
        <f>resultado_db_usuario_5[[#This Row],[metodo]]&amp;" "&amp;SUBSTITUTE(resultado_db_usuario_5[[#This Row],[rota]],"/api/v1","")</f>
        <v>POST /pecas/</v>
      </c>
      <c r="C470" t="s">
        <v>33</v>
      </c>
      <c r="D470" t="s">
        <v>24</v>
      </c>
      <c r="E470" t="s">
        <v>25</v>
      </c>
      <c r="F470">
        <v>201</v>
      </c>
      <c r="G470" s="2">
        <v>25.61</v>
      </c>
      <c r="H470" s="1">
        <v>46166.637426469904</v>
      </c>
      <c r="I470" s="1">
        <v>46166.637426759262</v>
      </c>
      <c r="J470" t="s">
        <v>15</v>
      </c>
      <c r="K470" t="s">
        <v>16</v>
      </c>
      <c r="L470" s="1">
        <v>46166.637426793983</v>
      </c>
    </row>
    <row r="471" spans="1:12" x14ac:dyDescent="0.25">
      <c r="A471" t="s">
        <v>342</v>
      </c>
      <c r="B471" t="str">
        <f>resultado_db_usuario_5[[#This Row],[metodo]]&amp;" "&amp;SUBSTITUTE(resultado_db_usuario_5[[#This Row],[rota]],"/api/v1","")</f>
        <v>POST /pecas/</v>
      </c>
      <c r="C471" t="s">
        <v>33</v>
      </c>
      <c r="D471" t="s">
        <v>24</v>
      </c>
      <c r="E471" t="s">
        <v>25</v>
      </c>
      <c r="F471">
        <v>400</v>
      </c>
      <c r="G471" s="2">
        <v>18.52</v>
      </c>
      <c r="H471" s="1">
        <v>46166.63742658565</v>
      </c>
      <c r="I471" s="1">
        <v>46166.637426805559</v>
      </c>
      <c r="J471" t="s">
        <v>15</v>
      </c>
      <c r="K471" t="s">
        <v>16</v>
      </c>
      <c r="L471" s="1">
        <v>46166.637426828704</v>
      </c>
    </row>
    <row r="472" spans="1:12" x14ac:dyDescent="0.25">
      <c r="A472" t="s">
        <v>354</v>
      </c>
      <c r="B472" t="str">
        <f>resultado_db_usuario_5[[#This Row],[metodo]]&amp;" "&amp;SUBSTITUTE(resultado_db_usuario_5[[#This Row],[rota]],"/api/v1","")</f>
        <v>POST /pecas/</v>
      </c>
      <c r="C472" t="s">
        <v>33</v>
      </c>
      <c r="D472" t="s">
        <v>24</v>
      </c>
      <c r="E472" t="s">
        <v>25</v>
      </c>
      <c r="F472">
        <v>201</v>
      </c>
      <c r="G472" s="2">
        <v>25.45</v>
      </c>
      <c r="H472" s="1">
        <v>46166.637427083333</v>
      </c>
      <c r="I472" s="1">
        <v>46166.637427384259</v>
      </c>
      <c r="J472" t="s">
        <v>15</v>
      </c>
      <c r="K472" t="s">
        <v>16</v>
      </c>
      <c r="L472" s="1">
        <v>46166.637427407404</v>
      </c>
    </row>
    <row r="473" spans="1:12" x14ac:dyDescent="0.25">
      <c r="A473" t="s">
        <v>385</v>
      </c>
      <c r="B473" t="str">
        <f>resultado_db_usuario_5[[#This Row],[metodo]]&amp;" "&amp;SUBSTITUTE(resultado_db_usuario_5[[#This Row],[rota]],"/api/v1","")</f>
        <v>POST /pecas/</v>
      </c>
      <c r="C473" t="s">
        <v>33</v>
      </c>
      <c r="D473" t="s">
        <v>24</v>
      </c>
      <c r="E473" t="s">
        <v>25</v>
      </c>
      <c r="F473">
        <v>201</v>
      </c>
      <c r="G473" s="2">
        <v>23.69</v>
      </c>
      <c r="H473" s="1">
        <v>46166.637429085647</v>
      </c>
      <c r="I473" s="1">
        <v>46166.637429363429</v>
      </c>
      <c r="J473" t="s">
        <v>15</v>
      </c>
      <c r="K473" t="s">
        <v>16</v>
      </c>
      <c r="L473" s="1">
        <v>46166.637429386574</v>
      </c>
    </row>
    <row r="474" spans="1:12" x14ac:dyDescent="0.25">
      <c r="A474" t="s">
        <v>389</v>
      </c>
      <c r="B474" t="str">
        <f>resultado_db_usuario_5[[#This Row],[metodo]]&amp;" "&amp;SUBSTITUTE(resultado_db_usuario_5[[#This Row],[rota]],"/api/v1","")</f>
        <v>POST /pecas/</v>
      </c>
      <c r="C474" t="s">
        <v>33</v>
      </c>
      <c r="D474" t="s">
        <v>24</v>
      </c>
      <c r="E474" t="s">
        <v>25</v>
      </c>
      <c r="F474">
        <v>201</v>
      </c>
      <c r="G474" s="2">
        <v>23.34</v>
      </c>
      <c r="H474" s="1">
        <v>46166.63742929398</v>
      </c>
      <c r="I474" s="1">
        <v>46166.637429571761</v>
      </c>
      <c r="J474" t="s">
        <v>15</v>
      </c>
      <c r="K474" t="s">
        <v>16</v>
      </c>
      <c r="L474" s="1">
        <v>46166.637429606482</v>
      </c>
    </row>
    <row r="475" spans="1:12" x14ac:dyDescent="0.25">
      <c r="A475" t="s">
        <v>392</v>
      </c>
      <c r="B475" t="str">
        <f>resultado_db_usuario_5[[#This Row],[metodo]]&amp;" "&amp;SUBSTITUTE(resultado_db_usuario_5[[#This Row],[rota]],"/api/v1","")</f>
        <v>POST /pecas/</v>
      </c>
      <c r="C475" t="s">
        <v>33</v>
      </c>
      <c r="D475" t="s">
        <v>24</v>
      </c>
      <c r="E475" t="s">
        <v>25</v>
      </c>
      <c r="F475">
        <v>201</v>
      </c>
      <c r="G475" s="2">
        <v>18.670000000000002</v>
      </c>
      <c r="H475" s="1">
        <v>46166.637429490744</v>
      </c>
      <c r="I475" s="1">
        <v>46166.637429710645</v>
      </c>
      <c r="J475" t="s">
        <v>15</v>
      </c>
      <c r="K475" t="s">
        <v>16</v>
      </c>
      <c r="L475" s="1">
        <v>46166.637429733797</v>
      </c>
    </row>
    <row r="476" spans="1:12" x14ac:dyDescent="0.25">
      <c r="A476" t="s">
        <v>393</v>
      </c>
      <c r="B476" t="str">
        <f>resultado_db_usuario_5[[#This Row],[metodo]]&amp;" "&amp;SUBSTITUTE(resultado_db_usuario_5[[#This Row],[rota]],"/api/v1","")</f>
        <v>POST /pecas/</v>
      </c>
      <c r="C476" t="s">
        <v>33</v>
      </c>
      <c r="D476" t="s">
        <v>24</v>
      </c>
      <c r="E476" t="s">
        <v>25</v>
      </c>
      <c r="F476">
        <v>400</v>
      </c>
      <c r="G476" s="2">
        <v>20.309999999999999</v>
      </c>
      <c r="H476" s="1">
        <v>46166.637429513888</v>
      </c>
      <c r="I476" s="1">
        <v>46166.637429745373</v>
      </c>
      <c r="J476" t="s">
        <v>15</v>
      </c>
      <c r="K476" t="s">
        <v>16</v>
      </c>
      <c r="L476" s="1">
        <v>46166.637429780094</v>
      </c>
    </row>
    <row r="477" spans="1:12" x14ac:dyDescent="0.25">
      <c r="A477" t="s">
        <v>404</v>
      </c>
      <c r="B477" t="str">
        <f>resultado_db_usuario_5[[#This Row],[metodo]]&amp;" "&amp;SUBSTITUTE(resultado_db_usuario_5[[#This Row],[rota]],"/api/v1","")</f>
        <v>POST /pecas/</v>
      </c>
      <c r="C477" t="s">
        <v>33</v>
      </c>
      <c r="D477" t="s">
        <v>24</v>
      </c>
      <c r="E477" t="s">
        <v>25</v>
      </c>
      <c r="F477">
        <v>201</v>
      </c>
      <c r="G477" s="2">
        <v>34.380000000000003</v>
      </c>
      <c r="H477" s="1">
        <v>46166.637429907409</v>
      </c>
      <c r="I477" s="1">
        <v>46166.637430300929</v>
      </c>
      <c r="J477" t="s">
        <v>15</v>
      </c>
      <c r="K477" t="s">
        <v>16</v>
      </c>
      <c r="L477" s="1">
        <v>46166.63743033565</v>
      </c>
    </row>
    <row r="478" spans="1:12" x14ac:dyDescent="0.25">
      <c r="A478" t="s">
        <v>439</v>
      </c>
      <c r="B478" t="str">
        <f>resultado_db_usuario_5[[#This Row],[metodo]]&amp;" "&amp;SUBSTITUTE(resultado_db_usuario_5[[#This Row],[rota]],"/api/v1","")</f>
        <v>POST /pecas/</v>
      </c>
      <c r="C478" t="s">
        <v>33</v>
      </c>
      <c r="D478" t="s">
        <v>24</v>
      </c>
      <c r="E478" t="s">
        <v>25</v>
      </c>
      <c r="F478">
        <v>201</v>
      </c>
      <c r="G478" s="2">
        <v>22.31</v>
      </c>
      <c r="H478" s="1">
        <v>46166.637431944444</v>
      </c>
      <c r="I478" s="1">
        <v>46166.637432210649</v>
      </c>
      <c r="J478" t="s">
        <v>15</v>
      </c>
      <c r="K478" t="s">
        <v>16</v>
      </c>
      <c r="L478" s="1">
        <v>46166.637432233794</v>
      </c>
    </row>
    <row r="479" spans="1:12" x14ac:dyDescent="0.25">
      <c r="A479" t="s">
        <v>442</v>
      </c>
      <c r="B479" t="str">
        <f>resultado_db_usuario_5[[#This Row],[metodo]]&amp;" "&amp;SUBSTITUTE(resultado_db_usuario_5[[#This Row],[rota]],"/api/v1","")</f>
        <v>POST /pecas/</v>
      </c>
      <c r="C479" t="s">
        <v>33</v>
      </c>
      <c r="D479" t="s">
        <v>24</v>
      </c>
      <c r="E479" t="s">
        <v>25</v>
      </c>
      <c r="F479">
        <v>201</v>
      </c>
      <c r="G479" s="2">
        <v>18.739999999999998</v>
      </c>
      <c r="H479" s="1">
        <v>46166.637432152776</v>
      </c>
      <c r="I479" s="1">
        <v>46166.637432372685</v>
      </c>
      <c r="J479" t="s">
        <v>15</v>
      </c>
      <c r="K479" t="s">
        <v>16</v>
      </c>
      <c r="L479" s="1">
        <v>46166.63743239583</v>
      </c>
    </row>
    <row r="480" spans="1:12" x14ac:dyDescent="0.25">
      <c r="A480" t="s">
        <v>443</v>
      </c>
      <c r="B480" t="str">
        <f>resultado_db_usuario_5[[#This Row],[metodo]]&amp;" "&amp;SUBSTITUTE(resultado_db_usuario_5[[#This Row],[rota]],"/api/v1","")</f>
        <v>POST /pecas/</v>
      </c>
      <c r="C480" t="s">
        <v>33</v>
      </c>
      <c r="D480" t="s">
        <v>24</v>
      </c>
      <c r="E480" t="s">
        <v>25</v>
      </c>
      <c r="F480">
        <v>400</v>
      </c>
      <c r="G480" s="2">
        <v>19.46</v>
      </c>
      <c r="H480" s="1">
        <v>46166.637432175929</v>
      </c>
      <c r="I480" s="1">
        <v>46166.637432407406</v>
      </c>
      <c r="J480" t="s">
        <v>15</v>
      </c>
      <c r="K480" t="s">
        <v>16</v>
      </c>
      <c r="L480" s="1">
        <v>46166.637432430558</v>
      </c>
    </row>
    <row r="481" spans="1:12" x14ac:dyDescent="0.25">
      <c r="A481" t="s">
        <v>445</v>
      </c>
      <c r="B481" t="str">
        <f>resultado_db_usuario_5[[#This Row],[metodo]]&amp;" "&amp;SUBSTITUTE(resultado_db_usuario_5[[#This Row],[rota]],"/api/v1","")</f>
        <v>POST /pecas/</v>
      </c>
      <c r="C481" t="s">
        <v>33</v>
      </c>
      <c r="D481" t="s">
        <v>24</v>
      </c>
      <c r="E481" t="s">
        <v>25</v>
      </c>
      <c r="F481">
        <v>400</v>
      </c>
      <c r="G481" s="2">
        <v>13.17</v>
      </c>
      <c r="H481" s="1">
        <v>46166.637432314812</v>
      </c>
      <c r="I481" s="1">
        <v>46166.637432465279</v>
      </c>
      <c r="J481" t="s">
        <v>15</v>
      </c>
      <c r="K481" t="s">
        <v>16</v>
      </c>
      <c r="L481" s="1">
        <v>46166.6374325</v>
      </c>
    </row>
    <row r="482" spans="1:12" x14ac:dyDescent="0.25">
      <c r="A482" t="s">
        <v>457</v>
      </c>
      <c r="B482" t="str">
        <f>resultado_db_usuario_5[[#This Row],[metodo]]&amp;" "&amp;SUBSTITUTE(resultado_db_usuario_5[[#This Row],[rota]],"/api/v1","")</f>
        <v>POST /pecas/</v>
      </c>
      <c r="C482" t="s">
        <v>33</v>
      </c>
      <c r="D482" t="s">
        <v>24</v>
      </c>
      <c r="E482" t="s">
        <v>25</v>
      </c>
      <c r="F482">
        <v>201</v>
      </c>
      <c r="G482" s="2">
        <v>24.61</v>
      </c>
      <c r="H482" s="1">
        <v>46166.637432696756</v>
      </c>
      <c r="I482" s="1">
        <v>46166.637432986114</v>
      </c>
      <c r="J482" t="s">
        <v>15</v>
      </c>
      <c r="K482" t="s">
        <v>16</v>
      </c>
      <c r="L482" s="1">
        <v>46166.637433009259</v>
      </c>
    </row>
    <row r="483" spans="1:12" x14ac:dyDescent="0.25">
      <c r="A483" t="s">
        <v>490</v>
      </c>
      <c r="B483" t="str">
        <f>resultado_db_usuario_5[[#This Row],[metodo]]&amp;" "&amp;SUBSTITUTE(resultado_db_usuario_5[[#This Row],[rota]],"/api/v1","")</f>
        <v>POST /pecas/</v>
      </c>
      <c r="C483" t="s">
        <v>33</v>
      </c>
      <c r="D483" t="s">
        <v>24</v>
      </c>
      <c r="E483" t="s">
        <v>25</v>
      </c>
      <c r="F483">
        <v>201</v>
      </c>
      <c r="G483" s="2">
        <v>27.18</v>
      </c>
      <c r="H483" s="1">
        <v>46166.637435370372</v>
      </c>
      <c r="I483" s="1">
        <v>46166.637435682867</v>
      </c>
      <c r="J483" t="s">
        <v>15</v>
      </c>
      <c r="K483" t="s">
        <v>16</v>
      </c>
      <c r="L483" s="1">
        <v>46166.637435706019</v>
      </c>
    </row>
    <row r="484" spans="1:12" x14ac:dyDescent="0.25">
      <c r="A484" t="s">
        <v>491</v>
      </c>
      <c r="B484" t="str">
        <f>resultado_db_usuario_5[[#This Row],[metodo]]&amp;" "&amp;SUBSTITUTE(resultado_db_usuario_5[[#This Row],[rota]],"/api/v1","")</f>
        <v>POST /pecas/</v>
      </c>
      <c r="C484" t="s">
        <v>33</v>
      </c>
      <c r="D484" t="s">
        <v>24</v>
      </c>
      <c r="E484" t="s">
        <v>25</v>
      </c>
      <c r="F484">
        <v>400</v>
      </c>
      <c r="G484" s="2">
        <v>14.97</v>
      </c>
      <c r="H484" s="1">
        <v>46166.637435555553</v>
      </c>
      <c r="I484" s="1">
        <v>46166.637435729164</v>
      </c>
      <c r="J484" t="s">
        <v>15</v>
      </c>
      <c r="K484" t="s">
        <v>16</v>
      </c>
      <c r="L484" s="1">
        <v>46166.637435752316</v>
      </c>
    </row>
    <row r="485" spans="1:12" x14ac:dyDescent="0.25">
      <c r="A485" t="s">
        <v>492</v>
      </c>
      <c r="B485" t="str">
        <f>resultado_db_usuario_5[[#This Row],[metodo]]&amp;" "&amp;SUBSTITUTE(resultado_db_usuario_5[[#This Row],[rota]],"/api/v1","")</f>
        <v>POST /pecas/</v>
      </c>
      <c r="C485" t="s">
        <v>33</v>
      </c>
      <c r="D485" t="s">
        <v>24</v>
      </c>
      <c r="E485" t="s">
        <v>25</v>
      </c>
      <c r="F485">
        <v>400</v>
      </c>
      <c r="G485" s="2">
        <v>17.78</v>
      </c>
      <c r="H485" s="1">
        <v>46166.637435578705</v>
      </c>
      <c r="I485" s="1">
        <v>46166.637435775461</v>
      </c>
      <c r="J485" t="s">
        <v>15</v>
      </c>
      <c r="K485" t="s">
        <v>16</v>
      </c>
      <c r="L485" s="1">
        <v>46166.637435810182</v>
      </c>
    </row>
    <row r="486" spans="1:12" x14ac:dyDescent="0.25">
      <c r="A486" t="s">
        <v>497</v>
      </c>
      <c r="B486" t="str">
        <f>resultado_db_usuario_5[[#This Row],[metodo]]&amp;" "&amp;SUBSTITUTE(resultado_db_usuario_5[[#This Row],[rota]],"/api/v1","")</f>
        <v>POST /pecas/</v>
      </c>
      <c r="C486" t="s">
        <v>33</v>
      </c>
      <c r="D486" t="s">
        <v>24</v>
      </c>
      <c r="E486" t="s">
        <v>25</v>
      </c>
      <c r="F486">
        <v>201</v>
      </c>
      <c r="G486" s="2">
        <v>27.58</v>
      </c>
      <c r="H486" s="1">
        <v>46166.637435659723</v>
      </c>
      <c r="I486" s="1">
        <v>46166.637435972225</v>
      </c>
      <c r="J486" t="s">
        <v>15</v>
      </c>
      <c r="K486" t="s">
        <v>16</v>
      </c>
      <c r="L486" s="1">
        <v>46166.63743599537</v>
      </c>
    </row>
    <row r="487" spans="1:12" x14ac:dyDescent="0.25">
      <c r="A487" t="s">
        <v>509</v>
      </c>
      <c r="B487" t="str">
        <f>resultado_db_usuario_5[[#This Row],[metodo]]&amp;" "&amp;SUBSTITUTE(resultado_db_usuario_5[[#This Row],[rota]],"/api/v1","")</f>
        <v>POST /pecas/</v>
      </c>
      <c r="C487" t="s">
        <v>33</v>
      </c>
      <c r="D487" t="s">
        <v>24</v>
      </c>
      <c r="E487" t="s">
        <v>25</v>
      </c>
      <c r="F487">
        <v>201</v>
      </c>
      <c r="G487" s="2">
        <v>29.86</v>
      </c>
      <c r="H487" s="1">
        <v>46166.637436145837</v>
      </c>
      <c r="I487" s="1">
        <v>46166.637436493053</v>
      </c>
      <c r="J487" t="s">
        <v>15</v>
      </c>
      <c r="K487" t="s">
        <v>16</v>
      </c>
      <c r="L487" s="1">
        <v>46166.637436516205</v>
      </c>
    </row>
    <row r="488" spans="1:12" x14ac:dyDescent="0.25">
      <c r="A488" t="s">
        <v>534</v>
      </c>
      <c r="B488" t="str">
        <f>resultado_db_usuario_5[[#This Row],[metodo]]&amp;" "&amp;SUBSTITUTE(resultado_db_usuario_5[[#This Row],[rota]],"/api/v1","")</f>
        <v>POST /pecas/</v>
      </c>
      <c r="C488" t="s">
        <v>33</v>
      </c>
      <c r="D488" t="s">
        <v>24</v>
      </c>
      <c r="E488" t="s">
        <v>25</v>
      </c>
      <c r="F488">
        <v>201</v>
      </c>
      <c r="G488" s="2">
        <v>18.22</v>
      </c>
      <c r="H488" s="1">
        <v>46166.637437314814</v>
      </c>
      <c r="I488" s="1">
        <v>46166.637437523146</v>
      </c>
      <c r="J488" t="s">
        <v>15</v>
      </c>
      <c r="K488" t="s">
        <v>16</v>
      </c>
      <c r="L488" s="1">
        <v>46166.637437546298</v>
      </c>
    </row>
    <row r="489" spans="1:12" x14ac:dyDescent="0.25">
      <c r="A489" t="s">
        <v>535</v>
      </c>
      <c r="B489" t="str">
        <f>resultado_db_usuario_5[[#This Row],[metodo]]&amp;" "&amp;SUBSTITUTE(resultado_db_usuario_5[[#This Row],[rota]],"/api/v1","")</f>
        <v>POST /pecas/</v>
      </c>
      <c r="C489" t="s">
        <v>33</v>
      </c>
      <c r="D489" t="s">
        <v>24</v>
      </c>
      <c r="E489" t="s">
        <v>25</v>
      </c>
      <c r="F489">
        <v>400</v>
      </c>
      <c r="G489" s="2">
        <v>17.93</v>
      </c>
      <c r="H489" s="1">
        <v>46166.637437349535</v>
      </c>
      <c r="I489" s="1">
        <v>46166.637437557867</v>
      </c>
      <c r="J489" t="s">
        <v>15</v>
      </c>
      <c r="K489" t="s">
        <v>16</v>
      </c>
      <c r="L489" s="1">
        <v>46166.637437592595</v>
      </c>
    </row>
    <row r="490" spans="1:12" x14ac:dyDescent="0.25">
      <c r="A490" t="s">
        <v>538</v>
      </c>
      <c r="B490" t="str">
        <f>resultado_db_usuario_5[[#This Row],[metodo]]&amp;" "&amp;SUBSTITUTE(resultado_db_usuario_5[[#This Row],[rota]],"/api/v1","")</f>
        <v>POST /pecas/</v>
      </c>
      <c r="C490" t="s">
        <v>33</v>
      </c>
      <c r="D490" t="s">
        <v>24</v>
      </c>
      <c r="E490" t="s">
        <v>25</v>
      </c>
      <c r="F490">
        <v>201</v>
      </c>
      <c r="G490" s="2">
        <v>16.86</v>
      </c>
      <c r="H490" s="1">
        <v>46166.637437488425</v>
      </c>
      <c r="I490" s="1">
        <v>46166.637437685182</v>
      </c>
      <c r="J490" t="s">
        <v>15</v>
      </c>
      <c r="K490" t="s">
        <v>16</v>
      </c>
      <c r="L490" s="1">
        <v>46166.637437708334</v>
      </c>
    </row>
    <row r="491" spans="1:12" x14ac:dyDescent="0.25">
      <c r="A491" t="s">
        <v>553</v>
      </c>
      <c r="B491" t="str">
        <f>resultado_db_usuario_5[[#This Row],[metodo]]&amp;" "&amp;SUBSTITUTE(resultado_db_usuario_5[[#This Row],[rota]],"/api/v1","")</f>
        <v>POST /pecas/</v>
      </c>
      <c r="C491" t="s">
        <v>33</v>
      </c>
      <c r="D491" t="s">
        <v>24</v>
      </c>
      <c r="E491" t="s">
        <v>25</v>
      </c>
      <c r="F491">
        <v>201</v>
      </c>
      <c r="G491" s="2">
        <v>37.49</v>
      </c>
      <c r="H491" s="1">
        <v>46166.637438148151</v>
      </c>
      <c r="I491" s="1">
        <v>46166.637438587961</v>
      </c>
      <c r="J491" t="s">
        <v>15</v>
      </c>
      <c r="K491" t="s">
        <v>16</v>
      </c>
      <c r="L491" s="1">
        <v>46166.637438611113</v>
      </c>
    </row>
    <row r="492" spans="1:12" x14ac:dyDescent="0.25">
      <c r="A492" t="s">
        <v>571</v>
      </c>
      <c r="B492" t="str">
        <f>resultado_db_usuario_5[[#This Row],[metodo]]&amp;" "&amp;SUBSTITUTE(resultado_db_usuario_5[[#This Row],[rota]],"/api/v1","")</f>
        <v>POST /pecas/</v>
      </c>
      <c r="C492" t="s">
        <v>33</v>
      </c>
      <c r="D492" t="s">
        <v>24</v>
      </c>
      <c r="E492" t="s">
        <v>25</v>
      </c>
      <c r="F492">
        <v>201</v>
      </c>
      <c r="G492" s="2">
        <v>37.090000000000003</v>
      </c>
      <c r="H492" s="1">
        <v>46166.637439270831</v>
      </c>
      <c r="I492" s="1">
        <v>46166.637439699072</v>
      </c>
      <c r="J492" t="s">
        <v>15</v>
      </c>
      <c r="K492" t="s">
        <v>16</v>
      </c>
      <c r="L492" s="1">
        <v>46166.637439722224</v>
      </c>
    </row>
    <row r="493" spans="1:12" x14ac:dyDescent="0.25">
      <c r="A493" t="s">
        <v>576</v>
      </c>
      <c r="B493" t="str">
        <f>resultado_db_usuario_5[[#This Row],[metodo]]&amp;" "&amp;SUBSTITUTE(resultado_db_usuario_5[[#This Row],[rota]],"/api/v1","")</f>
        <v>POST /pecas/</v>
      </c>
      <c r="C493" t="s">
        <v>33</v>
      </c>
      <c r="D493" t="s">
        <v>24</v>
      </c>
      <c r="E493" t="s">
        <v>25</v>
      </c>
      <c r="F493">
        <v>201</v>
      </c>
      <c r="G493" s="2">
        <v>13.68</v>
      </c>
      <c r="H493" s="1">
        <v>46166.637439756945</v>
      </c>
      <c r="I493" s="1">
        <v>46166.637439907405</v>
      </c>
      <c r="J493" t="s">
        <v>15</v>
      </c>
      <c r="K493" t="s">
        <v>16</v>
      </c>
      <c r="L493" s="1">
        <v>46166.637439942133</v>
      </c>
    </row>
    <row r="494" spans="1:12" x14ac:dyDescent="0.25">
      <c r="A494" t="s">
        <v>581</v>
      </c>
      <c r="B494" t="str">
        <f>resultado_db_usuario_5[[#This Row],[metodo]]&amp;" "&amp;SUBSTITUTE(resultado_db_usuario_5[[#This Row],[rota]],"/api/v1","")</f>
        <v>POST /pecas/</v>
      </c>
      <c r="C494" t="s">
        <v>33</v>
      </c>
      <c r="D494" t="s">
        <v>24</v>
      </c>
      <c r="E494" t="s">
        <v>25</v>
      </c>
      <c r="F494">
        <v>201</v>
      </c>
      <c r="G494" s="2">
        <v>18.47</v>
      </c>
      <c r="H494" s="1">
        <v>46166.63743988426</v>
      </c>
      <c r="I494" s="1">
        <v>46166.637440104168</v>
      </c>
      <c r="J494" t="s">
        <v>15</v>
      </c>
      <c r="K494" t="s">
        <v>16</v>
      </c>
      <c r="L494" s="1">
        <v>46166.637440127313</v>
      </c>
    </row>
    <row r="495" spans="1:12" x14ac:dyDescent="0.25">
      <c r="A495" t="s">
        <v>591</v>
      </c>
      <c r="B495" t="str">
        <f>resultado_db_usuario_5[[#This Row],[metodo]]&amp;" "&amp;SUBSTITUTE(resultado_db_usuario_5[[#This Row],[rota]],"/api/v1","")</f>
        <v>POST /pecas/</v>
      </c>
      <c r="C495" t="s">
        <v>33</v>
      </c>
      <c r="D495" t="s">
        <v>24</v>
      </c>
      <c r="E495" t="s">
        <v>25</v>
      </c>
      <c r="F495">
        <v>201</v>
      </c>
      <c r="G495" s="2">
        <v>31.34</v>
      </c>
      <c r="H495" s="1">
        <v>46166.637440300925</v>
      </c>
      <c r="I495" s="1">
        <v>46166.637440659724</v>
      </c>
      <c r="J495" t="s">
        <v>15</v>
      </c>
      <c r="K495" t="s">
        <v>16</v>
      </c>
      <c r="L495" s="1">
        <v>46166.637440694445</v>
      </c>
    </row>
    <row r="496" spans="1:12" x14ac:dyDescent="0.25">
      <c r="A496" t="s">
        <v>609</v>
      </c>
      <c r="B496" t="str">
        <f>resultado_db_usuario_5[[#This Row],[metodo]]&amp;" "&amp;SUBSTITUTE(resultado_db_usuario_5[[#This Row],[rota]],"/api/v1","")</f>
        <v>POST /pecas/</v>
      </c>
      <c r="C496" t="s">
        <v>33</v>
      </c>
      <c r="D496" t="s">
        <v>24</v>
      </c>
      <c r="E496" t="s">
        <v>25</v>
      </c>
      <c r="F496">
        <v>201</v>
      </c>
      <c r="G496" s="2">
        <v>26.95</v>
      </c>
      <c r="H496" s="1">
        <v>46166.637441354163</v>
      </c>
      <c r="I496" s="1">
        <v>46166.637441666666</v>
      </c>
      <c r="J496" t="s">
        <v>15</v>
      </c>
      <c r="K496" t="s">
        <v>16</v>
      </c>
      <c r="L496" s="1">
        <v>46166.637441689818</v>
      </c>
    </row>
    <row r="497" spans="1:12" x14ac:dyDescent="0.25">
      <c r="A497" t="s">
        <v>611</v>
      </c>
      <c r="B497" t="str">
        <f>resultado_db_usuario_5[[#This Row],[metodo]]&amp;" "&amp;SUBSTITUTE(resultado_db_usuario_5[[#This Row],[rota]],"/api/v1","")</f>
        <v>POST /pecas/</v>
      </c>
      <c r="C497" t="s">
        <v>33</v>
      </c>
      <c r="D497" t="s">
        <v>24</v>
      </c>
      <c r="E497" t="s">
        <v>25</v>
      </c>
      <c r="F497">
        <v>201</v>
      </c>
      <c r="G497" s="2">
        <v>12.51</v>
      </c>
      <c r="H497" s="1">
        <v>46166.637441689818</v>
      </c>
      <c r="I497" s="1">
        <v>46166.637441828701</v>
      </c>
      <c r="J497" t="s">
        <v>15</v>
      </c>
      <c r="K497" t="s">
        <v>16</v>
      </c>
      <c r="L497" s="1">
        <v>46166.63744186343</v>
      </c>
    </row>
    <row r="498" spans="1:12" x14ac:dyDescent="0.25">
      <c r="A498" t="s">
        <v>624</v>
      </c>
      <c r="B498" t="str">
        <f>resultado_db_usuario_5[[#This Row],[metodo]]&amp;" "&amp;SUBSTITUTE(resultado_db_usuario_5[[#This Row],[rota]],"/api/v1","")</f>
        <v>POST /pecas/</v>
      </c>
      <c r="C498" t="s">
        <v>33</v>
      </c>
      <c r="D498" t="s">
        <v>24</v>
      </c>
      <c r="E498" t="s">
        <v>25</v>
      </c>
      <c r="F498">
        <v>201</v>
      </c>
      <c r="G498" s="2">
        <v>23.74</v>
      </c>
      <c r="H498" s="1">
        <v>46166.637442245374</v>
      </c>
      <c r="I498" s="1">
        <v>46166.637442523148</v>
      </c>
      <c r="J498" t="s">
        <v>15</v>
      </c>
      <c r="K498" t="s">
        <v>16</v>
      </c>
      <c r="L498" s="1">
        <v>46166.637442569445</v>
      </c>
    </row>
    <row r="499" spans="1:12" x14ac:dyDescent="0.25">
      <c r="A499" t="s">
        <v>634</v>
      </c>
      <c r="B499" t="str">
        <f>resultado_db_usuario_5[[#This Row],[metodo]]&amp;" "&amp;SUBSTITUTE(resultado_db_usuario_5[[#This Row],[rota]],"/api/v1","")</f>
        <v>POST /pecas/</v>
      </c>
      <c r="C499" t="s">
        <v>33</v>
      </c>
      <c r="D499" t="s">
        <v>24</v>
      </c>
      <c r="E499" t="s">
        <v>25</v>
      </c>
      <c r="F499">
        <v>201</v>
      </c>
      <c r="G499" s="2">
        <v>34.85</v>
      </c>
      <c r="H499" s="1">
        <v>46166.637442905092</v>
      </c>
      <c r="I499" s="1">
        <v>46166.637443310188</v>
      </c>
      <c r="J499" t="s">
        <v>15</v>
      </c>
      <c r="K499" t="s">
        <v>16</v>
      </c>
      <c r="L499" s="1">
        <v>46166.637443344909</v>
      </c>
    </row>
    <row r="500" spans="1:12" x14ac:dyDescent="0.25">
      <c r="A500" t="s">
        <v>645</v>
      </c>
      <c r="B500" t="str">
        <f>resultado_db_usuario_5[[#This Row],[metodo]]&amp;" "&amp;SUBSTITUTE(resultado_db_usuario_5[[#This Row],[rota]],"/api/v1","")</f>
        <v>POST /pecas/</v>
      </c>
      <c r="C500" t="s">
        <v>33</v>
      </c>
      <c r="D500" t="s">
        <v>24</v>
      </c>
      <c r="E500" t="s">
        <v>25</v>
      </c>
      <c r="F500">
        <v>201</v>
      </c>
      <c r="G500" s="2">
        <v>9.64</v>
      </c>
      <c r="H500" s="1">
        <v>46166.637443900465</v>
      </c>
      <c r="I500" s="1">
        <v>46166.637444016204</v>
      </c>
      <c r="J500" t="s">
        <v>15</v>
      </c>
      <c r="K500" t="s">
        <v>16</v>
      </c>
      <c r="L500" s="1">
        <v>46166.637444039348</v>
      </c>
    </row>
    <row r="501" spans="1:12" x14ac:dyDescent="0.25">
      <c r="A501" t="s">
        <v>654</v>
      </c>
      <c r="B501" t="str">
        <f>resultado_db_usuario_5[[#This Row],[metodo]]&amp;" "&amp;SUBSTITUTE(resultado_db_usuario_5[[#This Row],[rota]],"/api/v1","")</f>
        <v>POST /pecas/</v>
      </c>
      <c r="C501" t="s">
        <v>33</v>
      </c>
      <c r="D501" t="s">
        <v>24</v>
      </c>
      <c r="E501" t="s">
        <v>25</v>
      </c>
      <c r="F501">
        <v>201</v>
      </c>
      <c r="G501" s="2">
        <v>8.49</v>
      </c>
      <c r="H501" s="1">
        <v>46166.637444247688</v>
      </c>
      <c r="I501" s="1">
        <v>46166.637444340275</v>
      </c>
      <c r="J501" t="s">
        <v>15</v>
      </c>
      <c r="K501" t="s">
        <v>16</v>
      </c>
      <c r="L501" s="1">
        <v>46166.637444363427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899-3DB9-4E76-A315-6453874C8E77}">
  <dimension ref="A1:L1001"/>
  <sheetViews>
    <sheetView topLeftCell="A966" workbookViewId="0">
      <selection activeCell="G1" sqref="G1"/>
    </sheetView>
  </sheetViews>
  <sheetFormatPr defaultRowHeight="15" x14ac:dyDescent="0.25"/>
  <cols>
    <col min="1" max="1" width="30.140625" bestFit="1" customWidth="1"/>
    <col min="2" max="2" width="30.140625" customWidth="1"/>
    <col min="3" max="3" width="10.28515625" bestFit="1" customWidth="1"/>
    <col min="4" max="4" width="34.7109375" bestFit="1" customWidth="1"/>
    <col min="5" max="5" width="20.140625" bestFit="1" customWidth="1"/>
    <col min="6" max="6" width="13.7109375" bestFit="1" customWidth="1"/>
    <col min="7" max="7" width="13" bestFit="1" customWidth="1"/>
    <col min="8" max="9" width="15.5703125" bestFit="1" customWidth="1"/>
    <col min="10" max="10" width="12.7109375" bestFit="1" customWidth="1"/>
    <col min="11" max="11" width="36.140625" bestFit="1" customWidth="1"/>
    <col min="12" max="12" width="15.5703125" bestFit="1" customWidth="1"/>
  </cols>
  <sheetData>
    <row r="1" spans="1:12" x14ac:dyDescent="0.25">
      <c r="A1" t="s">
        <v>0</v>
      </c>
      <c r="B1" t="s">
        <v>135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668</v>
      </c>
      <c r="B2" t="str">
        <f>resultado_db_usuario_10[[#This Row],[metodo]]&amp;" "&amp;SUBSTITUTE(resultado_db_usuario_10[[#This Row],[rota]],"/api/v1","")</f>
        <v>DELETE /pecas/:id</v>
      </c>
      <c r="C2" t="s">
        <v>40</v>
      </c>
      <c r="D2" t="s">
        <v>36</v>
      </c>
      <c r="E2" t="s">
        <v>37</v>
      </c>
      <c r="F2">
        <v>204</v>
      </c>
      <c r="G2" s="2" t="s">
        <v>669</v>
      </c>
      <c r="H2" s="1">
        <v>46166.641066342592</v>
      </c>
      <c r="I2" s="1">
        <v>46166.641066388889</v>
      </c>
      <c r="J2" t="s">
        <v>15</v>
      </c>
      <c r="K2" t="s">
        <v>16</v>
      </c>
      <c r="L2" s="1">
        <v>46166.641066400465</v>
      </c>
    </row>
    <row r="3" spans="1:12" x14ac:dyDescent="0.25">
      <c r="A3" t="s">
        <v>690</v>
      </c>
      <c r="B3" t="str">
        <f>resultado_db_usuario_10[[#This Row],[metodo]]&amp;" "&amp;SUBSTITUTE(resultado_db_usuario_10[[#This Row],[rota]],"/api/v1","")</f>
        <v>DELETE /pecas/:id</v>
      </c>
      <c r="C3" t="s">
        <v>40</v>
      </c>
      <c r="D3" t="s">
        <v>36</v>
      </c>
      <c r="E3" t="s">
        <v>37</v>
      </c>
      <c r="F3">
        <v>204</v>
      </c>
      <c r="G3" s="2">
        <v>6.06</v>
      </c>
      <c r="H3" s="1">
        <v>46166.641067384262</v>
      </c>
      <c r="I3" s="1">
        <v>46166.641067453704</v>
      </c>
      <c r="J3" t="s">
        <v>15</v>
      </c>
      <c r="K3" t="s">
        <v>16</v>
      </c>
      <c r="L3" s="1">
        <v>46166.641067476849</v>
      </c>
    </row>
    <row r="4" spans="1:12" x14ac:dyDescent="0.25">
      <c r="A4" t="s">
        <v>691</v>
      </c>
      <c r="B4" t="str">
        <f>resultado_db_usuario_10[[#This Row],[metodo]]&amp;" "&amp;SUBSTITUTE(resultado_db_usuario_10[[#This Row],[rota]],"/api/v1","")</f>
        <v>DELETE /pecas/:id</v>
      </c>
      <c r="C4" t="s">
        <v>40</v>
      </c>
      <c r="D4" t="s">
        <v>204</v>
      </c>
      <c r="E4" t="s">
        <v>37</v>
      </c>
      <c r="F4">
        <v>204</v>
      </c>
      <c r="G4" s="2">
        <v>6.64</v>
      </c>
      <c r="H4" s="1">
        <v>46166.64106746528</v>
      </c>
      <c r="I4" s="1">
        <v>46166.641067546298</v>
      </c>
      <c r="J4" t="s">
        <v>15</v>
      </c>
      <c r="K4" t="s">
        <v>16</v>
      </c>
      <c r="L4" s="1">
        <v>46166.641067557874</v>
      </c>
    </row>
    <row r="5" spans="1:12" hidden="1" x14ac:dyDescent="0.25">
      <c r="A5" t="s">
        <v>718</v>
      </c>
      <c r="B5" t="str">
        <f>resultado_db_usuario_10[[#This Row],[metodo]]&amp;" "&amp;SUBSTITUTE(resultado_db_usuario_10[[#This Row],[rota]],"/api/v1","")</f>
        <v>DELETE /pecas/:id</v>
      </c>
      <c r="C5" t="s">
        <v>40</v>
      </c>
      <c r="D5" t="s">
        <v>173</v>
      </c>
      <c r="E5" t="s">
        <v>37</v>
      </c>
      <c r="F5">
        <v>404</v>
      </c>
      <c r="G5" t="s">
        <v>719</v>
      </c>
      <c r="H5" s="1">
        <v>46166.641068437501</v>
      </c>
      <c r="I5" s="1">
        <v>46166.641068495373</v>
      </c>
      <c r="J5" t="s">
        <v>15</v>
      </c>
      <c r="K5" t="s">
        <v>16</v>
      </c>
      <c r="L5" s="1">
        <v>46166.641068518518</v>
      </c>
    </row>
    <row r="6" spans="1:12" x14ac:dyDescent="0.25">
      <c r="A6" t="s">
        <v>722</v>
      </c>
      <c r="B6" t="str">
        <f>resultado_db_usuario_10[[#This Row],[metodo]]&amp;" "&amp;SUBSTITUTE(resultado_db_usuario_10[[#This Row],[rota]],"/api/v1","")</f>
        <v>DELETE /pecas/:id</v>
      </c>
      <c r="C6" t="s">
        <v>40</v>
      </c>
      <c r="D6" t="s">
        <v>36</v>
      </c>
      <c r="E6" t="s">
        <v>37</v>
      </c>
      <c r="F6">
        <v>204</v>
      </c>
      <c r="G6" s="2">
        <v>9.25</v>
      </c>
      <c r="H6" s="1">
        <v>46166.641068541663</v>
      </c>
      <c r="I6" s="1">
        <v>46166.641068645833</v>
      </c>
      <c r="J6" t="s">
        <v>15</v>
      </c>
      <c r="K6" t="s">
        <v>16</v>
      </c>
      <c r="L6" s="1">
        <v>46166.641068668985</v>
      </c>
    </row>
    <row r="7" spans="1:12" x14ac:dyDescent="0.25">
      <c r="A7" t="s">
        <v>735</v>
      </c>
      <c r="B7" t="str">
        <f>resultado_db_usuario_10[[#This Row],[metodo]]&amp;" "&amp;SUBSTITUTE(resultado_db_usuario_10[[#This Row],[rota]],"/api/v1","")</f>
        <v>DELETE /pecas/:id</v>
      </c>
      <c r="C7" t="s">
        <v>40</v>
      </c>
      <c r="D7" t="s">
        <v>204</v>
      </c>
      <c r="E7" t="s">
        <v>37</v>
      </c>
      <c r="F7">
        <v>204</v>
      </c>
      <c r="G7" s="2">
        <v>6.39</v>
      </c>
      <c r="H7" s="1">
        <v>46166.641069027777</v>
      </c>
      <c r="I7" s="1">
        <v>46166.641069097219</v>
      </c>
      <c r="J7" t="s">
        <v>15</v>
      </c>
      <c r="K7" t="s">
        <v>16</v>
      </c>
      <c r="L7" s="1">
        <v>46166.641069120371</v>
      </c>
    </row>
    <row r="8" spans="1:12" x14ac:dyDescent="0.25">
      <c r="A8" t="s">
        <v>758</v>
      </c>
      <c r="B8" t="str">
        <f>resultado_db_usuario_10[[#This Row],[metodo]]&amp;" "&amp;SUBSTITUTE(resultado_db_usuario_10[[#This Row],[rota]],"/api/v1","")</f>
        <v>DELETE /pecas/:id</v>
      </c>
      <c r="C8" t="s">
        <v>40</v>
      </c>
      <c r="D8" t="s">
        <v>36</v>
      </c>
      <c r="E8" t="s">
        <v>37</v>
      </c>
      <c r="F8">
        <v>204</v>
      </c>
      <c r="G8" s="2">
        <v>5.46</v>
      </c>
      <c r="H8" s="1">
        <v>46166.641069756944</v>
      </c>
      <c r="I8" s="1">
        <v>46166.641069826386</v>
      </c>
      <c r="J8" t="s">
        <v>15</v>
      </c>
      <c r="K8" t="s">
        <v>16</v>
      </c>
      <c r="L8" s="1">
        <v>46166.641069837962</v>
      </c>
    </row>
    <row r="9" spans="1:12" x14ac:dyDescent="0.25">
      <c r="A9" t="s">
        <v>762</v>
      </c>
      <c r="B9" t="str">
        <f>resultado_db_usuario_10[[#This Row],[metodo]]&amp;" "&amp;SUBSTITUTE(resultado_db_usuario_10[[#This Row],[rota]],"/api/v1","")</f>
        <v>DELETE /pecas/:id</v>
      </c>
      <c r="C9" t="s">
        <v>40</v>
      </c>
      <c r="D9" t="s">
        <v>204</v>
      </c>
      <c r="E9" t="s">
        <v>37</v>
      </c>
      <c r="F9">
        <v>204</v>
      </c>
      <c r="G9" s="2">
        <v>11.64</v>
      </c>
      <c r="H9" s="1">
        <v>46166.641069872683</v>
      </c>
      <c r="I9" s="1">
        <v>46166.641070011574</v>
      </c>
      <c r="J9" t="s">
        <v>15</v>
      </c>
      <c r="K9" t="s">
        <v>16</v>
      </c>
      <c r="L9" s="1">
        <v>46166.64107002315</v>
      </c>
    </row>
    <row r="10" spans="1:12" hidden="1" x14ac:dyDescent="0.25">
      <c r="A10" t="s">
        <v>774</v>
      </c>
      <c r="B10" t="str">
        <f>resultado_db_usuario_10[[#This Row],[metodo]]&amp;" "&amp;SUBSTITUTE(resultado_db_usuario_10[[#This Row],[rota]],"/api/v1","")</f>
        <v>DELETE /pecas/:id</v>
      </c>
      <c r="C10" t="s">
        <v>40</v>
      </c>
      <c r="D10" t="s">
        <v>173</v>
      </c>
      <c r="E10" t="s">
        <v>37</v>
      </c>
      <c r="F10">
        <v>404</v>
      </c>
      <c r="G10" t="s">
        <v>132</v>
      </c>
      <c r="H10" s="1">
        <v>46166.641070405094</v>
      </c>
      <c r="I10" s="1">
        <v>46166.641070532409</v>
      </c>
      <c r="J10" t="s">
        <v>15</v>
      </c>
      <c r="K10" t="s">
        <v>16</v>
      </c>
      <c r="L10" s="1">
        <v>46166.641070555554</v>
      </c>
    </row>
    <row r="11" spans="1:12" x14ac:dyDescent="0.25">
      <c r="A11" t="s">
        <v>776</v>
      </c>
      <c r="B11" t="str">
        <f>resultado_db_usuario_10[[#This Row],[metodo]]&amp;" "&amp;SUBSTITUTE(resultado_db_usuario_10[[#This Row],[rota]],"/api/v1","")</f>
        <v>DELETE /pecas/:id</v>
      </c>
      <c r="C11" t="s">
        <v>40</v>
      </c>
      <c r="D11" t="s">
        <v>208</v>
      </c>
      <c r="E11" t="s">
        <v>37</v>
      </c>
      <c r="F11">
        <v>204</v>
      </c>
      <c r="G11" s="2">
        <v>14.15</v>
      </c>
      <c r="H11" s="1">
        <v>46166.64107041667</v>
      </c>
      <c r="I11" s="1">
        <v>46166.641070578706</v>
      </c>
      <c r="J11" t="s">
        <v>15</v>
      </c>
      <c r="K11" t="s">
        <v>16</v>
      </c>
      <c r="L11" s="1">
        <v>46166.641070590274</v>
      </c>
    </row>
    <row r="12" spans="1:12" x14ac:dyDescent="0.25">
      <c r="A12" t="s">
        <v>807</v>
      </c>
      <c r="B12" t="str">
        <f>resultado_db_usuario_10[[#This Row],[metodo]]&amp;" "&amp;SUBSTITUTE(resultado_db_usuario_10[[#This Row],[rota]],"/api/v1","")</f>
        <v>DELETE /pecas/:id</v>
      </c>
      <c r="C12" t="s">
        <v>40</v>
      </c>
      <c r="D12" t="s">
        <v>36</v>
      </c>
      <c r="E12" t="s">
        <v>37</v>
      </c>
      <c r="F12">
        <v>204</v>
      </c>
      <c r="G12" s="2">
        <v>11.03</v>
      </c>
      <c r="H12" s="1">
        <v>46166.641071550926</v>
      </c>
      <c r="I12" s="1">
        <v>46166.641071678241</v>
      </c>
      <c r="J12" t="s">
        <v>15</v>
      </c>
      <c r="K12" t="s">
        <v>16</v>
      </c>
      <c r="L12" s="1">
        <v>46166.641071689817</v>
      </c>
    </row>
    <row r="13" spans="1:12" x14ac:dyDescent="0.25">
      <c r="A13" t="s">
        <v>813</v>
      </c>
      <c r="B13" t="str">
        <f>resultado_db_usuario_10[[#This Row],[metodo]]&amp;" "&amp;SUBSTITUTE(resultado_db_usuario_10[[#This Row],[rota]],"/api/v1","")</f>
        <v>DELETE /pecas/:id</v>
      </c>
      <c r="C13" t="s">
        <v>40</v>
      </c>
      <c r="D13" t="s">
        <v>204</v>
      </c>
      <c r="E13" t="s">
        <v>37</v>
      </c>
      <c r="F13">
        <v>204</v>
      </c>
      <c r="G13" s="2">
        <v>11.39</v>
      </c>
      <c r="H13" s="1">
        <v>46166.641071736114</v>
      </c>
      <c r="I13" s="1">
        <v>46166.641071863429</v>
      </c>
      <c r="J13" t="s">
        <v>15</v>
      </c>
      <c r="K13" t="s">
        <v>16</v>
      </c>
      <c r="L13" s="1">
        <v>46166.641071886574</v>
      </c>
    </row>
    <row r="14" spans="1:12" x14ac:dyDescent="0.25">
      <c r="A14" t="s">
        <v>824</v>
      </c>
      <c r="B14" t="str">
        <f>resultado_db_usuario_10[[#This Row],[metodo]]&amp;" "&amp;SUBSTITUTE(resultado_db_usuario_10[[#This Row],[rota]],"/api/v1","")</f>
        <v>DELETE /pecas/:id</v>
      </c>
      <c r="C14" t="s">
        <v>40</v>
      </c>
      <c r="D14" t="s">
        <v>208</v>
      </c>
      <c r="E14" t="s">
        <v>37</v>
      </c>
      <c r="F14">
        <v>204</v>
      </c>
      <c r="G14" s="2">
        <v>11.25</v>
      </c>
      <c r="H14" s="1">
        <v>46166.641072141203</v>
      </c>
      <c r="I14" s="1">
        <v>46166.641072268518</v>
      </c>
      <c r="J14" t="s">
        <v>15</v>
      </c>
      <c r="K14" t="s">
        <v>16</v>
      </c>
      <c r="L14" s="1">
        <v>46166.64107229167</v>
      </c>
    </row>
    <row r="15" spans="1:12" hidden="1" x14ac:dyDescent="0.25">
      <c r="A15" t="s">
        <v>827</v>
      </c>
      <c r="B15" t="str">
        <f>resultado_db_usuario_10[[#This Row],[metodo]]&amp;" "&amp;SUBSTITUTE(resultado_db_usuario_10[[#This Row],[rota]],"/api/v1","")</f>
        <v>DELETE /pecas/:id</v>
      </c>
      <c r="C15" t="s">
        <v>40</v>
      </c>
      <c r="D15" t="s">
        <v>173</v>
      </c>
      <c r="E15" t="s">
        <v>37</v>
      </c>
      <c r="F15">
        <v>404</v>
      </c>
      <c r="G15" t="s">
        <v>240</v>
      </c>
      <c r="H15" s="1">
        <v>46166.641072314815</v>
      </c>
      <c r="I15" s="1">
        <v>46166.641072372688</v>
      </c>
      <c r="J15" t="s">
        <v>15</v>
      </c>
      <c r="K15" t="s">
        <v>16</v>
      </c>
      <c r="L15" s="1">
        <v>46166.641072395832</v>
      </c>
    </row>
    <row r="16" spans="1:12" x14ac:dyDescent="0.25">
      <c r="A16" t="s">
        <v>830</v>
      </c>
      <c r="B16" t="str">
        <f>resultado_db_usuario_10[[#This Row],[metodo]]&amp;" "&amp;SUBSTITUTE(resultado_db_usuario_10[[#This Row],[rota]],"/api/v1","")</f>
        <v>DELETE /pecas/:id</v>
      </c>
      <c r="C16" t="s">
        <v>40</v>
      </c>
      <c r="D16" t="s">
        <v>305</v>
      </c>
      <c r="E16" t="s">
        <v>37</v>
      </c>
      <c r="F16">
        <v>204</v>
      </c>
      <c r="G16" s="2">
        <v>10.57</v>
      </c>
      <c r="H16" s="1">
        <v>46166.641072349536</v>
      </c>
      <c r="I16" s="1">
        <v>46166.64107247685</v>
      </c>
      <c r="J16" t="s">
        <v>15</v>
      </c>
      <c r="K16" t="s">
        <v>16</v>
      </c>
      <c r="L16" s="1">
        <v>46166.641072488426</v>
      </c>
    </row>
    <row r="17" spans="1:12" x14ac:dyDescent="0.25">
      <c r="A17" t="s">
        <v>869</v>
      </c>
      <c r="B17" t="str">
        <f>resultado_db_usuario_10[[#This Row],[metodo]]&amp;" "&amp;SUBSTITUTE(resultado_db_usuario_10[[#This Row],[rota]],"/api/v1","")</f>
        <v>DELETE /pecas/:id</v>
      </c>
      <c r="C17" t="s">
        <v>40</v>
      </c>
      <c r="D17" t="s">
        <v>36</v>
      </c>
      <c r="E17" t="s">
        <v>37</v>
      </c>
      <c r="F17">
        <v>204</v>
      </c>
      <c r="G17" s="2">
        <v>10.039999999999999</v>
      </c>
      <c r="H17" s="1">
        <v>46166.641073761573</v>
      </c>
      <c r="I17" s="1">
        <v>46166.641073877312</v>
      </c>
      <c r="J17" t="s">
        <v>15</v>
      </c>
      <c r="K17" t="s">
        <v>16</v>
      </c>
      <c r="L17" s="1">
        <v>46166.641073900464</v>
      </c>
    </row>
    <row r="18" spans="1:12" x14ac:dyDescent="0.25">
      <c r="A18" t="s">
        <v>879</v>
      </c>
      <c r="B18" t="str">
        <f>resultado_db_usuario_10[[#This Row],[metodo]]&amp;" "&amp;SUBSTITUTE(resultado_db_usuario_10[[#This Row],[rota]],"/api/v1","")</f>
        <v>DELETE /pecas/:id</v>
      </c>
      <c r="C18" t="s">
        <v>40</v>
      </c>
      <c r="D18" t="s">
        <v>204</v>
      </c>
      <c r="E18" t="s">
        <v>37</v>
      </c>
      <c r="F18">
        <v>204</v>
      </c>
      <c r="G18" s="2">
        <v>12.12</v>
      </c>
      <c r="H18" s="1">
        <v>46166.641074108797</v>
      </c>
      <c r="I18" s="1">
        <v>46166.641074247687</v>
      </c>
      <c r="J18" t="s">
        <v>15</v>
      </c>
      <c r="K18" t="s">
        <v>16</v>
      </c>
      <c r="L18" s="1">
        <v>46166.641074259256</v>
      </c>
    </row>
    <row r="19" spans="1:12" x14ac:dyDescent="0.25">
      <c r="A19" t="s">
        <v>888</v>
      </c>
      <c r="B19" t="str">
        <f>resultado_db_usuario_10[[#This Row],[metodo]]&amp;" "&amp;SUBSTITUTE(resultado_db_usuario_10[[#This Row],[rota]],"/api/v1","")</f>
        <v>DELETE /pecas/:id</v>
      </c>
      <c r="C19" t="s">
        <v>40</v>
      </c>
      <c r="D19" t="s">
        <v>208</v>
      </c>
      <c r="E19" t="s">
        <v>37</v>
      </c>
      <c r="F19">
        <v>204</v>
      </c>
      <c r="G19" s="2">
        <v>11.03</v>
      </c>
      <c r="H19" s="1">
        <v>46166.64107435185</v>
      </c>
      <c r="I19" s="1">
        <v>46166.641074479165</v>
      </c>
      <c r="J19" t="s">
        <v>15</v>
      </c>
      <c r="K19" t="s">
        <v>16</v>
      </c>
      <c r="L19" s="1">
        <v>46166.641074490741</v>
      </c>
    </row>
    <row r="20" spans="1:12" hidden="1" x14ac:dyDescent="0.25">
      <c r="A20" t="s">
        <v>899</v>
      </c>
      <c r="B20" t="str">
        <f>resultado_db_usuario_10[[#This Row],[metodo]]&amp;" "&amp;SUBSTITUTE(resultado_db_usuario_10[[#This Row],[rota]],"/api/v1","")</f>
        <v>DELETE /pecas/:id</v>
      </c>
      <c r="C20" t="s">
        <v>40</v>
      </c>
      <c r="D20" t="s">
        <v>173</v>
      </c>
      <c r="E20" t="s">
        <v>37</v>
      </c>
      <c r="F20">
        <v>404</v>
      </c>
      <c r="G20" t="s">
        <v>900</v>
      </c>
      <c r="H20" s="1">
        <v>46166.641074652776</v>
      </c>
      <c r="I20" s="1">
        <v>46166.641074780091</v>
      </c>
      <c r="J20" t="s">
        <v>15</v>
      </c>
      <c r="K20" t="s">
        <v>16</v>
      </c>
      <c r="L20" s="1">
        <v>46166.641074803243</v>
      </c>
    </row>
    <row r="21" spans="1:12" x14ac:dyDescent="0.25">
      <c r="A21" t="s">
        <v>904</v>
      </c>
      <c r="B21" t="str">
        <f>resultado_db_usuario_10[[#This Row],[metodo]]&amp;" "&amp;SUBSTITUTE(resultado_db_usuario_10[[#This Row],[rota]],"/api/v1","")</f>
        <v>DELETE /pecas/:id</v>
      </c>
      <c r="C21" t="s">
        <v>40</v>
      </c>
      <c r="D21" t="s">
        <v>305</v>
      </c>
      <c r="E21" t="s">
        <v>37</v>
      </c>
      <c r="F21">
        <v>204</v>
      </c>
      <c r="G21" s="2">
        <v>19.22</v>
      </c>
      <c r="H21" s="1">
        <v>46166.641074733794</v>
      </c>
      <c r="I21" s="1">
        <v>46166.641074953703</v>
      </c>
      <c r="J21" t="s">
        <v>15</v>
      </c>
      <c r="K21" t="s">
        <v>16</v>
      </c>
      <c r="L21" s="1">
        <v>46166.641074976855</v>
      </c>
    </row>
    <row r="22" spans="1:12" hidden="1" x14ac:dyDescent="0.25">
      <c r="A22" t="s">
        <v>907</v>
      </c>
      <c r="B22" t="str">
        <f>resultado_db_usuario_10[[#This Row],[metodo]]&amp;" "&amp;SUBSTITUTE(resultado_db_usuario_10[[#This Row],[rota]],"/api/v1","")</f>
        <v>DELETE /pecas/:id</v>
      </c>
      <c r="C22" t="s">
        <v>40</v>
      </c>
      <c r="D22" t="s">
        <v>173</v>
      </c>
      <c r="E22" t="s">
        <v>37</v>
      </c>
      <c r="F22">
        <v>404</v>
      </c>
      <c r="G22" t="s">
        <v>908</v>
      </c>
      <c r="H22" s="1">
        <v>46166.641074918982</v>
      </c>
      <c r="I22" s="1">
        <v>46166.64107503472</v>
      </c>
      <c r="J22" t="s">
        <v>15</v>
      </c>
      <c r="K22" t="s">
        <v>16</v>
      </c>
      <c r="L22" s="1">
        <v>46166.641075057873</v>
      </c>
    </row>
    <row r="23" spans="1:12" x14ac:dyDescent="0.25">
      <c r="A23" t="s">
        <v>914</v>
      </c>
      <c r="B23" t="str">
        <f>resultado_db_usuario_10[[#This Row],[metodo]]&amp;" "&amp;SUBSTITUTE(resultado_db_usuario_10[[#This Row],[rota]],"/api/v1","")</f>
        <v>DELETE /pecas/:id</v>
      </c>
      <c r="C23" t="s">
        <v>40</v>
      </c>
      <c r="D23" t="s">
        <v>895</v>
      </c>
      <c r="E23" t="s">
        <v>37</v>
      </c>
      <c r="F23">
        <v>204</v>
      </c>
      <c r="G23" s="2">
        <v>22.6</v>
      </c>
      <c r="H23" s="1">
        <v>46166.641075104169</v>
      </c>
      <c r="I23" s="1">
        <v>46166.641075358799</v>
      </c>
      <c r="J23" t="s">
        <v>15</v>
      </c>
      <c r="K23" t="s">
        <v>16</v>
      </c>
      <c r="L23" s="1">
        <v>46166.641075381944</v>
      </c>
    </row>
    <row r="24" spans="1:12" x14ac:dyDescent="0.25">
      <c r="A24" t="s">
        <v>956</v>
      </c>
      <c r="B24" t="str">
        <f>resultado_db_usuario_10[[#This Row],[metodo]]&amp;" "&amp;SUBSTITUTE(resultado_db_usuario_10[[#This Row],[rota]],"/api/v1","")</f>
        <v>DELETE /pecas/:id</v>
      </c>
      <c r="C24" t="s">
        <v>40</v>
      </c>
      <c r="D24" t="s">
        <v>36</v>
      </c>
      <c r="E24" t="s">
        <v>37</v>
      </c>
      <c r="F24">
        <v>204</v>
      </c>
      <c r="G24" s="2">
        <v>12.49</v>
      </c>
      <c r="H24" s="1">
        <v>46166.641076666667</v>
      </c>
      <c r="I24" s="1">
        <v>46166.641076805558</v>
      </c>
      <c r="J24" t="s">
        <v>15</v>
      </c>
      <c r="K24" t="s">
        <v>16</v>
      </c>
      <c r="L24" s="1">
        <v>46166.641076828702</v>
      </c>
    </row>
    <row r="25" spans="1:12" x14ac:dyDescent="0.25">
      <c r="A25" t="s">
        <v>966</v>
      </c>
      <c r="B25" t="str">
        <f>resultado_db_usuario_10[[#This Row],[metodo]]&amp;" "&amp;SUBSTITUTE(resultado_db_usuario_10[[#This Row],[rota]],"/api/v1","")</f>
        <v>DELETE /pecas/:id</v>
      </c>
      <c r="C25" t="s">
        <v>40</v>
      </c>
      <c r="D25" t="s">
        <v>204</v>
      </c>
      <c r="E25" t="s">
        <v>37</v>
      </c>
      <c r="F25">
        <v>204</v>
      </c>
      <c r="G25" s="2">
        <v>12.45</v>
      </c>
      <c r="H25" s="1">
        <v>46166.641077025466</v>
      </c>
      <c r="I25" s="1">
        <v>46166.64107716435</v>
      </c>
      <c r="J25" t="s">
        <v>15</v>
      </c>
      <c r="K25" t="s">
        <v>16</v>
      </c>
      <c r="L25" s="1">
        <v>46166.641077187502</v>
      </c>
    </row>
    <row r="26" spans="1:12" x14ac:dyDescent="0.25">
      <c r="A26" t="s">
        <v>979</v>
      </c>
      <c r="B26" t="str">
        <f>resultado_db_usuario_10[[#This Row],[metodo]]&amp;" "&amp;SUBSTITUTE(resultado_db_usuario_10[[#This Row],[rota]],"/api/v1","")</f>
        <v>DELETE /pecas/:id</v>
      </c>
      <c r="C26" t="s">
        <v>40</v>
      </c>
      <c r="D26" t="s">
        <v>208</v>
      </c>
      <c r="E26" t="s">
        <v>37</v>
      </c>
      <c r="F26">
        <v>204</v>
      </c>
      <c r="G26" s="2">
        <v>16.72</v>
      </c>
      <c r="H26" s="1">
        <v>46166.641077430555</v>
      </c>
      <c r="I26" s="1">
        <v>46166.641077627311</v>
      </c>
      <c r="J26" t="s">
        <v>15</v>
      </c>
      <c r="K26" t="s">
        <v>16</v>
      </c>
      <c r="L26" s="1">
        <v>46166.641077638888</v>
      </c>
    </row>
    <row r="27" spans="1:12" x14ac:dyDescent="0.25">
      <c r="A27" t="s">
        <v>992</v>
      </c>
      <c r="B27" t="str">
        <f>resultado_db_usuario_10[[#This Row],[metodo]]&amp;" "&amp;SUBSTITUTE(resultado_db_usuario_10[[#This Row],[rota]],"/api/v1","")</f>
        <v>DELETE /pecas/:id</v>
      </c>
      <c r="C27" t="s">
        <v>40</v>
      </c>
      <c r="D27" t="s">
        <v>305</v>
      </c>
      <c r="E27" t="s">
        <v>37</v>
      </c>
      <c r="F27">
        <v>204</v>
      </c>
      <c r="G27" s="2">
        <v>13.82</v>
      </c>
      <c r="H27" s="1">
        <v>46166.641077719905</v>
      </c>
      <c r="I27" s="1">
        <v>46166.641077881941</v>
      </c>
      <c r="J27" t="s">
        <v>15</v>
      </c>
      <c r="K27" t="s">
        <v>16</v>
      </c>
      <c r="L27" s="1">
        <v>46166.641077893517</v>
      </c>
    </row>
    <row r="28" spans="1:12" hidden="1" x14ac:dyDescent="0.25">
      <c r="A28" t="s">
        <v>1000</v>
      </c>
      <c r="B28" t="str">
        <f>resultado_db_usuario_10[[#This Row],[metodo]]&amp;" "&amp;SUBSTITUTE(resultado_db_usuario_10[[#This Row],[rota]],"/api/v1","")</f>
        <v>DELETE /pecas/:id</v>
      </c>
      <c r="C28" t="s">
        <v>40</v>
      </c>
      <c r="D28" t="s">
        <v>173</v>
      </c>
      <c r="E28" t="s">
        <v>37</v>
      </c>
      <c r="F28">
        <v>404</v>
      </c>
      <c r="G28" t="s">
        <v>1001</v>
      </c>
      <c r="H28" s="1">
        <v>46166.641078009263</v>
      </c>
      <c r="I28" s="1">
        <v>46166.641078125002</v>
      </c>
      <c r="J28" t="s">
        <v>15</v>
      </c>
      <c r="K28" t="s">
        <v>16</v>
      </c>
      <c r="L28" s="1">
        <v>46166.641078148146</v>
      </c>
    </row>
    <row r="29" spans="1:12" hidden="1" x14ac:dyDescent="0.25">
      <c r="A29" t="s">
        <v>1002</v>
      </c>
      <c r="B29" t="str">
        <f>resultado_db_usuario_10[[#This Row],[metodo]]&amp;" "&amp;SUBSTITUTE(resultado_db_usuario_10[[#This Row],[rota]],"/api/v1","")</f>
        <v>DELETE /pecas/:id</v>
      </c>
      <c r="C29" t="s">
        <v>40</v>
      </c>
      <c r="D29" t="s">
        <v>173</v>
      </c>
      <c r="E29" t="s">
        <v>37</v>
      </c>
      <c r="F29">
        <v>404</v>
      </c>
      <c r="G29" t="s">
        <v>1003</v>
      </c>
      <c r="H29" s="1">
        <v>46166.641078055552</v>
      </c>
      <c r="I29" s="1">
        <v>46166.641078206019</v>
      </c>
      <c r="J29" t="s">
        <v>15</v>
      </c>
      <c r="K29" t="s">
        <v>16</v>
      </c>
      <c r="L29" s="1">
        <v>46166.641078217595</v>
      </c>
    </row>
    <row r="30" spans="1:12" hidden="1" x14ac:dyDescent="0.25">
      <c r="A30" t="s">
        <v>1004</v>
      </c>
      <c r="B30" t="str">
        <f>resultado_db_usuario_10[[#This Row],[metodo]]&amp;" "&amp;SUBSTITUTE(resultado_db_usuario_10[[#This Row],[rota]],"/api/v1","")</f>
        <v>DELETE /pecas/:id</v>
      </c>
      <c r="C30" t="s">
        <v>40</v>
      </c>
      <c r="D30" t="s">
        <v>173</v>
      </c>
      <c r="E30" t="s">
        <v>37</v>
      </c>
      <c r="F30">
        <v>404</v>
      </c>
      <c r="G30" t="s">
        <v>1005</v>
      </c>
      <c r="H30" s="1">
        <v>46166.641078055552</v>
      </c>
      <c r="I30" s="1">
        <v>46166.641078229164</v>
      </c>
      <c r="J30" t="s">
        <v>15</v>
      </c>
      <c r="K30" t="s">
        <v>16</v>
      </c>
      <c r="L30" s="1">
        <v>46166.641078252316</v>
      </c>
    </row>
    <row r="31" spans="1:12" x14ac:dyDescent="0.25">
      <c r="A31" t="s">
        <v>1006</v>
      </c>
      <c r="B31" t="str">
        <f>resultado_db_usuario_10[[#This Row],[metodo]]&amp;" "&amp;SUBSTITUTE(resultado_db_usuario_10[[#This Row],[rota]],"/api/v1","")</f>
        <v>DELETE /pecas/:id</v>
      </c>
      <c r="C31" t="s">
        <v>40</v>
      </c>
      <c r="D31" t="s">
        <v>895</v>
      </c>
      <c r="E31" t="s">
        <v>37</v>
      </c>
      <c r="F31">
        <v>204</v>
      </c>
      <c r="G31" s="2">
        <v>15.18</v>
      </c>
      <c r="H31" s="1">
        <v>46166.641078078705</v>
      </c>
      <c r="I31" s="1">
        <v>46166.641078252316</v>
      </c>
      <c r="J31" t="s">
        <v>15</v>
      </c>
      <c r="K31" t="s">
        <v>16</v>
      </c>
      <c r="L31" s="1">
        <v>46166.641078263892</v>
      </c>
    </row>
    <row r="32" spans="1:12" x14ac:dyDescent="0.25">
      <c r="A32" t="s">
        <v>1028</v>
      </c>
      <c r="B32" t="str">
        <f>resultado_db_usuario_10[[#This Row],[metodo]]&amp;" "&amp;SUBSTITUTE(resultado_db_usuario_10[[#This Row],[rota]],"/api/v1","")</f>
        <v>DELETE /pecas/:id</v>
      </c>
      <c r="C32" t="s">
        <v>40</v>
      </c>
      <c r="D32" t="s">
        <v>1009</v>
      </c>
      <c r="E32" t="s">
        <v>37</v>
      </c>
      <c r="F32">
        <v>204</v>
      </c>
      <c r="G32" s="2">
        <v>11.65</v>
      </c>
      <c r="H32" s="1">
        <v>46166.641079027781</v>
      </c>
      <c r="I32" s="1">
        <v>46166.641079166664</v>
      </c>
      <c r="J32" t="s">
        <v>15</v>
      </c>
      <c r="K32" t="s">
        <v>16</v>
      </c>
      <c r="L32" s="1">
        <v>46166.64107917824</v>
      </c>
    </row>
    <row r="33" spans="1:12" x14ac:dyDescent="0.25">
      <c r="A33" t="s">
        <v>1043</v>
      </c>
      <c r="B33" t="str">
        <f>resultado_db_usuario_10[[#This Row],[metodo]]&amp;" "&amp;SUBSTITUTE(resultado_db_usuario_10[[#This Row],[rota]],"/api/v1","")</f>
        <v>DELETE /pecas/:id</v>
      </c>
      <c r="C33" t="s">
        <v>40</v>
      </c>
      <c r="D33" t="s">
        <v>1024</v>
      </c>
      <c r="E33" t="s">
        <v>37</v>
      </c>
      <c r="F33">
        <v>204</v>
      </c>
      <c r="G33" s="2">
        <v>12.56</v>
      </c>
      <c r="H33" s="1">
        <v>46166.641079351852</v>
      </c>
      <c r="I33" s="1">
        <v>46166.641079490742</v>
      </c>
      <c r="J33" t="s">
        <v>15</v>
      </c>
      <c r="K33" t="s">
        <v>16</v>
      </c>
      <c r="L33" s="1">
        <v>46166.641079513887</v>
      </c>
    </row>
    <row r="34" spans="1:12" x14ac:dyDescent="0.25">
      <c r="A34" t="s">
        <v>1074</v>
      </c>
      <c r="B34" t="str">
        <f>resultado_db_usuario_10[[#This Row],[metodo]]&amp;" "&amp;SUBSTITUTE(resultado_db_usuario_10[[#This Row],[rota]],"/api/v1","")</f>
        <v>DELETE /pecas/:id</v>
      </c>
      <c r="C34" t="s">
        <v>40</v>
      </c>
      <c r="D34" t="s">
        <v>1054</v>
      </c>
      <c r="E34" t="s">
        <v>37</v>
      </c>
      <c r="F34">
        <v>204</v>
      </c>
      <c r="G34" s="2">
        <v>13.17</v>
      </c>
      <c r="H34" s="1">
        <v>46166.641080127316</v>
      </c>
      <c r="I34" s="1">
        <v>46166.641080277775</v>
      </c>
      <c r="J34" t="s">
        <v>15</v>
      </c>
      <c r="K34" t="s">
        <v>16</v>
      </c>
      <c r="L34" s="1">
        <v>46166.641080289352</v>
      </c>
    </row>
    <row r="35" spans="1:12" x14ac:dyDescent="0.25">
      <c r="A35" t="s">
        <v>1084</v>
      </c>
      <c r="B35" t="str">
        <f>resultado_db_usuario_10[[#This Row],[metodo]]&amp;" "&amp;SUBSTITUTE(resultado_db_usuario_10[[#This Row],[rota]],"/api/v1","")</f>
        <v>DELETE /pecas/:id</v>
      </c>
      <c r="C35" t="s">
        <v>40</v>
      </c>
      <c r="D35" t="s">
        <v>1066</v>
      </c>
      <c r="E35" t="s">
        <v>37</v>
      </c>
      <c r="F35">
        <v>204</v>
      </c>
      <c r="G35" s="2">
        <v>15.61</v>
      </c>
      <c r="H35" s="1">
        <v>46166.641080428242</v>
      </c>
      <c r="I35" s="1">
        <v>46166.641080601854</v>
      </c>
      <c r="J35" t="s">
        <v>15</v>
      </c>
      <c r="K35" t="s">
        <v>16</v>
      </c>
      <c r="L35" s="1">
        <v>46166.641080624999</v>
      </c>
    </row>
    <row r="36" spans="1:12" x14ac:dyDescent="0.25">
      <c r="A36" t="s">
        <v>1108</v>
      </c>
      <c r="B36" t="str">
        <f>resultado_db_usuario_10[[#This Row],[metodo]]&amp;" "&amp;SUBSTITUTE(resultado_db_usuario_10[[#This Row],[rota]],"/api/v1","")</f>
        <v>DELETE /pecas/:id</v>
      </c>
      <c r="C36" t="s">
        <v>40</v>
      </c>
      <c r="D36" t="s">
        <v>1082</v>
      </c>
      <c r="E36" t="s">
        <v>37</v>
      </c>
      <c r="F36">
        <v>204</v>
      </c>
      <c r="G36" s="2">
        <v>12.83</v>
      </c>
      <c r="H36" s="1">
        <v>46166.641080972222</v>
      </c>
      <c r="I36" s="1">
        <v>46166.641081122689</v>
      </c>
      <c r="J36" t="s">
        <v>15</v>
      </c>
      <c r="K36" t="s">
        <v>16</v>
      </c>
      <c r="L36" s="1">
        <v>46166.641081134258</v>
      </c>
    </row>
    <row r="37" spans="1:12" x14ac:dyDescent="0.25">
      <c r="A37" t="s">
        <v>1117</v>
      </c>
      <c r="B37" t="str">
        <f>resultado_db_usuario_10[[#This Row],[metodo]]&amp;" "&amp;SUBSTITUTE(resultado_db_usuario_10[[#This Row],[rota]],"/api/v1","")</f>
        <v>DELETE /pecas/:id</v>
      </c>
      <c r="C37" t="s">
        <v>40</v>
      </c>
      <c r="D37" t="s">
        <v>1091</v>
      </c>
      <c r="E37" t="s">
        <v>37</v>
      </c>
      <c r="F37">
        <v>204</v>
      </c>
      <c r="G37" s="2">
        <v>9.2200000000000006</v>
      </c>
      <c r="H37" s="1">
        <v>46166.641081168978</v>
      </c>
      <c r="I37" s="1">
        <v>46166.641081273148</v>
      </c>
      <c r="J37" t="s">
        <v>15</v>
      </c>
      <c r="K37" t="s">
        <v>16</v>
      </c>
      <c r="L37" s="1">
        <v>46166.641081296293</v>
      </c>
    </row>
    <row r="38" spans="1:12" hidden="1" x14ac:dyDescent="0.25">
      <c r="A38" t="s">
        <v>1121</v>
      </c>
      <c r="B38" t="str">
        <f>resultado_db_usuario_10[[#This Row],[metodo]]&amp;" "&amp;SUBSTITUTE(resultado_db_usuario_10[[#This Row],[rota]],"/api/v1","")</f>
        <v>DELETE /pecas/:id</v>
      </c>
      <c r="C38" t="s">
        <v>40</v>
      </c>
      <c r="D38" t="s">
        <v>173</v>
      </c>
      <c r="E38" t="s">
        <v>37</v>
      </c>
      <c r="F38">
        <v>404</v>
      </c>
      <c r="G38" t="s">
        <v>1122</v>
      </c>
      <c r="H38" s="1">
        <v>46166.641081238427</v>
      </c>
      <c r="I38" s="1">
        <v>46166.641081365742</v>
      </c>
      <c r="J38" t="s">
        <v>15</v>
      </c>
      <c r="K38" t="s">
        <v>16</v>
      </c>
      <c r="L38" s="1">
        <v>46166.641081388887</v>
      </c>
    </row>
    <row r="39" spans="1:12" hidden="1" x14ac:dyDescent="0.25">
      <c r="A39" t="s">
        <v>1123</v>
      </c>
      <c r="B39" t="str">
        <f>resultado_db_usuario_10[[#This Row],[metodo]]&amp;" "&amp;SUBSTITUTE(resultado_db_usuario_10[[#This Row],[rota]],"/api/v1","")</f>
        <v>DELETE /pecas/:id</v>
      </c>
      <c r="C39" t="s">
        <v>40</v>
      </c>
      <c r="D39" t="s">
        <v>173</v>
      </c>
      <c r="E39" t="s">
        <v>37</v>
      </c>
      <c r="F39">
        <v>404</v>
      </c>
      <c r="G39" t="s">
        <v>1124</v>
      </c>
      <c r="H39" s="1">
        <v>46166.641081261572</v>
      </c>
      <c r="I39" s="1">
        <v>46166.641081400463</v>
      </c>
      <c r="J39" t="s">
        <v>15</v>
      </c>
      <c r="K39" t="s">
        <v>16</v>
      </c>
      <c r="L39" s="1">
        <v>46166.641081412039</v>
      </c>
    </row>
    <row r="40" spans="1:12" hidden="1" x14ac:dyDescent="0.25">
      <c r="A40" t="s">
        <v>1125</v>
      </c>
      <c r="B40" t="str">
        <f>resultado_db_usuario_10[[#This Row],[metodo]]&amp;" "&amp;SUBSTITUTE(resultado_db_usuario_10[[#This Row],[rota]],"/api/v1","")</f>
        <v>DELETE /pecas/:id</v>
      </c>
      <c r="C40" t="s">
        <v>40</v>
      </c>
      <c r="D40" t="s">
        <v>173</v>
      </c>
      <c r="E40" t="s">
        <v>37</v>
      </c>
      <c r="F40">
        <v>404</v>
      </c>
      <c r="G40" t="s">
        <v>1126</v>
      </c>
      <c r="H40" s="1">
        <v>46166.641081273148</v>
      </c>
      <c r="I40" s="1">
        <v>46166.641081435184</v>
      </c>
      <c r="J40" t="s">
        <v>15</v>
      </c>
      <c r="K40" t="s">
        <v>16</v>
      </c>
      <c r="L40" s="1">
        <v>46166.64108144676</v>
      </c>
    </row>
    <row r="41" spans="1:12" x14ac:dyDescent="0.25">
      <c r="A41" t="s">
        <v>1129</v>
      </c>
      <c r="B41" t="str">
        <f>resultado_db_usuario_10[[#This Row],[metodo]]&amp;" "&amp;SUBSTITUTE(resultado_db_usuario_10[[#This Row],[rota]],"/api/v1","")</f>
        <v>DELETE /pecas/:id</v>
      </c>
      <c r="C41" t="s">
        <v>40</v>
      </c>
      <c r="D41" t="s">
        <v>1105</v>
      </c>
      <c r="E41" t="s">
        <v>37</v>
      </c>
      <c r="F41">
        <v>204</v>
      </c>
      <c r="G41" s="2">
        <v>12.63</v>
      </c>
      <c r="H41" s="1">
        <v>46166.64108144676</v>
      </c>
      <c r="I41" s="1">
        <v>46166.641081585651</v>
      </c>
      <c r="J41" t="s">
        <v>15</v>
      </c>
      <c r="K41" t="s">
        <v>16</v>
      </c>
      <c r="L41" s="1">
        <v>46166.641081608796</v>
      </c>
    </row>
    <row r="42" spans="1:12" x14ac:dyDescent="0.25">
      <c r="A42" t="s">
        <v>1159</v>
      </c>
      <c r="B42" t="str">
        <f>resultado_db_usuario_10[[#This Row],[metodo]]&amp;" "&amp;SUBSTITUTE(resultado_db_usuario_10[[#This Row],[rota]],"/api/v1","")</f>
        <v>DELETE /pecas/:id</v>
      </c>
      <c r="C42" t="s">
        <v>40</v>
      </c>
      <c r="D42" t="s">
        <v>1137</v>
      </c>
      <c r="E42" t="s">
        <v>37</v>
      </c>
      <c r="F42">
        <v>204</v>
      </c>
      <c r="G42" s="2">
        <v>14.35</v>
      </c>
      <c r="H42" s="1">
        <v>46166.641082430557</v>
      </c>
      <c r="I42" s="1">
        <v>46166.641082604168</v>
      </c>
      <c r="J42" t="s">
        <v>15</v>
      </c>
      <c r="K42" t="s">
        <v>16</v>
      </c>
      <c r="L42" s="1">
        <v>46166.641082615737</v>
      </c>
    </row>
    <row r="43" spans="1:12" x14ac:dyDescent="0.25">
      <c r="A43" t="s">
        <v>1165</v>
      </c>
      <c r="B43" t="str">
        <f>resultado_db_usuario_10[[#This Row],[metodo]]&amp;" "&amp;SUBSTITUTE(resultado_db_usuario_10[[#This Row],[rota]],"/api/v1","")</f>
        <v>DELETE /pecas/:id</v>
      </c>
      <c r="C43" t="s">
        <v>40</v>
      </c>
      <c r="D43" t="s">
        <v>1145</v>
      </c>
      <c r="E43" t="s">
        <v>37</v>
      </c>
      <c r="F43">
        <v>204</v>
      </c>
      <c r="G43" s="2">
        <v>10.44</v>
      </c>
      <c r="H43" s="1">
        <v>46166.641082638889</v>
      </c>
      <c r="I43" s="1">
        <v>46166.641082754628</v>
      </c>
      <c r="J43" t="s">
        <v>15</v>
      </c>
      <c r="K43" t="s">
        <v>16</v>
      </c>
      <c r="L43" s="1">
        <v>46166.64108277778</v>
      </c>
    </row>
    <row r="44" spans="1:12" x14ac:dyDescent="0.25">
      <c r="A44" t="s">
        <v>1192</v>
      </c>
      <c r="B44" t="str">
        <f>resultado_db_usuario_10[[#This Row],[metodo]]&amp;" "&amp;SUBSTITUTE(resultado_db_usuario_10[[#This Row],[rota]],"/api/v1","")</f>
        <v>DELETE /pecas/:id</v>
      </c>
      <c r="C44" t="s">
        <v>40</v>
      </c>
      <c r="D44" t="s">
        <v>1175</v>
      </c>
      <c r="E44" t="s">
        <v>37</v>
      </c>
      <c r="F44">
        <v>204</v>
      </c>
      <c r="G44" s="2">
        <v>15.09</v>
      </c>
      <c r="H44" s="1">
        <v>46166.641083668983</v>
      </c>
      <c r="I44" s="1">
        <v>46166.641083842595</v>
      </c>
      <c r="J44" t="s">
        <v>15</v>
      </c>
      <c r="K44" t="s">
        <v>16</v>
      </c>
      <c r="L44" s="1">
        <v>46166.641083854163</v>
      </c>
    </row>
    <row r="45" spans="1:12" x14ac:dyDescent="0.25">
      <c r="A45" t="s">
        <v>1206</v>
      </c>
      <c r="B45" t="str">
        <f>resultado_db_usuario_10[[#This Row],[metodo]]&amp;" "&amp;SUBSTITUTE(resultado_db_usuario_10[[#This Row],[rota]],"/api/v1","")</f>
        <v>DELETE /pecas/:id</v>
      </c>
      <c r="C45" t="s">
        <v>40</v>
      </c>
      <c r="D45" t="s">
        <v>1190</v>
      </c>
      <c r="E45" t="s">
        <v>37</v>
      </c>
      <c r="F45">
        <v>204</v>
      </c>
      <c r="G45" s="2">
        <v>13.83</v>
      </c>
      <c r="H45" s="1">
        <v>46166.641084074072</v>
      </c>
      <c r="I45" s="1">
        <v>46166.641084236115</v>
      </c>
      <c r="J45" t="s">
        <v>15</v>
      </c>
      <c r="K45" t="s">
        <v>16</v>
      </c>
      <c r="L45" s="1">
        <v>46166.64108425926</v>
      </c>
    </row>
    <row r="46" spans="1:12" x14ac:dyDescent="0.25">
      <c r="A46" t="s">
        <v>1229</v>
      </c>
      <c r="B46" t="str">
        <f>resultado_db_usuario_10[[#This Row],[metodo]]&amp;" "&amp;SUBSTITUTE(resultado_db_usuario_10[[#This Row],[rota]],"/api/v1","")</f>
        <v>DELETE /pecas/:id</v>
      </c>
      <c r="C46" t="s">
        <v>40</v>
      </c>
      <c r="D46" t="s">
        <v>1203</v>
      </c>
      <c r="E46" t="s">
        <v>37</v>
      </c>
      <c r="F46">
        <v>204</v>
      </c>
      <c r="G46" s="2">
        <v>13.74</v>
      </c>
      <c r="H46" s="1">
        <v>46166.641084560186</v>
      </c>
      <c r="I46" s="1">
        <v>46166.641084722221</v>
      </c>
      <c r="J46" t="s">
        <v>15</v>
      </c>
      <c r="K46" t="s">
        <v>16</v>
      </c>
      <c r="L46" s="1">
        <v>46166.641084733797</v>
      </c>
    </row>
    <row r="47" spans="1:12" hidden="1" x14ac:dyDescent="0.25">
      <c r="A47" t="s">
        <v>1230</v>
      </c>
      <c r="B47" t="str">
        <f>resultado_db_usuario_10[[#This Row],[metodo]]&amp;" "&amp;SUBSTITUTE(resultado_db_usuario_10[[#This Row],[rota]],"/api/v1","")</f>
        <v>DELETE /pecas/:id</v>
      </c>
      <c r="C47" t="s">
        <v>40</v>
      </c>
      <c r="D47" t="s">
        <v>173</v>
      </c>
      <c r="E47" t="s">
        <v>37</v>
      </c>
      <c r="F47">
        <v>404</v>
      </c>
      <c r="G47" t="s">
        <v>1231</v>
      </c>
      <c r="H47" s="1">
        <v>46166.641084664348</v>
      </c>
      <c r="I47" s="1">
        <v>46166.641084756942</v>
      </c>
      <c r="J47" t="s">
        <v>15</v>
      </c>
      <c r="K47" t="s">
        <v>16</v>
      </c>
      <c r="L47" s="1">
        <v>46166.641084780094</v>
      </c>
    </row>
    <row r="48" spans="1:12" hidden="1" x14ac:dyDescent="0.25">
      <c r="A48" t="s">
        <v>1232</v>
      </c>
      <c r="B48" t="str">
        <f>resultado_db_usuario_10[[#This Row],[metodo]]&amp;" "&amp;SUBSTITUTE(resultado_db_usuario_10[[#This Row],[rota]],"/api/v1","")</f>
        <v>DELETE /pecas/:id</v>
      </c>
      <c r="C48" t="s">
        <v>40</v>
      </c>
      <c r="D48" t="s">
        <v>173</v>
      </c>
      <c r="E48" t="s">
        <v>37</v>
      </c>
      <c r="F48">
        <v>404</v>
      </c>
      <c r="G48" t="s">
        <v>843</v>
      </c>
      <c r="H48" s="1">
        <v>46166.641084664348</v>
      </c>
      <c r="I48" s="1">
        <v>46166.641084780094</v>
      </c>
      <c r="J48" t="s">
        <v>15</v>
      </c>
      <c r="K48" t="s">
        <v>16</v>
      </c>
      <c r="L48" s="1">
        <v>46166.641084803239</v>
      </c>
    </row>
    <row r="49" spans="1:12" hidden="1" x14ac:dyDescent="0.25">
      <c r="A49" t="s">
        <v>1233</v>
      </c>
      <c r="B49" t="str">
        <f>resultado_db_usuario_10[[#This Row],[metodo]]&amp;" "&amp;SUBSTITUTE(resultado_db_usuario_10[[#This Row],[rota]],"/api/v1","")</f>
        <v>DELETE /pecas/:id</v>
      </c>
      <c r="C49" t="s">
        <v>40</v>
      </c>
      <c r="D49" t="s">
        <v>173</v>
      </c>
      <c r="E49" t="s">
        <v>37</v>
      </c>
      <c r="F49">
        <v>404</v>
      </c>
      <c r="G49" t="s">
        <v>1107</v>
      </c>
      <c r="H49" s="1">
        <v>46166.641084687501</v>
      </c>
      <c r="I49" s="1">
        <v>46166.641084826391</v>
      </c>
      <c r="J49" t="s">
        <v>15</v>
      </c>
      <c r="K49" t="s">
        <v>16</v>
      </c>
      <c r="L49" s="1">
        <v>46166.64108483796</v>
      </c>
    </row>
    <row r="50" spans="1:12" x14ac:dyDescent="0.25">
      <c r="A50" t="s">
        <v>1236</v>
      </c>
      <c r="B50" t="str">
        <f>resultado_db_usuario_10[[#This Row],[metodo]]&amp;" "&amp;SUBSTITUTE(resultado_db_usuario_10[[#This Row],[rota]],"/api/v1","")</f>
        <v>DELETE /pecas/:id</v>
      </c>
      <c r="C50" t="s">
        <v>40</v>
      </c>
      <c r="D50" t="s">
        <v>1214</v>
      </c>
      <c r="E50" t="s">
        <v>37</v>
      </c>
      <c r="F50">
        <v>204</v>
      </c>
      <c r="G50" s="2">
        <v>6.99</v>
      </c>
      <c r="H50" s="1">
        <v>46166.641084791663</v>
      </c>
      <c r="I50" s="1">
        <v>46166.641084872688</v>
      </c>
      <c r="J50" t="s">
        <v>15</v>
      </c>
      <c r="K50" t="s">
        <v>16</v>
      </c>
      <c r="L50" s="1">
        <v>46166.641084895833</v>
      </c>
    </row>
    <row r="51" spans="1:12" x14ac:dyDescent="0.25">
      <c r="A51" t="s">
        <v>1242</v>
      </c>
      <c r="B51" t="str">
        <f>resultado_db_usuario_10[[#This Row],[metodo]]&amp;" "&amp;SUBSTITUTE(resultado_db_usuario_10[[#This Row],[rota]],"/api/v1","")</f>
        <v>DELETE /pecas/:id</v>
      </c>
      <c r="C51" t="s">
        <v>40</v>
      </c>
      <c r="D51" t="s">
        <v>1224</v>
      </c>
      <c r="E51" t="s">
        <v>37</v>
      </c>
      <c r="F51">
        <v>204</v>
      </c>
      <c r="G51" s="2">
        <v>18.079999999999998</v>
      </c>
      <c r="H51" s="1">
        <v>46166.641084953706</v>
      </c>
      <c r="I51" s="1">
        <v>46166.641085162039</v>
      </c>
      <c r="J51" t="s">
        <v>15</v>
      </c>
      <c r="K51" t="s">
        <v>16</v>
      </c>
      <c r="L51" s="1">
        <v>46166.641085173615</v>
      </c>
    </row>
    <row r="52" spans="1:12" x14ac:dyDescent="0.25">
      <c r="A52" t="s">
        <v>1267</v>
      </c>
      <c r="B52" t="str">
        <f>resultado_db_usuario_10[[#This Row],[metodo]]&amp;" "&amp;SUBSTITUTE(resultado_db_usuario_10[[#This Row],[rota]],"/api/v1","")</f>
        <v>DELETE /pecas/:id</v>
      </c>
      <c r="C52" t="s">
        <v>40</v>
      </c>
      <c r="D52" t="s">
        <v>1249</v>
      </c>
      <c r="E52" t="s">
        <v>37</v>
      </c>
      <c r="F52">
        <v>204</v>
      </c>
      <c r="G52" s="2">
        <v>11.56</v>
      </c>
      <c r="H52" s="1">
        <v>46166.641085763891</v>
      </c>
      <c r="I52" s="1">
        <v>46166.641085902775</v>
      </c>
      <c r="J52" t="s">
        <v>15</v>
      </c>
      <c r="K52" t="s">
        <v>16</v>
      </c>
      <c r="L52" s="1">
        <v>46166.641085914351</v>
      </c>
    </row>
    <row r="53" spans="1:12" x14ac:dyDescent="0.25">
      <c r="A53" t="s">
        <v>1277</v>
      </c>
      <c r="B53" t="str">
        <f>resultado_db_usuario_10[[#This Row],[metodo]]&amp;" "&amp;SUBSTITUTE(resultado_db_usuario_10[[#This Row],[rota]],"/api/v1","")</f>
        <v>DELETE /pecas/:id</v>
      </c>
      <c r="C53" t="s">
        <v>40</v>
      </c>
      <c r="D53" t="s">
        <v>1258</v>
      </c>
      <c r="E53" t="s">
        <v>37</v>
      </c>
      <c r="F53">
        <v>204</v>
      </c>
      <c r="G53" s="2">
        <v>13.61</v>
      </c>
      <c r="H53" s="1">
        <v>46166.641086018521</v>
      </c>
      <c r="I53" s="1">
        <v>46166.64108616898</v>
      </c>
      <c r="J53" t="s">
        <v>15</v>
      </c>
      <c r="K53" t="s">
        <v>16</v>
      </c>
      <c r="L53" s="1">
        <v>46166.641086180556</v>
      </c>
    </row>
    <row r="54" spans="1:12" x14ac:dyDescent="0.25">
      <c r="A54" t="s">
        <v>1304</v>
      </c>
      <c r="B54" t="str">
        <f>resultado_db_usuario_10[[#This Row],[metodo]]&amp;" "&amp;SUBSTITUTE(resultado_db_usuario_10[[#This Row],[rota]],"/api/v1","")</f>
        <v>DELETE /pecas/:id</v>
      </c>
      <c r="C54" t="s">
        <v>40</v>
      </c>
      <c r="D54" t="s">
        <v>1286</v>
      </c>
      <c r="E54" t="s">
        <v>37</v>
      </c>
      <c r="F54">
        <v>204</v>
      </c>
      <c r="G54" s="2">
        <v>9.49</v>
      </c>
      <c r="H54" s="1">
        <v>46166.641086747688</v>
      </c>
      <c r="I54" s="1">
        <v>46166.641086863427</v>
      </c>
      <c r="J54" t="s">
        <v>15</v>
      </c>
      <c r="K54" t="s">
        <v>16</v>
      </c>
      <c r="L54" s="1">
        <v>46166.641086875003</v>
      </c>
    </row>
    <row r="55" spans="1:12" x14ac:dyDescent="0.25">
      <c r="A55" t="s">
        <v>1321</v>
      </c>
      <c r="B55" t="str">
        <f>resultado_db_usuario_10[[#This Row],[metodo]]&amp;" "&amp;SUBSTITUTE(resultado_db_usuario_10[[#This Row],[rota]],"/api/v1","")</f>
        <v>DELETE /pecas/:id</v>
      </c>
      <c r="C55" t="s">
        <v>40</v>
      </c>
      <c r="D55" t="s">
        <v>1301</v>
      </c>
      <c r="E55" t="s">
        <v>37</v>
      </c>
      <c r="F55">
        <v>204</v>
      </c>
      <c r="G55" s="2">
        <v>14.69</v>
      </c>
      <c r="H55" s="1">
        <v>46166.641087141201</v>
      </c>
      <c r="I55" s="1">
        <v>46166.641087314812</v>
      </c>
      <c r="J55" t="s">
        <v>15</v>
      </c>
      <c r="K55" t="s">
        <v>16</v>
      </c>
      <c r="L55" s="1">
        <v>46166.641087326389</v>
      </c>
    </row>
    <row r="56" spans="1:12" hidden="1" x14ac:dyDescent="0.25">
      <c r="A56" t="s">
        <v>1336</v>
      </c>
      <c r="B56" t="str">
        <f>resultado_db_usuario_10[[#This Row],[metodo]]&amp;" "&amp;SUBSTITUTE(resultado_db_usuario_10[[#This Row],[rota]],"/api/v1","")</f>
        <v>DELETE /pecas/:id</v>
      </c>
      <c r="C56" t="s">
        <v>40</v>
      </c>
      <c r="D56" t="s">
        <v>173</v>
      </c>
      <c r="E56" t="s">
        <v>37</v>
      </c>
      <c r="F56">
        <v>404</v>
      </c>
      <c r="G56" t="s">
        <v>1337</v>
      </c>
      <c r="H56" s="1">
        <v>46166.641087569442</v>
      </c>
      <c r="I56" s="1">
        <v>46166.641087708333</v>
      </c>
      <c r="J56" t="s">
        <v>15</v>
      </c>
      <c r="K56" t="s">
        <v>16</v>
      </c>
      <c r="L56" s="1">
        <v>46166.641087731485</v>
      </c>
    </row>
    <row r="57" spans="1:12" hidden="1" x14ac:dyDescent="0.25">
      <c r="A57" t="s">
        <v>1342</v>
      </c>
      <c r="B57" t="str">
        <f>resultado_db_usuario_10[[#This Row],[metodo]]&amp;" "&amp;SUBSTITUTE(resultado_db_usuario_10[[#This Row],[rota]],"/api/v1","")</f>
        <v>DELETE /pecas/:id</v>
      </c>
      <c r="C57" t="s">
        <v>40</v>
      </c>
      <c r="D57" t="s">
        <v>173</v>
      </c>
      <c r="E57" t="s">
        <v>37</v>
      </c>
      <c r="F57">
        <v>404</v>
      </c>
      <c r="G57" t="s">
        <v>1343</v>
      </c>
      <c r="H57" s="1">
        <v>46166.64108760417</v>
      </c>
      <c r="I57" s="1">
        <v>46166.64108778935</v>
      </c>
      <c r="J57" t="s">
        <v>15</v>
      </c>
      <c r="K57" t="s">
        <v>16</v>
      </c>
      <c r="L57" s="1">
        <v>46166.641087800926</v>
      </c>
    </row>
    <row r="58" spans="1:12" hidden="1" x14ac:dyDescent="0.25">
      <c r="A58" t="s">
        <v>1344</v>
      </c>
      <c r="B58" t="str">
        <f>resultado_db_usuario_10[[#This Row],[metodo]]&amp;" "&amp;SUBSTITUTE(resultado_db_usuario_10[[#This Row],[rota]],"/api/v1","")</f>
        <v>DELETE /pecas/:id</v>
      </c>
      <c r="C58" t="s">
        <v>40</v>
      </c>
      <c r="D58" t="s">
        <v>173</v>
      </c>
      <c r="E58" t="s">
        <v>37</v>
      </c>
      <c r="F58">
        <v>404</v>
      </c>
      <c r="G58" t="s">
        <v>1345</v>
      </c>
      <c r="H58" s="1">
        <v>46166.641087615739</v>
      </c>
      <c r="I58" s="1">
        <v>46166.641087847223</v>
      </c>
      <c r="J58" t="s">
        <v>15</v>
      </c>
      <c r="K58" t="s">
        <v>16</v>
      </c>
      <c r="L58" s="1">
        <v>46166.641087858799</v>
      </c>
    </row>
    <row r="59" spans="1:12" hidden="1" x14ac:dyDescent="0.25">
      <c r="A59" t="s">
        <v>1346</v>
      </c>
      <c r="B59" t="str">
        <f>resultado_db_usuario_10[[#This Row],[metodo]]&amp;" "&amp;SUBSTITUTE(resultado_db_usuario_10[[#This Row],[rota]],"/api/v1","")</f>
        <v>DELETE /pecas/:id</v>
      </c>
      <c r="C59" t="s">
        <v>40</v>
      </c>
      <c r="D59" t="s">
        <v>173</v>
      </c>
      <c r="E59" t="s">
        <v>37</v>
      </c>
      <c r="F59">
        <v>404</v>
      </c>
      <c r="G59" t="s">
        <v>919</v>
      </c>
      <c r="H59" s="1">
        <v>46166.641087627315</v>
      </c>
      <c r="I59" s="1">
        <v>46166.641087870368</v>
      </c>
      <c r="J59" t="s">
        <v>15</v>
      </c>
      <c r="K59" t="s">
        <v>16</v>
      </c>
      <c r="L59" s="1">
        <v>46166.641087881944</v>
      </c>
    </row>
    <row r="60" spans="1:12" x14ac:dyDescent="0.25">
      <c r="A60" t="s">
        <v>1347</v>
      </c>
      <c r="B60" t="str">
        <f>resultado_db_usuario_10[[#This Row],[metodo]]&amp;" "&amp;SUBSTITUTE(resultado_db_usuario_10[[#This Row],[rota]],"/api/v1","")</f>
        <v>DELETE /pecas/:id</v>
      </c>
      <c r="C60" t="s">
        <v>40</v>
      </c>
      <c r="D60" t="s">
        <v>1324</v>
      </c>
      <c r="E60" t="s">
        <v>37</v>
      </c>
      <c r="F60">
        <v>204</v>
      </c>
      <c r="G60" s="2">
        <v>18.399999999999999</v>
      </c>
      <c r="H60" s="1">
        <v>46166.641087685188</v>
      </c>
      <c r="I60" s="1">
        <v>46166.641087905089</v>
      </c>
      <c r="J60" t="s">
        <v>15</v>
      </c>
      <c r="K60" t="s">
        <v>16</v>
      </c>
      <c r="L60" s="1">
        <v>46166.641087916665</v>
      </c>
    </row>
    <row r="61" spans="1:12" x14ac:dyDescent="0.25">
      <c r="A61" t="s">
        <v>1359</v>
      </c>
      <c r="B61" t="str">
        <f>resultado_db_usuario_10[[#This Row],[metodo]]&amp;" "&amp;SUBSTITUTE(resultado_db_usuario_10[[#This Row],[rota]],"/api/v1","")</f>
        <v>DELETE /pecas/:id</v>
      </c>
      <c r="C61" t="s">
        <v>40</v>
      </c>
      <c r="D61" t="s">
        <v>1340</v>
      </c>
      <c r="E61" t="s">
        <v>37</v>
      </c>
      <c r="F61">
        <v>204</v>
      </c>
      <c r="G61" s="2">
        <v>21.69</v>
      </c>
      <c r="H61" s="1">
        <v>46166.641088194447</v>
      </c>
      <c r="I61" s="1">
        <v>46166.641088449076</v>
      </c>
      <c r="J61" t="s">
        <v>15</v>
      </c>
      <c r="K61" t="s">
        <v>16</v>
      </c>
      <c r="L61" s="1">
        <v>46166.641088460645</v>
      </c>
    </row>
    <row r="62" spans="1:12" x14ac:dyDescent="0.25">
      <c r="A62" t="s">
        <v>1380</v>
      </c>
      <c r="B62" t="str">
        <f>resultado_db_usuario_10[[#This Row],[metodo]]&amp;" "&amp;SUBSTITUTE(resultado_db_usuario_10[[#This Row],[rota]],"/api/v1","")</f>
        <v>DELETE /pecas/:id</v>
      </c>
      <c r="C62" t="s">
        <v>40</v>
      </c>
      <c r="D62" t="s">
        <v>1362</v>
      </c>
      <c r="E62" t="s">
        <v>37</v>
      </c>
      <c r="F62">
        <v>204</v>
      </c>
      <c r="G62" s="2">
        <v>9.14</v>
      </c>
      <c r="H62" s="1">
        <v>46166.641088888886</v>
      </c>
      <c r="I62" s="1">
        <v>46166.641089004632</v>
      </c>
      <c r="J62" t="s">
        <v>15</v>
      </c>
      <c r="K62" t="s">
        <v>16</v>
      </c>
      <c r="L62" s="1">
        <v>46166.641089016201</v>
      </c>
    </row>
    <row r="63" spans="1:12" x14ac:dyDescent="0.25">
      <c r="A63" t="s">
        <v>1389</v>
      </c>
      <c r="B63" t="str">
        <f>resultado_db_usuario_10[[#This Row],[metodo]]&amp;" "&amp;SUBSTITUTE(resultado_db_usuario_10[[#This Row],[rota]],"/api/v1","")</f>
        <v>DELETE /pecas/:id</v>
      </c>
      <c r="C63" t="s">
        <v>40</v>
      </c>
      <c r="D63" t="s">
        <v>1372</v>
      </c>
      <c r="E63" t="s">
        <v>37</v>
      </c>
      <c r="F63">
        <v>204</v>
      </c>
      <c r="G63" s="2">
        <v>11.77</v>
      </c>
      <c r="H63" s="1">
        <v>46166.641089108794</v>
      </c>
      <c r="I63" s="1">
        <v>46166.641089247685</v>
      </c>
      <c r="J63" t="s">
        <v>15</v>
      </c>
      <c r="K63" t="s">
        <v>16</v>
      </c>
      <c r="L63" s="1">
        <v>46166.641089259261</v>
      </c>
    </row>
    <row r="64" spans="1:12" x14ac:dyDescent="0.25">
      <c r="A64" t="s">
        <v>1414</v>
      </c>
      <c r="B64" t="str">
        <f>resultado_db_usuario_10[[#This Row],[metodo]]&amp;" "&amp;SUBSTITUTE(resultado_db_usuario_10[[#This Row],[rota]],"/api/v1","")</f>
        <v>DELETE /pecas/:id</v>
      </c>
      <c r="C64" t="s">
        <v>40</v>
      </c>
      <c r="D64" t="s">
        <v>1396</v>
      </c>
      <c r="E64" t="s">
        <v>37</v>
      </c>
      <c r="F64">
        <v>204</v>
      </c>
      <c r="G64" s="2">
        <v>14.1</v>
      </c>
      <c r="H64" s="1">
        <v>46166.641089780096</v>
      </c>
      <c r="I64" s="1">
        <v>46166.641089942132</v>
      </c>
      <c r="J64" t="s">
        <v>15</v>
      </c>
      <c r="K64" t="s">
        <v>16</v>
      </c>
      <c r="L64" s="1">
        <v>46166.6410899537</v>
      </c>
    </row>
    <row r="65" spans="1:12" x14ac:dyDescent="0.25">
      <c r="A65" t="s">
        <v>1431</v>
      </c>
      <c r="B65" t="str">
        <f>resultado_db_usuario_10[[#This Row],[metodo]]&amp;" "&amp;SUBSTITUTE(resultado_db_usuario_10[[#This Row],[rota]],"/api/v1","")</f>
        <v>DELETE /pecas/:id</v>
      </c>
      <c r="C65" t="s">
        <v>40</v>
      </c>
      <c r="D65" t="s">
        <v>1413</v>
      </c>
      <c r="E65" t="s">
        <v>37</v>
      </c>
      <c r="F65">
        <v>204</v>
      </c>
      <c r="G65" s="2">
        <v>13.66</v>
      </c>
      <c r="H65" s="1">
        <v>46166.64109020833</v>
      </c>
      <c r="I65" s="1">
        <v>46166.641090370373</v>
      </c>
      <c r="J65" t="s">
        <v>15</v>
      </c>
      <c r="K65" t="s">
        <v>16</v>
      </c>
      <c r="L65" s="1">
        <v>46166.641090381941</v>
      </c>
    </row>
    <row r="66" spans="1:12" hidden="1" x14ac:dyDescent="0.25">
      <c r="A66" t="s">
        <v>1437</v>
      </c>
      <c r="B66" t="str">
        <f>resultado_db_usuario_10[[#This Row],[metodo]]&amp;" "&amp;SUBSTITUTE(resultado_db_usuario_10[[#This Row],[rota]],"/api/v1","")</f>
        <v>DELETE /pecas/:id</v>
      </c>
      <c r="C66" t="s">
        <v>40</v>
      </c>
      <c r="D66" t="s">
        <v>173</v>
      </c>
      <c r="E66" t="s">
        <v>37</v>
      </c>
      <c r="F66">
        <v>404</v>
      </c>
      <c r="G66" t="s">
        <v>199</v>
      </c>
      <c r="H66" s="1">
        <v>46166.641090405094</v>
      </c>
      <c r="I66" s="1">
        <v>46166.641090532408</v>
      </c>
      <c r="J66" t="s">
        <v>15</v>
      </c>
      <c r="K66" t="s">
        <v>16</v>
      </c>
      <c r="L66" s="1">
        <v>46166.641090555553</v>
      </c>
    </row>
    <row r="67" spans="1:12" hidden="1" x14ac:dyDescent="0.25">
      <c r="A67" t="s">
        <v>1438</v>
      </c>
      <c r="B67" t="str">
        <f>resultado_db_usuario_10[[#This Row],[metodo]]&amp;" "&amp;SUBSTITUTE(resultado_db_usuario_10[[#This Row],[rota]],"/api/v1","")</f>
        <v>DELETE /pecas/:id</v>
      </c>
      <c r="C67" t="s">
        <v>40</v>
      </c>
      <c r="D67" t="s">
        <v>173</v>
      </c>
      <c r="E67" t="s">
        <v>37</v>
      </c>
      <c r="F67">
        <v>404</v>
      </c>
      <c r="G67" t="s">
        <v>693</v>
      </c>
      <c r="H67" s="1">
        <v>46166.641090439814</v>
      </c>
      <c r="I67" s="1">
        <v>46166.641090578705</v>
      </c>
      <c r="J67" t="s">
        <v>15</v>
      </c>
      <c r="K67" t="s">
        <v>16</v>
      </c>
      <c r="L67" s="1">
        <v>46166.641090590281</v>
      </c>
    </row>
    <row r="68" spans="1:12" hidden="1" x14ac:dyDescent="0.25">
      <c r="A68" t="s">
        <v>1439</v>
      </c>
      <c r="B68" t="str">
        <f>resultado_db_usuario_10[[#This Row],[metodo]]&amp;" "&amp;SUBSTITUTE(resultado_db_usuario_10[[#This Row],[rota]],"/api/v1","")</f>
        <v>DELETE /pecas/:id</v>
      </c>
      <c r="C68" t="s">
        <v>40</v>
      </c>
      <c r="D68" t="s">
        <v>173</v>
      </c>
      <c r="E68" t="s">
        <v>37</v>
      </c>
      <c r="F68">
        <v>404</v>
      </c>
      <c r="G68" t="s">
        <v>1061</v>
      </c>
      <c r="H68" s="1">
        <v>46166.641090474535</v>
      </c>
      <c r="I68" s="1">
        <v>46166.641090636571</v>
      </c>
      <c r="J68" t="s">
        <v>15</v>
      </c>
      <c r="K68" t="s">
        <v>16</v>
      </c>
      <c r="L68" s="1">
        <v>46166.641090648147</v>
      </c>
    </row>
    <row r="69" spans="1:12" x14ac:dyDescent="0.25">
      <c r="A69" t="s">
        <v>1443</v>
      </c>
      <c r="B69" t="str">
        <f>resultado_db_usuario_10[[#This Row],[metodo]]&amp;" "&amp;SUBSTITUTE(resultado_db_usuario_10[[#This Row],[rota]],"/api/v1","")</f>
        <v>DELETE /pecas/:id</v>
      </c>
      <c r="C69" t="s">
        <v>40</v>
      </c>
      <c r="D69" t="s">
        <v>1424</v>
      </c>
      <c r="E69" t="s">
        <v>37</v>
      </c>
      <c r="F69">
        <v>204</v>
      </c>
      <c r="G69" s="2">
        <v>11.05</v>
      </c>
      <c r="H69" s="1">
        <v>46166.641090613426</v>
      </c>
      <c r="I69" s="1">
        <v>46166.641090740741</v>
      </c>
      <c r="J69" t="s">
        <v>15</v>
      </c>
      <c r="K69" t="s">
        <v>16</v>
      </c>
      <c r="L69" s="1">
        <v>46166.641090752317</v>
      </c>
    </row>
    <row r="70" spans="1:12" x14ac:dyDescent="0.25">
      <c r="A70" t="s">
        <v>1458</v>
      </c>
      <c r="B70" t="str">
        <f>resultado_db_usuario_10[[#This Row],[metodo]]&amp;" "&amp;SUBSTITUTE(resultado_db_usuario_10[[#This Row],[rota]],"/api/v1","")</f>
        <v>DELETE /pecas/:id</v>
      </c>
      <c r="C70" t="s">
        <v>40</v>
      </c>
      <c r="D70" t="s">
        <v>1441</v>
      </c>
      <c r="E70" t="s">
        <v>37</v>
      </c>
      <c r="F70">
        <v>204</v>
      </c>
      <c r="G70" s="2">
        <v>16.09</v>
      </c>
      <c r="H70" s="1">
        <v>46166.64109109954</v>
      </c>
      <c r="I70" s="1">
        <v>46166.64109128472</v>
      </c>
      <c r="J70" t="s">
        <v>15</v>
      </c>
      <c r="K70" t="s">
        <v>16</v>
      </c>
      <c r="L70" s="1">
        <v>46166.641091296297</v>
      </c>
    </row>
    <row r="71" spans="1:12" x14ac:dyDescent="0.25">
      <c r="A71" t="s">
        <v>1473</v>
      </c>
      <c r="B71" t="str">
        <f>resultado_db_usuario_10[[#This Row],[metodo]]&amp;" "&amp;SUBSTITUTE(resultado_db_usuario_10[[#This Row],[rota]],"/api/v1","")</f>
        <v>DELETE /pecas/:id</v>
      </c>
      <c r="C71" t="s">
        <v>40</v>
      </c>
      <c r="D71" t="s">
        <v>1455</v>
      </c>
      <c r="E71" t="s">
        <v>37</v>
      </c>
      <c r="F71">
        <v>204</v>
      </c>
      <c r="G71" s="2">
        <v>14.18</v>
      </c>
      <c r="H71" s="1">
        <v>46166.641091527781</v>
      </c>
      <c r="I71" s="1">
        <v>46166.641091689817</v>
      </c>
      <c r="J71" t="s">
        <v>15</v>
      </c>
      <c r="K71" t="s">
        <v>16</v>
      </c>
      <c r="L71" s="1">
        <v>46166.641091701385</v>
      </c>
    </row>
    <row r="72" spans="1:12" x14ac:dyDescent="0.25">
      <c r="A72" t="s">
        <v>1486</v>
      </c>
      <c r="B72" t="str">
        <f>resultado_db_usuario_10[[#This Row],[metodo]]&amp;" "&amp;SUBSTITUTE(resultado_db_usuario_10[[#This Row],[rota]],"/api/v1","")</f>
        <v>DELETE /pecas/:id</v>
      </c>
      <c r="C72" t="s">
        <v>40</v>
      </c>
      <c r="D72" t="s">
        <v>1472</v>
      </c>
      <c r="E72" t="s">
        <v>37</v>
      </c>
      <c r="F72">
        <v>204</v>
      </c>
      <c r="G72" s="2">
        <v>12.43</v>
      </c>
      <c r="H72" s="1">
        <v>46166.641091909725</v>
      </c>
      <c r="I72" s="1">
        <v>46166.641092060185</v>
      </c>
      <c r="J72" t="s">
        <v>15</v>
      </c>
      <c r="K72" t="s">
        <v>16</v>
      </c>
      <c r="L72" s="1">
        <v>46166.641092071761</v>
      </c>
    </row>
    <row r="73" spans="1:12" x14ac:dyDescent="0.25">
      <c r="A73" t="s">
        <v>1507</v>
      </c>
      <c r="B73" t="str">
        <f>resultado_db_usuario_10[[#This Row],[metodo]]&amp;" "&amp;SUBSTITUTE(resultado_db_usuario_10[[#This Row],[rota]],"/api/v1","")</f>
        <v>DELETE /pecas/:id</v>
      </c>
      <c r="C73" t="s">
        <v>40</v>
      </c>
      <c r="D73" t="s">
        <v>1492</v>
      </c>
      <c r="E73" t="s">
        <v>37</v>
      </c>
      <c r="F73">
        <v>204</v>
      </c>
      <c r="G73" s="2">
        <v>11.95</v>
      </c>
      <c r="H73" s="1">
        <v>46166.641092465281</v>
      </c>
      <c r="I73" s="1">
        <v>46166.641092604164</v>
      </c>
      <c r="J73" t="s">
        <v>15</v>
      </c>
      <c r="K73" t="s">
        <v>16</v>
      </c>
      <c r="L73" s="1">
        <v>46166.64109261574</v>
      </c>
    </row>
    <row r="74" spans="1:12" hidden="1" x14ac:dyDescent="0.25">
      <c r="A74" t="s">
        <v>1515</v>
      </c>
      <c r="B74" t="str">
        <f>resultado_db_usuario_10[[#This Row],[metodo]]&amp;" "&amp;SUBSTITUTE(resultado_db_usuario_10[[#This Row],[rota]],"/api/v1","")</f>
        <v>DELETE /pecas/:id</v>
      </c>
      <c r="C74" t="s">
        <v>40</v>
      </c>
      <c r="D74" t="s">
        <v>173</v>
      </c>
      <c r="E74" t="s">
        <v>37</v>
      </c>
      <c r="F74">
        <v>404</v>
      </c>
      <c r="G74" t="s">
        <v>1516</v>
      </c>
      <c r="H74" s="1">
        <v>46166.64109271991</v>
      </c>
      <c r="I74" s="1">
        <v>46166.641092812497</v>
      </c>
      <c r="J74" t="s">
        <v>15</v>
      </c>
      <c r="K74" t="s">
        <v>16</v>
      </c>
      <c r="L74" s="1">
        <v>46166.641092835649</v>
      </c>
    </row>
    <row r="75" spans="1:12" x14ac:dyDescent="0.25">
      <c r="A75" t="s">
        <v>1525</v>
      </c>
      <c r="B75" t="str">
        <f>resultado_db_usuario_10[[#This Row],[metodo]]&amp;" "&amp;SUBSTITUTE(resultado_db_usuario_10[[#This Row],[rota]],"/api/v1","")</f>
        <v>DELETE /pecas/:id</v>
      </c>
      <c r="C75" t="s">
        <v>40</v>
      </c>
      <c r="D75" t="s">
        <v>1506</v>
      </c>
      <c r="E75" t="s">
        <v>37</v>
      </c>
      <c r="F75">
        <v>204</v>
      </c>
      <c r="G75" s="2">
        <v>13.07</v>
      </c>
      <c r="H75" s="1">
        <v>46166.641092824073</v>
      </c>
      <c r="I75" s="1">
        <v>46166.64109297454</v>
      </c>
      <c r="J75" t="s">
        <v>15</v>
      </c>
      <c r="K75" t="s">
        <v>16</v>
      </c>
      <c r="L75" s="1">
        <v>46166.641092997685</v>
      </c>
    </row>
    <row r="76" spans="1:12" hidden="1" x14ac:dyDescent="0.25">
      <c r="A76" t="s">
        <v>1529</v>
      </c>
      <c r="B76" t="str">
        <f>resultado_db_usuario_10[[#This Row],[metodo]]&amp;" "&amp;SUBSTITUTE(resultado_db_usuario_10[[#This Row],[rota]],"/api/v1","")</f>
        <v>DELETE /pecas/:id</v>
      </c>
      <c r="C76" t="s">
        <v>40</v>
      </c>
      <c r="D76" t="s">
        <v>173</v>
      </c>
      <c r="E76" t="s">
        <v>37</v>
      </c>
      <c r="F76">
        <v>404</v>
      </c>
      <c r="G76" t="s">
        <v>395</v>
      </c>
      <c r="H76" s="1">
        <v>46166.641093043982</v>
      </c>
      <c r="I76" s="1">
        <v>46166.641093148151</v>
      </c>
      <c r="J76" t="s">
        <v>15</v>
      </c>
      <c r="K76" t="s">
        <v>16</v>
      </c>
      <c r="L76" s="1">
        <v>46166.64109315972</v>
      </c>
    </row>
    <row r="77" spans="1:12" x14ac:dyDescent="0.25">
      <c r="A77" t="s">
        <v>1533</v>
      </c>
      <c r="B77" t="str">
        <f>resultado_db_usuario_10[[#This Row],[metodo]]&amp;" "&amp;SUBSTITUTE(resultado_db_usuario_10[[#This Row],[rota]],"/api/v1","")</f>
        <v>DELETE /pecas/:id</v>
      </c>
      <c r="C77" t="s">
        <v>40</v>
      </c>
      <c r="D77" t="s">
        <v>1518</v>
      </c>
      <c r="E77" t="s">
        <v>37</v>
      </c>
      <c r="F77">
        <v>204</v>
      </c>
      <c r="G77" s="2">
        <v>10.3</v>
      </c>
      <c r="H77" s="1">
        <v>46166.641093194441</v>
      </c>
      <c r="I77" s="1">
        <v>46166.641093310187</v>
      </c>
      <c r="J77" t="s">
        <v>15</v>
      </c>
      <c r="K77" t="s">
        <v>16</v>
      </c>
      <c r="L77" s="1">
        <v>46166.641093321756</v>
      </c>
    </row>
    <row r="78" spans="1:12" x14ac:dyDescent="0.25">
      <c r="A78" t="s">
        <v>1546</v>
      </c>
      <c r="B78" t="str">
        <f>resultado_db_usuario_10[[#This Row],[metodo]]&amp;" "&amp;SUBSTITUTE(resultado_db_usuario_10[[#This Row],[rota]],"/api/v1","")</f>
        <v>DELETE /pecas/:id</v>
      </c>
      <c r="C78" t="s">
        <v>40</v>
      </c>
      <c r="D78" t="s">
        <v>1532</v>
      </c>
      <c r="E78" t="s">
        <v>37</v>
      </c>
      <c r="F78">
        <v>204</v>
      </c>
      <c r="G78" s="2">
        <v>12.45</v>
      </c>
      <c r="H78" s="1">
        <v>46166.641093668979</v>
      </c>
      <c r="I78" s="1">
        <v>46166.64109380787</v>
      </c>
      <c r="J78" t="s">
        <v>15</v>
      </c>
      <c r="K78" t="s">
        <v>16</v>
      </c>
      <c r="L78" s="1">
        <v>46166.641093831022</v>
      </c>
    </row>
    <row r="79" spans="1:12" x14ac:dyDescent="0.25">
      <c r="A79" t="s">
        <v>1563</v>
      </c>
      <c r="B79" t="str">
        <f>resultado_db_usuario_10[[#This Row],[metodo]]&amp;" "&amp;SUBSTITUTE(resultado_db_usuario_10[[#This Row],[rota]],"/api/v1","")</f>
        <v>DELETE /pecas/:id</v>
      </c>
      <c r="C79" t="s">
        <v>40</v>
      </c>
      <c r="D79" t="s">
        <v>1548</v>
      </c>
      <c r="E79" t="s">
        <v>37</v>
      </c>
      <c r="F79">
        <v>204</v>
      </c>
      <c r="G79" s="2">
        <v>9.09</v>
      </c>
      <c r="H79" s="1">
        <v>46166.641094155093</v>
      </c>
      <c r="I79" s="1">
        <v>46166.641094259256</v>
      </c>
      <c r="J79" t="s">
        <v>15</v>
      </c>
      <c r="K79" t="s">
        <v>16</v>
      </c>
      <c r="L79" s="1">
        <v>46166.641094270832</v>
      </c>
    </row>
    <row r="80" spans="1:12" x14ac:dyDescent="0.25">
      <c r="A80" t="s">
        <v>1578</v>
      </c>
      <c r="B80" t="str">
        <f>resultado_db_usuario_10[[#This Row],[metodo]]&amp;" "&amp;SUBSTITUTE(resultado_db_usuario_10[[#This Row],[rota]],"/api/v1","")</f>
        <v>DELETE /pecas/:id</v>
      </c>
      <c r="C80" t="s">
        <v>40</v>
      </c>
      <c r="D80" t="s">
        <v>1565</v>
      </c>
      <c r="E80" t="s">
        <v>37</v>
      </c>
      <c r="F80">
        <v>204</v>
      </c>
      <c r="G80" s="2">
        <v>6.57</v>
      </c>
      <c r="H80" s="1">
        <v>46166.641094525461</v>
      </c>
      <c r="I80" s="1">
        <v>46166.641094606479</v>
      </c>
      <c r="J80" t="s">
        <v>15</v>
      </c>
      <c r="K80" t="s">
        <v>16</v>
      </c>
      <c r="L80" s="1">
        <v>46166.641094618055</v>
      </c>
    </row>
    <row r="81" spans="1:12" x14ac:dyDescent="0.25">
      <c r="A81" t="s">
        <v>1599</v>
      </c>
      <c r="B81" t="str">
        <f>resultado_db_usuario_10[[#This Row],[metodo]]&amp;" "&amp;SUBSTITUTE(resultado_db_usuario_10[[#This Row],[rota]],"/api/v1","")</f>
        <v>DELETE /pecas/:id</v>
      </c>
      <c r="C81" t="s">
        <v>40</v>
      </c>
      <c r="D81" t="s">
        <v>1583</v>
      </c>
      <c r="E81" t="s">
        <v>37</v>
      </c>
      <c r="F81">
        <v>204</v>
      </c>
      <c r="G81" s="2">
        <v>10.68</v>
      </c>
      <c r="H81" s="1">
        <v>46166.641094999999</v>
      </c>
      <c r="I81" s="1">
        <v>46166.641095115738</v>
      </c>
      <c r="J81" t="s">
        <v>15</v>
      </c>
      <c r="K81" t="s">
        <v>16</v>
      </c>
      <c r="L81" s="1">
        <v>46166.64109513889</v>
      </c>
    </row>
    <row r="82" spans="1:12" x14ac:dyDescent="0.25">
      <c r="A82" t="s">
        <v>1603</v>
      </c>
      <c r="B82" t="str">
        <f>resultado_db_usuario_10[[#This Row],[metodo]]&amp;" "&amp;SUBSTITUTE(resultado_db_usuario_10[[#This Row],[rota]],"/api/v1","")</f>
        <v>DELETE /pecas/:id</v>
      </c>
      <c r="C82" t="s">
        <v>40</v>
      </c>
      <c r="D82" t="s">
        <v>1590</v>
      </c>
      <c r="E82" t="s">
        <v>37</v>
      </c>
      <c r="F82">
        <v>204</v>
      </c>
      <c r="G82" s="2">
        <v>8.09</v>
      </c>
      <c r="H82" s="1">
        <v>46166.641095150466</v>
      </c>
      <c r="I82" s="1">
        <v>46166.641095243052</v>
      </c>
      <c r="J82" t="s">
        <v>15</v>
      </c>
      <c r="K82" t="s">
        <v>16</v>
      </c>
      <c r="L82" s="1">
        <v>46166.641095266205</v>
      </c>
    </row>
    <row r="83" spans="1:12" hidden="1" x14ac:dyDescent="0.25">
      <c r="A83" t="s">
        <v>1605</v>
      </c>
      <c r="B83" t="str">
        <f>resultado_db_usuario_10[[#This Row],[metodo]]&amp;" "&amp;SUBSTITUTE(resultado_db_usuario_10[[#This Row],[rota]],"/api/v1","")</f>
        <v>DELETE /pecas/:id</v>
      </c>
      <c r="C83" t="s">
        <v>40</v>
      </c>
      <c r="D83" t="s">
        <v>173</v>
      </c>
      <c r="E83" t="s">
        <v>37</v>
      </c>
      <c r="F83">
        <v>404</v>
      </c>
      <c r="G83" t="s">
        <v>665</v>
      </c>
      <c r="H83" s="1">
        <v>46166.641095196763</v>
      </c>
      <c r="I83" s="1">
        <v>46166.641095289349</v>
      </c>
      <c r="J83" t="s">
        <v>15</v>
      </c>
      <c r="K83" t="s">
        <v>16</v>
      </c>
      <c r="L83" s="1">
        <v>46166.641095300925</v>
      </c>
    </row>
    <row r="84" spans="1:12" x14ac:dyDescent="0.25">
      <c r="A84" t="s">
        <v>1610</v>
      </c>
      <c r="B84" t="str">
        <f>resultado_db_usuario_10[[#This Row],[metodo]]&amp;" "&amp;SUBSTITUTE(resultado_db_usuario_10[[#This Row],[rota]],"/api/v1","")</f>
        <v>DELETE /pecas/:id</v>
      </c>
      <c r="C84" t="s">
        <v>40</v>
      </c>
      <c r="D84" t="s">
        <v>1598</v>
      </c>
      <c r="E84" t="s">
        <v>37</v>
      </c>
      <c r="F84">
        <v>204</v>
      </c>
      <c r="G84" s="2">
        <v>12.53</v>
      </c>
      <c r="H84" s="1">
        <v>46166.641095300925</v>
      </c>
      <c r="I84" s="1">
        <v>46166.641095439816</v>
      </c>
      <c r="J84" t="s">
        <v>15</v>
      </c>
      <c r="K84" t="s">
        <v>16</v>
      </c>
      <c r="L84" s="1">
        <v>46166.641095462961</v>
      </c>
    </row>
    <row r="85" spans="1:12" x14ac:dyDescent="0.25">
      <c r="A85" t="s">
        <v>1618</v>
      </c>
      <c r="B85" t="str">
        <f>resultado_db_usuario_10[[#This Row],[metodo]]&amp;" "&amp;SUBSTITUTE(resultado_db_usuario_10[[#This Row],[rota]],"/api/v1","")</f>
        <v>DELETE /pecas/:id</v>
      </c>
      <c r="C85" t="s">
        <v>40</v>
      </c>
      <c r="D85" t="s">
        <v>1607</v>
      </c>
      <c r="E85" t="s">
        <v>37</v>
      </c>
      <c r="F85">
        <v>204</v>
      </c>
      <c r="G85" s="2">
        <v>8.7200000000000006</v>
      </c>
      <c r="H85" s="1">
        <v>46166.641095671293</v>
      </c>
      <c r="I85" s="1">
        <v>46166.641095775463</v>
      </c>
      <c r="J85" t="s">
        <v>15</v>
      </c>
      <c r="K85" t="s">
        <v>16</v>
      </c>
      <c r="L85" s="1">
        <v>46166.641095787039</v>
      </c>
    </row>
    <row r="86" spans="1:12" x14ac:dyDescent="0.25">
      <c r="A86" t="s">
        <v>1629</v>
      </c>
      <c r="B86" t="str">
        <f>resultado_db_usuario_10[[#This Row],[metodo]]&amp;" "&amp;SUBSTITUTE(resultado_db_usuario_10[[#This Row],[rota]],"/api/v1","")</f>
        <v>DELETE /pecas/:id</v>
      </c>
      <c r="C86" t="s">
        <v>40</v>
      </c>
      <c r="D86" t="s">
        <v>1617</v>
      </c>
      <c r="E86" t="s">
        <v>37</v>
      </c>
      <c r="F86">
        <v>204</v>
      </c>
      <c r="G86" s="2">
        <v>8.65</v>
      </c>
      <c r="H86" s="1">
        <v>46166.641095983796</v>
      </c>
      <c r="I86" s="1">
        <v>46166.64109607639</v>
      </c>
      <c r="J86" t="s">
        <v>15</v>
      </c>
      <c r="K86" t="s">
        <v>16</v>
      </c>
      <c r="L86" s="1">
        <v>46166.641096099534</v>
      </c>
    </row>
    <row r="87" spans="1:12" x14ac:dyDescent="0.25">
      <c r="A87" t="s">
        <v>1653</v>
      </c>
      <c r="B87" t="str">
        <f>resultado_db_usuario_10[[#This Row],[metodo]]&amp;" "&amp;SUBSTITUTE(resultado_db_usuario_10[[#This Row],[rota]],"/api/v1","")</f>
        <v>DELETE /pecas/:id</v>
      </c>
      <c r="C87" t="s">
        <v>40</v>
      </c>
      <c r="D87" t="s">
        <v>1641</v>
      </c>
      <c r="E87" t="s">
        <v>37</v>
      </c>
      <c r="F87">
        <v>204</v>
      </c>
      <c r="G87" s="2">
        <v>7.06</v>
      </c>
      <c r="H87" s="1">
        <v>46166.641096747684</v>
      </c>
      <c r="I87" s="1">
        <v>46166.641096828702</v>
      </c>
      <c r="J87" t="s">
        <v>15</v>
      </c>
      <c r="K87" t="s">
        <v>16</v>
      </c>
      <c r="L87" s="1">
        <v>46166.641096851854</v>
      </c>
    </row>
    <row r="88" spans="1:12" hidden="1" x14ac:dyDescent="0.25">
      <c r="A88" t="s">
        <v>1661</v>
      </c>
      <c r="B88" t="str">
        <f>resultado_db_usuario_10[[#This Row],[metodo]]&amp;" "&amp;SUBSTITUTE(resultado_db_usuario_10[[#This Row],[rota]],"/api/v1","")</f>
        <v>DELETE /pecas/:id</v>
      </c>
      <c r="C88" t="s">
        <v>40</v>
      </c>
      <c r="D88" t="s">
        <v>173</v>
      </c>
      <c r="E88" t="s">
        <v>37</v>
      </c>
      <c r="F88">
        <v>404</v>
      </c>
      <c r="G88" t="s">
        <v>372</v>
      </c>
      <c r="H88" s="1">
        <v>46166.64109690972</v>
      </c>
      <c r="I88" s="1">
        <v>46166.64109701389</v>
      </c>
      <c r="J88" t="s">
        <v>15</v>
      </c>
      <c r="K88" t="s">
        <v>16</v>
      </c>
      <c r="L88" s="1">
        <v>46166.641097025466</v>
      </c>
    </row>
    <row r="89" spans="1:12" x14ac:dyDescent="0.25">
      <c r="A89" t="s">
        <v>1672</v>
      </c>
      <c r="B89" t="str">
        <f>resultado_db_usuario_10[[#This Row],[metodo]]&amp;" "&amp;SUBSTITUTE(resultado_db_usuario_10[[#This Row],[rota]],"/api/v1","")</f>
        <v>DELETE /pecas/:id</v>
      </c>
      <c r="C89" t="s">
        <v>40</v>
      </c>
      <c r="D89" t="s">
        <v>1658</v>
      </c>
      <c r="E89" t="s">
        <v>37</v>
      </c>
      <c r="F89">
        <v>204</v>
      </c>
      <c r="G89" s="2">
        <v>6.2</v>
      </c>
      <c r="H89" s="1">
        <v>46166.641097187501</v>
      </c>
      <c r="I89" s="1">
        <v>46166.641097256943</v>
      </c>
      <c r="J89" t="s">
        <v>15</v>
      </c>
      <c r="K89" t="s">
        <v>16</v>
      </c>
      <c r="L89" s="1">
        <v>46166.641097268519</v>
      </c>
    </row>
    <row r="90" spans="1:12" hidden="1" x14ac:dyDescent="0.25">
      <c r="A90" t="s">
        <v>1675</v>
      </c>
      <c r="B90" t="str">
        <f>resultado_db_usuario_10[[#This Row],[metodo]]&amp;" "&amp;SUBSTITUTE(resultado_db_usuario_10[[#This Row],[rota]],"/api/v1","")</f>
        <v>DELETE /pecas/:id</v>
      </c>
      <c r="C90" t="s">
        <v>40</v>
      </c>
      <c r="D90" t="s">
        <v>173</v>
      </c>
      <c r="E90" t="s">
        <v>37</v>
      </c>
      <c r="F90">
        <v>404</v>
      </c>
      <c r="G90" t="s">
        <v>1676</v>
      </c>
      <c r="H90" s="1">
        <v>46166.641097280095</v>
      </c>
      <c r="I90" s="1">
        <v>46166.641097349537</v>
      </c>
      <c r="J90" t="s">
        <v>15</v>
      </c>
      <c r="K90" t="s">
        <v>16</v>
      </c>
      <c r="L90" s="1">
        <v>46166.641097361113</v>
      </c>
    </row>
    <row r="91" spans="1:12" x14ac:dyDescent="0.25">
      <c r="A91" t="s">
        <v>1680</v>
      </c>
      <c r="B91" t="str">
        <f>resultado_db_usuario_10[[#This Row],[metodo]]&amp;" "&amp;SUBSTITUTE(resultado_db_usuario_10[[#This Row],[rota]],"/api/v1","")</f>
        <v>DELETE /pecas/:id</v>
      </c>
      <c r="C91" t="s">
        <v>40</v>
      </c>
      <c r="D91" t="s">
        <v>1671</v>
      </c>
      <c r="E91" t="s">
        <v>37</v>
      </c>
      <c r="F91">
        <v>204</v>
      </c>
      <c r="G91" s="2">
        <v>9.9</v>
      </c>
      <c r="H91" s="1">
        <v>46166.641097418978</v>
      </c>
      <c r="I91" s="1">
        <v>46166.641097534724</v>
      </c>
      <c r="J91" t="s">
        <v>15</v>
      </c>
      <c r="K91" t="s">
        <v>16</v>
      </c>
      <c r="L91" s="1">
        <v>46166.641097546293</v>
      </c>
    </row>
    <row r="92" spans="1:12" x14ac:dyDescent="0.25">
      <c r="A92" t="s">
        <v>1694</v>
      </c>
      <c r="B92" t="str">
        <f>resultado_db_usuario_10[[#This Row],[metodo]]&amp;" "&amp;SUBSTITUTE(resultado_db_usuario_10[[#This Row],[rota]],"/api/v1","")</f>
        <v>DELETE /pecas/:id</v>
      </c>
      <c r="C92" t="s">
        <v>40</v>
      </c>
      <c r="D92" t="s">
        <v>1683</v>
      </c>
      <c r="E92" t="s">
        <v>37</v>
      </c>
      <c r="F92">
        <v>204</v>
      </c>
      <c r="G92" s="2">
        <v>8.84</v>
      </c>
      <c r="H92" s="1">
        <v>46166.641097847219</v>
      </c>
      <c r="I92" s="1">
        <v>46166.641097951389</v>
      </c>
      <c r="J92" t="s">
        <v>15</v>
      </c>
      <c r="K92" t="s">
        <v>16</v>
      </c>
      <c r="L92" s="1">
        <v>46166.641097962965</v>
      </c>
    </row>
    <row r="93" spans="1:12" x14ac:dyDescent="0.25">
      <c r="A93" t="s">
        <v>1713</v>
      </c>
      <c r="B93" t="str">
        <f>resultado_db_usuario_10[[#This Row],[metodo]]&amp;" "&amp;SUBSTITUTE(resultado_db_usuario_10[[#This Row],[rota]],"/api/v1","")</f>
        <v>DELETE /pecas/:id</v>
      </c>
      <c r="C93" t="s">
        <v>40</v>
      </c>
      <c r="D93" t="s">
        <v>1704</v>
      </c>
      <c r="E93" t="s">
        <v>37</v>
      </c>
      <c r="F93">
        <v>204</v>
      </c>
      <c r="G93" s="2">
        <v>7.26</v>
      </c>
      <c r="H93" s="1">
        <v>46166.641098437503</v>
      </c>
      <c r="I93" s="1">
        <v>46166.641098518521</v>
      </c>
      <c r="J93" t="s">
        <v>15</v>
      </c>
      <c r="K93" t="s">
        <v>16</v>
      </c>
      <c r="L93" s="1">
        <v>46166.641098541666</v>
      </c>
    </row>
    <row r="94" spans="1:12" hidden="1" x14ac:dyDescent="0.25">
      <c r="A94" t="s">
        <v>1725</v>
      </c>
      <c r="B94" t="str">
        <f>resultado_db_usuario_10[[#This Row],[metodo]]&amp;" "&amp;SUBSTITUTE(resultado_db_usuario_10[[#This Row],[rota]],"/api/v1","")</f>
        <v>DELETE /pecas/:id</v>
      </c>
      <c r="C94" t="s">
        <v>40</v>
      </c>
      <c r="D94" t="s">
        <v>173</v>
      </c>
      <c r="E94" t="s">
        <v>37</v>
      </c>
      <c r="F94">
        <v>404</v>
      </c>
      <c r="G94" t="s">
        <v>653</v>
      </c>
      <c r="H94" s="1">
        <v>46166.641098773151</v>
      </c>
      <c r="I94" s="1">
        <v>46166.641098831016</v>
      </c>
      <c r="J94" t="s">
        <v>15</v>
      </c>
      <c r="K94" t="s">
        <v>16</v>
      </c>
      <c r="L94" s="1">
        <v>46166.641098842592</v>
      </c>
    </row>
    <row r="95" spans="1:12" x14ac:dyDescent="0.25">
      <c r="A95" t="s">
        <v>1731</v>
      </c>
      <c r="B95" t="str">
        <f>resultado_db_usuario_10[[#This Row],[metodo]]&amp;" "&amp;SUBSTITUTE(resultado_db_usuario_10[[#This Row],[rota]],"/api/v1","")</f>
        <v>DELETE /pecas/:id</v>
      </c>
      <c r="C95" t="s">
        <v>40</v>
      </c>
      <c r="D95" t="s">
        <v>1720</v>
      </c>
      <c r="E95" t="s">
        <v>37</v>
      </c>
      <c r="F95">
        <v>204</v>
      </c>
      <c r="G95" s="2">
        <v>5.31</v>
      </c>
      <c r="H95" s="1">
        <v>46166.641098888889</v>
      </c>
      <c r="I95" s="1">
        <v>46166.641098946762</v>
      </c>
      <c r="J95" t="s">
        <v>15</v>
      </c>
      <c r="K95" t="s">
        <v>16</v>
      </c>
      <c r="L95" s="1">
        <v>46166.641098969907</v>
      </c>
    </row>
    <row r="96" spans="1:12" x14ac:dyDescent="0.25">
      <c r="A96" t="s">
        <v>1734</v>
      </c>
      <c r="B96" t="str">
        <f>resultado_db_usuario_10[[#This Row],[metodo]]&amp;" "&amp;SUBSTITUTE(resultado_db_usuario_10[[#This Row],[rota]],"/api/v1","")</f>
        <v>DELETE /pecas/:id</v>
      </c>
      <c r="C96" t="s">
        <v>40</v>
      </c>
      <c r="D96" t="s">
        <v>1728</v>
      </c>
      <c r="E96" t="s">
        <v>37</v>
      </c>
      <c r="F96">
        <v>204</v>
      </c>
      <c r="G96" s="2">
        <v>11.96</v>
      </c>
      <c r="H96" s="1">
        <v>46166.641098969907</v>
      </c>
      <c r="I96" s="1">
        <v>46166.641099108798</v>
      </c>
      <c r="J96" t="s">
        <v>15</v>
      </c>
      <c r="K96" t="s">
        <v>16</v>
      </c>
      <c r="L96" s="1">
        <v>46166.641099120374</v>
      </c>
    </row>
    <row r="97" spans="1:12" x14ac:dyDescent="0.25">
      <c r="A97" t="s">
        <v>1745</v>
      </c>
      <c r="B97" t="str">
        <f>resultado_db_usuario_10[[#This Row],[metodo]]&amp;" "&amp;SUBSTITUTE(resultado_db_usuario_10[[#This Row],[rota]],"/api/v1","")</f>
        <v>DELETE /pecas/:id</v>
      </c>
      <c r="C97" t="s">
        <v>40</v>
      </c>
      <c r="D97" t="s">
        <v>1739</v>
      </c>
      <c r="E97" t="s">
        <v>37</v>
      </c>
      <c r="F97">
        <v>204</v>
      </c>
      <c r="G97" s="2">
        <v>5.52</v>
      </c>
      <c r="H97" s="1">
        <v>46166.641099328706</v>
      </c>
      <c r="I97" s="1">
        <v>46166.641099386572</v>
      </c>
      <c r="J97" t="s">
        <v>15</v>
      </c>
      <c r="K97" t="s">
        <v>16</v>
      </c>
      <c r="L97" s="1">
        <v>46166.641099409724</v>
      </c>
    </row>
    <row r="98" spans="1:12" x14ac:dyDescent="0.25">
      <c r="A98" t="s">
        <v>1755</v>
      </c>
      <c r="B98" t="str">
        <f>resultado_db_usuario_10[[#This Row],[metodo]]&amp;" "&amp;SUBSTITUTE(resultado_db_usuario_10[[#This Row],[rota]],"/api/v1","")</f>
        <v>DELETE /pecas/:id</v>
      </c>
      <c r="C98" t="s">
        <v>40</v>
      </c>
      <c r="D98" t="s">
        <v>1750</v>
      </c>
      <c r="E98" t="s">
        <v>37</v>
      </c>
      <c r="F98">
        <v>204</v>
      </c>
      <c r="G98" s="2">
        <v>5.35</v>
      </c>
      <c r="H98" s="1">
        <v>46166.641099629633</v>
      </c>
      <c r="I98" s="1">
        <v>46166.641099687498</v>
      </c>
      <c r="J98" t="s">
        <v>15</v>
      </c>
      <c r="K98" t="s">
        <v>16</v>
      </c>
      <c r="L98" s="1">
        <v>46166.641099699074</v>
      </c>
    </row>
    <row r="99" spans="1:12" x14ac:dyDescent="0.25">
      <c r="A99" t="s">
        <v>1764</v>
      </c>
      <c r="B99" t="str">
        <f>resultado_db_usuario_10[[#This Row],[metodo]]&amp;" "&amp;SUBSTITUTE(resultado_db_usuario_10[[#This Row],[rota]],"/api/v1","")</f>
        <v>DELETE /pecas/:id</v>
      </c>
      <c r="C99" t="s">
        <v>40</v>
      </c>
      <c r="D99" t="s">
        <v>1758</v>
      </c>
      <c r="E99" t="s">
        <v>37</v>
      </c>
      <c r="F99">
        <v>204</v>
      </c>
      <c r="G99" s="2">
        <v>5.38</v>
      </c>
      <c r="H99" s="1">
        <v>46166.641099884262</v>
      </c>
      <c r="I99" s="1">
        <v>46166.641099942128</v>
      </c>
      <c r="J99" t="s">
        <v>15</v>
      </c>
      <c r="K99" t="s">
        <v>16</v>
      </c>
      <c r="L99" s="1">
        <v>46166.64109996528</v>
      </c>
    </row>
    <row r="100" spans="1:12" x14ac:dyDescent="0.25">
      <c r="A100" t="s">
        <v>1772</v>
      </c>
      <c r="B100" t="str">
        <f>resultado_db_usuario_10[[#This Row],[metodo]]&amp;" "&amp;SUBSTITUTE(resultado_db_usuario_10[[#This Row],[rota]],"/api/v1","")</f>
        <v>DELETE /pecas/:id</v>
      </c>
      <c r="C100" t="s">
        <v>40</v>
      </c>
      <c r="D100" t="s">
        <v>36</v>
      </c>
      <c r="E100" t="s">
        <v>37</v>
      </c>
      <c r="F100">
        <v>204</v>
      </c>
      <c r="G100" s="2">
        <v>3.03</v>
      </c>
      <c r="H100" s="1">
        <v>46166.641100219909</v>
      </c>
      <c r="I100" s="1">
        <v>46166.64110025463</v>
      </c>
      <c r="J100" t="s">
        <v>15</v>
      </c>
      <c r="K100" t="s">
        <v>16</v>
      </c>
      <c r="L100" s="1">
        <v>46166.641100277775</v>
      </c>
    </row>
    <row r="101" spans="1:12" x14ac:dyDescent="0.25">
      <c r="A101" t="s">
        <v>1776</v>
      </c>
      <c r="B101" t="str">
        <f>resultado_db_usuario_10[[#This Row],[metodo]]&amp;" "&amp;SUBSTITUTE(resultado_db_usuario_10[[#This Row],[rota]],"/api/v1","")</f>
        <v>DELETE /pecas/:id</v>
      </c>
      <c r="C101" t="s">
        <v>40</v>
      </c>
      <c r="D101" t="s">
        <v>204</v>
      </c>
      <c r="E101" t="s">
        <v>37</v>
      </c>
      <c r="F101">
        <v>204</v>
      </c>
      <c r="G101" s="2">
        <v>4.0599999999999996</v>
      </c>
      <c r="H101" s="1">
        <v>46166.641100393521</v>
      </c>
      <c r="I101" s="1">
        <v>46166.641100451387</v>
      </c>
      <c r="J101" t="s">
        <v>15</v>
      </c>
      <c r="K101" t="s">
        <v>16</v>
      </c>
      <c r="L101" s="1">
        <v>46166.641100462963</v>
      </c>
    </row>
    <row r="102" spans="1:12" x14ac:dyDescent="0.25">
      <c r="A102" t="s">
        <v>658</v>
      </c>
      <c r="B102" t="str">
        <f>resultado_db_usuario_10[[#This Row],[metodo]]&amp;" "&amp;SUBSTITUTE(resultado_db_usuario_10[[#This Row],[rota]],"/api/v1","")</f>
        <v>GET /aeronaves/</v>
      </c>
      <c r="C102" t="s">
        <v>12</v>
      </c>
      <c r="D102" t="s">
        <v>13</v>
      </c>
      <c r="E102" t="s">
        <v>14</v>
      </c>
      <c r="F102">
        <v>200</v>
      </c>
      <c r="G102" s="2">
        <v>16.78</v>
      </c>
      <c r="H102" s="1">
        <v>46166.641065648146</v>
      </c>
      <c r="I102" s="1">
        <v>46166.641065844909</v>
      </c>
      <c r="J102" t="s">
        <v>15</v>
      </c>
      <c r="K102" t="s">
        <v>16</v>
      </c>
      <c r="L102" s="1">
        <v>46166.641065868054</v>
      </c>
    </row>
    <row r="103" spans="1:12" x14ac:dyDescent="0.25">
      <c r="A103" t="s">
        <v>670</v>
      </c>
      <c r="B103" t="str">
        <f>resultado_db_usuario_10[[#This Row],[metodo]]&amp;" "&amp;SUBSTITUTE(resultado_db_usuario_10[[#This Row],[rota]],"/api/v1","")</f>
        <v>GET /aeronaves/</v>
      </c>
      <c r="C103" t="s">
        <v>12</v>
      </c>
      <c r="D103" t="s">
        <v>13</v>
      </c>
      <c r="E103" t="s">
        <v>14</v>
      </c>
      <c r="F103">
        <v>200</v>
      </c>
      <c r="G103" s="2" t="s">
        <v>671</v>
      </c>
      <c r="H103" s="1">
        <v>46166.641066388889</v>
      </c>
      <c r="I103" s="1">
        <v>46166.641066724536</v>
      </c>
      <c r="J103" t="s">
        <v>15</v>
      </c>
      <c r="K103" t="s">
        <v>16</v>
      </c>
      <c r="L103" s="1">
        <v>46166.641066747688</v>
      </c>
    </row>
    <row r="104" spans="1:12" x14ac:dyDescent="0.25">
      <c r="A104" t="s">
        <v>673</v>
      </c>
      <c r="B104" t="str">
        <f>resultado_db_usuario_10[[#This Row],[metodo]]&amp;" "&amp;SUBSTITUTE(resultado_db_usuario_10[[#This Row],[rota]],"/api/v1","")</f>
        <v>GET /aeronaves/</v>
      </c>
      <c r="C104" t="s">
        <v>12</v>
      </c>
      <c r="D104" t="s">
        <v>13</v>
      </c>
      <c r="E104" t="s">
        <v>14</v>
      </c>
      <c r="F104">
        <v>200</v>
      </c>
      <c r="G104" s="2">
        <v>12.38</v>
      </c>
      <c r="H104" s="1">
        <v>46166.641066747688</v>
      </c>
      <c r="I104" s="1">
        <v>46166.641066886572</v>
      </c>
      <c r="J104" t="s">
        <v>15</v>
      </c>
      <c r="K104" t="s">
        <v>16</v>
      </c>
      <c r="L104" s="1">
        <v>46166.641066909724</v>
      </c>
    </row>
    <row r="105" spans="1:12" x14ac:dyDescent="0.25">
      <c r="A105" t="s">
        <v>692</v>
      </c>
      <c r="B105" t="str">
        <f>resultado_db_usuario_10[[#This Row],[metodo]]&amp;" "&amp;SUBSTITUTE(resultado_db_usuario_10[[#This Row],[rota]],"/api/v1","")</f>
        <v>GET /aeronaves/</v>
      </c>
      <c r="C105" t="s">
        <v>12</v>
      </c>
      <c r="D105" t="s">
        <v>13</v>
      </c>
      <c r="E105" t="s">
        <v>14</v>
      </c>
      <c r="F105">
        <v>200</v>
      </c>
      <c r="G105" s="2">
        <v>11.43</v>
      </c>
      <c r="H105" s="1">
        <v>46166.641067476849</v>
      </c>
      <c r="I105" s="1">
        <v>46166.641067604163</v>
      </c>
      <c r="J105" t="s">
        <v>15</v>
      </c>
      <c r="K105" t="s">
        <v>16</v>
      </c>
      <c r="L105" s="1">
        <v>46166.641067627315</v>
      </c>
    </row>
    <row r="106" spans="1:12" x14ac:dyDescent="0.25">
      <c r="A106" t="s">
        <v>694</v>
      </c>
      <c r="B106" t="str">
        <f>resultado_db_usuario_10[[#This Row],[metodo]]&amp;" "&amp;SUBSTITUTE(resultado_db_usuario_10[[#This Row],[rota]],"/api/v1","")</f>
        <v>GET /aeronaves/</v>
      </c>
      <c r="C106" t="s">
        <v>12</v>
      </c>
      <c r="D106" t="s">
        <v>13</v>
      </c>
      <c r="E106" t="s">
        <v>14</v>
      </c>
      <c r="F106">
        <v>200</v>
      </c>
      <c r="G106" s="2">
        <v>9.69</v>
      </c>
      <c r="H106" s="1">
        <v>46166.641067592594</v>
      </c>
      <c r="I106" s="1">
        <v>46166.641067708333</v>
      </c>
      <c r="J106" t="s">
        <v>15</v>
      </c>
      <c r="K106" t="s">
        <v>16</v>
      </c>
      <c r="L106" s="1">
        <v>46166.641067719909</v>
      </c>
    </row>
    <row r="107" spans="1:12" x14ac:dyDescent="0.25">
      <c r="A107" t="s">
        <v>704</v>
      </c>
      <c r="B107" t="str">
        <f>resultado_db_usuario_10[[#This Row],[metodo]]&amp;" "&amp;SUBSTITUTE(resultado_db_usuario_10[[#This Row],[rota]],"/api/v1","")</f>
        <v>GET /aeronaves/</v>
      </c>
      <c r="C107" t="s">
        <v>12</v>
      </c>
      <c r="D107" t="s">
        <v>13</v>
      </c>
      <c r="E107" t="s">
        <v>14</v>
      </c>
      <c r="F107">
        <v>200</v>
      </c>
      <c r="G107" s="2">
        <v>14.97</v>
      </c>
      <c r="H107" s="1">
        <v>46166.64106790509</v>
      </c>
      <c r="I107" s="1">
        <v>46166.641068078701</v>
      </c>
      <c r="J107" t="s">
        <v>15</v>
      </c>
      <c r="K107" t="s">
        <v>16</v>
      </c>
      <c r="L107" s="1">
        <v>46166.641068101853</v>
      </c>
    </row>
    <row r="108" spans="1:12" x14ac:dyDescent="0.25">
      <c r="A108" t="s">
        <v>721</v>
      </c>
      <c r="B108" t="str">
        <f>resultado_db_usuario_10[[#This Row],[metodo]]&amp;" "&amp;SUBSTITUTE(resultado_db_usuario_10[[#This Row],[rota]],"/api/v1","")</f>
        <v>GET /aeronaves/</v>
      </c>
      <c r="C108" t="s">
        <v>12</v>
      </c>
      <c r="D108" t="s">
        <v>13</v>
      </c>
      <c r="E108" t="s">
        <v>14</v>
      </c>
      <c r="F108">
        <v>200</v>
      </c>
      <c r="G108" s="2">
        <v>8.58</v>
      </c>
      <c r="H108" s="1">
        <v>46166.641068530094</v>
      </c>
      <c r="I108" s="1">
        <v>46166.641068634257</v>
      </c>
      <c r="J108" t="s">
        <v>15</v>
      </c>
      <c r="K108" t="s">
        <v>16</v>
      </c>
      <c r="L108" s="1">
        <v>46166.641068657409</v>
      </c>
    </row>
    <row r="109" spans="1:12" x14ac:dyDescent="0.25">
      <c r="A109" t="s">
        <v>727</v>
      </c>
      <c r="B109" t="str">
        <f>resultado_db_usuario_10[[#This Row],[metodo]]&amp;" "&amp;SUBSTITUTE(resultado_db_usuario_10[[#This Row],[rota]],"/api/v1","")</f>
        <v>GET /aeronaves/</v>
      </c>
      <c r="C109" t="s">
        <v>12</v>
      </c>
      <c r="D109" t="s">
        <v>13</v>
      </c>
      <c r="E109" t="s">
        <v>14</v>
      </c>
      <c r="F109">
        <v>200</v>
      </c>
      <c r="G109" s="2">
        <v>14.8</v>
      </c>
      <c r="H109" s="1">
        <v>46166.64106869213</v>
      </c>
      <c r="I109" s="1">
        <v>46166.641068854165</v>
      </c>
      <c r="J109" t="s">
        <v>15</v>
      </c>
      <c r="K109" t="s">
        <v>16</v>
      </c>
      <c r="L109" s="1">
        <v>46166.641068877318</v>
      </c>
    </row>
    <row r="110" spans="1:12" x14ac:dyDescent="0.25">
      <c r="A110" t="s">
        <v>738</v>
      </c>
      <c r="B110" t="str">
        <f>resultado_db_usuario_10[[#This Row],[metodo]]&amp;" "&amp;SUBSTITUTE(resultado_db_usuario_10[[#This Row],[rota]],"/api/v1","")</f>
        <v>GET /aeronaves/</v>
      </c>
      <c r="C110" t="s">
        <v>12</v>
      </c>
      <c r="D110" t="s">
        <v>13</v>
      </c>
      <c r="E110" t="s">
        <v>14</v>
      </c>
      <c r="F110">
        <v>200</v>
      </c>
      <c r="G110" s="2">
        <v>13.38</v>
      </c>
      <c r="H110" s="1">
        <v>46166.64106908565</v>
      </c>
      <c r="I110" s="1">
        <v>46166.64106923611</v>
      </c>
      <c r="J110" t="s">
        <v>15</v>
      </c>
      <c r="K110" t="s">
        <v>16</v>
      </c>
      <c r="L110" s="1">
        <v>46166.641069247686</v>
      </c>
    </row>
    <row r="111" spans="1:12" x14ac:dyDescent="0.25">
      <c r="A111" t="s">
        <v>740</v>
      </c>
      <c r="B111" t="str">
        <f>resultado_db_usuario_10[[#This Row],[metodo]]&amp;" "&amp;SUBSTITUTE(resultado_db_usuario_10[[#This Row],[rota]],"/api/v1","")</f>
        <v>GET /aeronaves/</v>
      </c>
      <c r="C111" t="s">
        <v>12</v>
      </c>
      <c r="D111" t="s">
        <v>13</v>
      </c>
      <c r="E111" t="s">
        <v>14</v>
      </c>
      <c r="F111">
        <v>200</v>
      </c>
      <c r="G111" s="2" t="s">
        <v>741</v>
      </c>
      <c r="H111" s="1">
        <v>46166.641069166668</v>
      </c>
      <c r="I111" s="1">
        <v>46166.641069351848</v>
      </c>
      <c r="J111" t="s">
        <v>15</v>
      </c>
      <c r="K111" t="s">
        <v>16</v>
      </c>
      <c r="L111" s="1">
        <v>46166.641069363424</v>
      </c>
    </row>
    <row r="112" spans="1:12" x14ac:dyDescent="0.25">
      <c r="A112" t="s">
        <v>761</v>
      </c>
      <c r="B112" t="str">
        <f>resultado_db_usuario_10[[#This Row],[metodo]]&amp;" "&amp;SUBSTITUTE(resultado_db_usuario_10[[#This Row],[rota]],"/api/v1","")</f>
        <v>GET /aeronaves/</v>
      </c>
      <c r="C112" t="s">
        <v>12</v>
      </c>
      <c r="D112" t="s">
        <v>13</v>
      </c>
      <c r="E112" t="s">
        <v>14</v>
      </c>
      <c r="F112">
        <v>200</v>
      </c>
      <c r="G112" s="2">
        <v>11.48</v>
      </c>
      <c r="H112" s="1">
        <v>46166.641069861114</v>
      </c>
      <c r="I112" s="1">
        <v>46166.641069999998</v>
      </c>
      <c r="J112" t="s">
        <v>15</v>
      </c>
      <c r="K112" t="s">
        <v>16</v>
      </c>
      <c r="L112" s="1">
        <v>46166.641070011574</v>
      </c>
    </row>
    <row r="113" spans="1:12" x14ac:dyDescent="0.25">
      <c r="A113" t="s">
        <v>766</v>
      </c>
      <c r="B113" t="str">
        <f>resultado_db_usuario_10[[#This Row],[metodo]]&amp;" "&amp;SUBSTITUTE(resultado_db_usuario_10[[#This Row],[rota]],"/api/v1","")</f>
        <v>GET /aeronaves/</v>
      </c>
      <c r="C113" t="s">
        <v>12</v>
      </c>
      <c r="D113" t="s">
        <v>13</v>
      </c>
      <c r="E113" t="s">
        <v>14</v>
      </c>
      <c r="F113">
        <v>200</v>
      </c>
      <c r="G113" s="2">
        <v>13.93</v>
      </c>
      <c r="H113" s="1">
        <v>46166.641070057871</v>
      </c>
      <c r="I113" s="1">
        <v>46166.641070219906</v>
      </c>
      <c r="J113" t="s">
        <v>15</v>
      </c>
      <c r="K113" t="s">
        <v>16</v>
      </c>
      <c r="L113" s="1">
        <v>46166.641070243058</v>
      </c>
    </row>
    <row r="114" spans="1:12" x14ac:dyDescent="0.25">
      <c r="A114" t="s">
        <v>772</v>
      </c>
      <c r="B114" t="str">
        <f>resultado_db_usuario_10[[#This Row],[metodo]]&amp;" "&amp;SUBSTITUTE(resultado_db_usuario_10[[#This Row],[rota]],"/api/v1","")</f>
        <v>GET /aeronaves/</v>
      </c>
      <c r="C114" t="s">
        <v>12</v>
      </c>
      <c r="D114" t="s">
        <v>13</v>
      </c>
      <c r="E114" t="s">
        <v>14</v>
      </c>
      <c r="F114">
        <v>200</v>
      </c>
      <c r="G114" s="2">
        <v>16.25</v>
      </c>
      <c r="H114" s="1">
        <v>46166.641070300924</v>
      </c>
      <c r="I114" s="1">
        <v>46166.641070486112</v>
      </c>
      <c r="J114" t="s">
        <v>15</v>
      </c>
      <c r="K114" t="s">
        <v>16</v>
      </c>
      <c r="L114" s="1">
        <v>46166.641070497688</v>
      </c>
    </row>
    <row r="115" spans="1:12" x14ac:dyDescent="0.25">
      <c r="A115" t="s">
        <v>781</v>
      </c>
      <c r="B115" t="str">
        <f>resultado_db_usuario_10[[#This Row],[metodo]]&amp;" "&amp;SUBSTITUTE(resultado_db_usuario_10[[#This Row],[rota]],"/api/v1","")</f>
        <v>GET /aeronaves/</v>
      </c>
      <c r="C115" t="s">
        <v>12</v>
      </c>
      <c r="D115" t="s">
        <v>13</v>
      </c>
      <c r="E115" t="s">
        <v>14</v>
      </c>
      <c r="F115">
        <v>200</v>
      </c>
      <c r="G115" s="2">
        <v>14.81</v>
      </c>
      <c r="H115" s="1">
        <v>46166.641070601851</v>
      </c>
      <c r="I115" s="1">
        <v>46166.641070775462</v>
      </c>
      <c r="J115" t="s">
        <v>15</v>
      </c>
      <c r="K115" t="s">
        <v>16</v>
      </c>
      <c r="L115" s="1">
        <v>46166.641070787038</v>
      </c>
    </row>
    <row r="116" spans="1:12" x14ac:dyDescent="0.25">
      <c r="A116" t="s">
        <v>783</v>
      </c>
      <c r="B116" t="str">
        <f>resultado_db_usuario_10[[#This Row],[metodo]]&amp;" "&amp;SUBSTITUTE(resultado_db_usuario_10[[#This Row],[rota]],"/api/v1","")</f>
        <v>GET /aeronaves/</v>
      </c>
      <c r="C116" t="s">
        <v>12</v>
      </c>
      <c r="D116" t="s">
        <v>13</v>
      </c>
      <c r="E116" t="s">
        <v>14</v>
      </c>
      <c r="F116">
        <v>200</v>
      </c>
      <c r="G116" s="2">
        <v>22.52</v>
      </c>
      <c r="H116" s="1">
        <v>46166.641070613427</v>
      </c>
      <c r="I116" s="1">
        <v>46166.641070879632</v>
      </c>
      <c r="J116" t="s">
        <v>15</v>
      </c>
      <c r="K116" t="s">
        <v>16</v>
      </c>
      <c r="L116" s="1">
        <v>46166.641070891201</v>
      </c>
    </row>
    <row r="117" spans="1:12" x14ac:dyDescent="0.25">
      <c r="A117" t="s">
        <v>806</v>
      </c>
      <c r="B117" t="str">
        <f>resultado_db_usuario_10[[#This Row],[metodo]]&amp;" "&amp;SUBSTITUTE(resultado_db_usuario_10[[#This Row],[rota]],"/api/v1","")</f>
        <v>GET /aeronaves/</v>
      </c>
      <c r="C117" t="s">
        <v>12</v>
      </c>
      <c r="D117" t="s">
        <v>13</v>
      </c>
      <c r="E117" t="s">
        <v>14</v>
      </c>
      <c r="F117">
        <v>200</v>
      </c>
      <c r="G117" s="2">
        <v>16.100000000000001</v>
      </c>
      <c r="H117" s="1">
        <v>46166.641071458333</v>
      </c>
      <c r="I117" s="1">
        <v>46166.64107164352</v>
      </c>
      <c r="J117" t="s">
        <v>15</v>
      </c>
      <c r="K117" t="s">
        <v>16</v>
      </c>
      <c r="L117" s="1">
        <v>46166.641071655089</v>
      </c>
    </row>
    <row r="118" spans="1:12" x14ac:dyDescent="0.25">
      <c r="A118" t="s">
        <v>814</v>
      </c>
      <c r="B118" t="str">
        <f>resultado_db_usuario_10[[#This Row],[metodo]]&amp;" "&amp;SUBSTITUTE(resultado_db_usuario_10[[#This Row],[rota]],"/api/v1","")</f>
        <v>GET /aeronaves/</v>
      </c>
      <c r="C118" t="s">
        <v>12</v>
      </c>
      <c r="D118" t="s">
        <v>13</v>
      </c>
      <c r="E118" t="s">
        <v>14</v>
      </c>
      <c r="F118">
        <v>200</v>
      </c>
      <c r="G118" s="2">
        <v>18.32</v>
      </c>
      <c r="H118" s="1">
        <v>46166.641071724538</v>
      </c>
      <c r="I118" s="1">
        <v>46166.641071932871</v>
      </c>
      <c r="J118" t="s">
        <v>15</v>
      </c>
      <c r="K118" t="s">
        <v>16</v>
      </c>
      <c r="L118" s="1">
        <v>46166.641071956015</v>
      </c>
    </row>
    <row r="119" spans="1:12" x14ac:dyDescent="0.25">
      <c r="A119" t="s">
        <v>821</v>
      </c>
      <c r="B119" t="str">
        <f>resultado_db_usuario_10[[#This Row],[metodo]]&amp;" "&amp;SUBSTITUTE(resultado_db_usuario_10[[#This Row],[rota]],"/api/v1","")</f>
        <v>GET /aeronaves/</v>
      </c>
      <c r="C119" t="s">
        <v>12</v>
      </c>
      <c r="D119" t="s">
        <v>13</v>
      </c>
      <c r="E119" t="s">
        <v>14</v>
      </c>
      <c r="F119">
        <v>200</v>
      </c>
      <c r="G119" s="2">
        <v>21.96</v>
      </c>
      <c r="H119" s="1">
        <v>46166.641071967591</v>
      </c>
      <c r="I119" s="1">
        <v>46166.641072222221</v>
      </c>
      <c r="J119" t="s">
        <v>15</v>
      </c>
      <c r="K119" t="s">
        <v>16</v>
      </c>
      <c r="L119" s="1">
        <v>46166.641072245373</v>
      </c>
    </row>
    <row r="120" spans="1:12" x14ac:dyDescent="0.25">
      <c r="A120" t="s">
        <v>831</v>
      </c>
      <c r="B120" t="str">
        <f>resultado_db_usuario_10[[#This Row],[metodo]]&amp;" "&amp;SUBSTITUTE(resultado_db_usuario_10[[#This Row],[rota]],"/api/v1","")</f>
        <v>GET /aeronaves/</v>
      </c>
      <c r="C120" t="s">
        <v>12</v>
      </c>
      <c r="D120" t="s">
        <v>13</v>
      </c>
      <c r="E120" t="s">
        <v>14</v>
      </c>
      <c r="F120">
        <v>200</v>
      </c>
      <c r="G120" s="2">
        <v>17.940000000000001</v>
      </c>
      <c r="H120" s="1">
        <v>46166.641072326391</v>
      </c>
      <c r="I120" s="1">
        <v>46166.641072534723</v>
      </c>
      <c r="J120" t="s">
        <v>15</v>
      </c>
      <c r="K120" t="s">
        <v>16</v>
      </c>
      <c r="L120" s="1">
        <v>46166.641072546299</v>
      </c>
    </row>
    <row r="121" spans="1:12" x14ac:dyDescent="0.25">
      <c r="A121" t="s">
        <v>835</v>
      </c>
      <c r="B121" t="str">
        <f>resultado_db_usuario_10[[#This Row],[metodo]]&amp;" "&amp;SUBSTITUTE(resultado_db_usuario_10[[#This Row],[rota]],"/api/v1","")</f>
        <v>GET /aeronaves/</v>
      </c>
      <c r="C121" t="s">
        <v>12</v>
      </c>
      <c r="D121" t="s">
        <v>13</v>
      </c>
      <c r="E121" t="s">
        <v>14</v>
      </c>
      <c r="F121">
        <v>200</v>
      </c>
      <c r="G121" s="2">
        <v>22.03</v>
      </c>
      <c r="H121" s="1">
        <v>46166.641072465274</v>
      </c>
      <c r="I121" s="1">
        <v>46166.641072719911</v>
      </c>
      <c r="J121" t="s">
        <v>15</v>
      </c>
      <c r="K121" t="s">
        <v>16</v>
      </c>
      <c r="L121" s="1">
        <v>46166.64107273148</v>
      </c>
    </row>
    <row r="122" spans="1:12" x14ac:dyDescent="0.25">
      <c r="A122" t="s">
        <v>839</v>
      </c>
      <c r="B122" t="str">
        <f>resultado_db_usuario_10[[#This Row],[metodo]]&amp;" "&amp;SUBSTITUTE(resultado_db_usuario_10[[#This Row],[rota]],"/api/v1","")</f>
        <v>GET /aeronaves/</v>
      </c>
      <c r="C122" t="s">
        <v>12</v>
      </c>
      <c r="D122" t="s">
        <v>13</v>
      </c>
      <c r="E122" t="s">
        <v>14</v>
      </c>
      <c r="F122">
        <v>200</v>
      </c>
      <c r="G122" s="2">
        <v>26.35</v>
      </c>
      <c r="H122" s="1">
        <v>46166.641072615741</v>
      </c>
      <c r="I122" s="1">
        <v>46166.641072916667</v>
      </c>
      <c r="J122" t="s">
        <v>15</v>
      </c>
      <c r="K122" t="s">
        <v>16</v>
      </c>
      <c r="L122" s="1">
        <v>46166.641072939812</v>
      </c>
    </row>
    <row r="123" spans="1:12" x14ac:dyDescent="0.25">
      <c r="A123" t="s">
        <v>840</v>
      </c>
      <c r="B123" t="str">
        <f>resultado_db_usuario_10[[#This Row],[metodo]]&amp;" "&amp;SUBSTITUTE(resultado_db_usuario_10[[#This Row],[rota]],"/api/v1","")</f>
        <v>GET /aeronaves/</v>
      </c>
      <c r="C123" t="s">
        <v>12</v>
      </c>
      <c r="D123" t="s">
        <v>13</v>
      </c>
      <c r="E123" t="s">
        <v>14</v>
      </c>
      <c r="F123">
        <v>200</v>
      </c>
      <c r="G123" s="2">
        <v>31.33</v>
      </c>
      <c r="H123" s="1">
        <v>46166.641072627317</v>
      </c>
      <c r="I123" s="1">
        <v>46166.641072997685</v>
      </c>
      <c r="J123" t="s">
        <v>15</v>
      </c>
      <c r="K123" t="s">
        <v>16</v>
      </c>
      <c r="L123" s="1">
        <v>46166.641073043982</v>
      </c>
    </row>
    <row r="124" spans="1:12" x14ac:dyDescent="0.25">
      <c r="A124" t="s">
        <v>871</v>
      </c>
      <c r="B124" t="str">
        <f>resultado_db_usuario_10[[#This Row],[metodo]]&amp;" "&amp;SUBSTITUTE(resultado_db_usuario_10[[#This Row],[rota]],"/api/v1","")</f>
        <v>GET /aeronaves/</v>
      </c>
      <c r="C124" t="s">
        <v>12</v>
      </c>
      <c r="D124" t="s">
        <v>13</v>
      </c>
      <c r="E124" t="s">
        <v>14</v>
      </c>
      <c r="F124">
        <v>200</v>
      </c>
      <c r="G124" s="2">
        <v>17.68</v>
      </c>
      <c r="H124" s="1">
        <v>46166.641073773149</v>
      </c>
      <c r="I124" s="1">
        <v>46166.641073981482</v>
      </c>
      <c r="J124" t="s">
        <v>15</v>
      </c>
      <c r="K124" t="s">
        <v>16</v>
      </c>
      <c r="L124" s="1">
        <v>46166.641073993058</v>
      </c>
    </row>
    <row r="125" spans="1:12" x14ac:dyDescent="0.25">
      <c r="A125" t="s">
        <v>878</v>
      </c>
      <c r="B125" t="str">
        <f>resultado_db_usuario_10[[#This Row],[metodo]]&amp;" "&amp;SUBSTITUTE(resultado_db_usuario_10[[#This Row],[rota]],"/api/v1","")</f>
        <v>GET /aeronaves/</v>
      </c>
      <c r="C125" t="s">
        <v>12</v>
      </c>
      <c r="D125" t="s">
        <v>13</v>
      </c>
      <c r="E125" t="s">
        <v>14</v>
      </c>
      <c r="F125">
        <v>200</v>
      </c>
      <c r="G125" s="2">
        <v>19.96</v>
      </c>
      <c r="H125" s="1">
        <v>46166.641073993058</v>
      </c>
      <c r="I125" s="1">
        <v>46166.641074224535</v>
      </c>
      <c r="J125" t="s">
        <v>15</v>
      </c>
      <c r="K125" t="s">
        <v>16</v>
      </c>
      <c r="L125" s="1">
        <v>46166.641074236111</v>
      </c>
    </row>
    <row r="126" spans="1:12" x14ac:dyDescent="0.25">
      <c r="A126" t="s">
        <v>892</v>
      </c>
      <c r="B126" t="str">
        <f>resultado_db_usuario_10[[#This Row],[metodo]]&amp;" "&amp;SUBSTITUTE(resultado_db_usuario_10[[#This Row],[rota]],"/api/v1","")</f>
        <v>GET /aeronaves/</v>
      </c>
      <c r="C126" t="s">
        <v>12</v>
      </c>
      <c r="D126" t="s">
        <v>13</v>
      </c>
      <c r="E126" t="s">
        <v>14</v>
      </c>
      <c r="F126">
        <v>200</v>
      </c>
      <c r="G126" s="2">
        <v>24.04</v>
      </c>
      <c r="H126" s="1">
        <v>46166.641074340281</v>
      </c>
      <c r="I126" s="1">
        <v>46166.641074618055</v>
      </c>
      <c r="J126" t="s">
        <v>15</v>
      </c>
      <c r="K126" t="s">
        <v>16</v>
      </c>
      <c r="L126" s="1">
        <v>46166.641074629631</v>
      </c>
    </row>
    <row r="127" spans="1:12" x14ac:dyDescent="0.25">
      <c r="A127" t="s">
        <v>902</v>
      </c>
      <c r="B127" t="str">
        <f>resultado_db_usuario_10[[#This Row],[metodo]]&amp;" "&amp;SUBSTITUTE(resultado_db_usuario_10[[#This Row],[rota]],"/api/v1","")</f>
        <v>GET /aeronaves/</v>
      </c>
      <c r="C127" t="s">
        <v>12</v>
      </c>
      <c r="D127" t="s">
        <v>13</v>
      </c>
      <c r="E127" t="s">
        <v>14</v>
      </c>
      <c r="F127">
        <v>200</v>
      </c>
      <c r="G127" s="2">
        <v>27.71</v>
      </c>
      <c r="H127" s="1">
        <v>46166.641074583335</v>
      </c>
      <c r="I127" s="1">
        <v>46166.641074895837</v>
      </c>
      <c r="J127" t="s">
        <v>15</v>
      </c>
      <c r="K127" t="s">
        <v>16</v>
      </c>
      <c r="L127" s="1">
        <v>46166.641074918982</v>
      </c>
    </row>
    <row r="128" spans="1:12" x14ac:dyDescent="0.25">
      <c r="A128" t="s">
        <v>912</v>
      </c>
      <c r="B128" t="str">
        <f>resultado_db_usuario_10[[#This Row],[metodo]]&amp;" "&amp;SUBSTITUTE(resultado_db_usuario_10[[#This Row],[rota]],"/api/v1","")</f>
        <v>GET /aeronaves/</v>
      </c>
      <c r="C128" t="s">
        <v>12</v>
      </c>
      <c r="D128" t="s">
        <v>13</v>
      </c>
      <c r="E128" t="s">
        <v>14</v>
      </c>
      <c r="F128">
        <v>200</v>
      </c>
      <c r="G128" s="2">
        <v>29.17</v>
      </c>
      <c r="H128" s="1">
        <v>46166.641074953703</v>
      </c>
      <c r="I128" s="1">
        <v>46166.64107528935</v>
      </c>
      <c r="J128" t="s">
        <v>15</v>
      </c>
      <c r="K128" t="s">
        <v>16</v>
      </c>
      <c r="L128" s="1">
        <v>46166.641075300926</v>
      </c>
    </row>
    <row r="129" spans="1:12" x14ac:dyDescent="0.25">
      <c r="A129" t="s">
        <v>915</v>
      </c>
      <c r="B129" t="str">
        <f>resultado_db_usuario_10[[#This Row],[metodo]]&amp;" "&amp;SUBSTITUTE(resultado_db_usuario_10[[#This Row],[rota]],"/api/v1","")</f>
        <v>GET /aeronaves/</v>
      </c>
      <c r="C129" t="s">
        <v>12</v>
      </c>
      <c r="D129" t="s">
        <v>13</v>
      </c>
      <c r="E129" t="s">
        <v>14</v>
      </c>
      <c r="F129">
        <v>200</v>
      </c>
      <c r="G129" s="2">
        <v>33.97</v>
      </c>
      <c r="H129" s="1">
        <v>46166.641075057873</v>
      </c>
      <c r="I129" s="1">
        <v>46166.641075451385</v>
      </c>
      <c r="J129" t="s">
        <v>15</v>
      </c>
      <c r="K129" t="s">
        <v>16</v>
      </c>
      <c r="L129" s="1">
        <v>46166.641075462961</v>
      </c>
    </row>
    <row r="130" spans="1:12" x14ac:dyDescent="0.25">
      <c r="A130" t="s">
        <v>916</v>
      </c>
      <c r="B130" t="str">
        <f>resultado_db_usuario_10[[#This Row],[metodo]]&amp;" "&amp;SUBSTITUTE(resultado_db_usuario_10[[#This Row],[rota]],"/api/v1","")</f>
        <v>GET /aeronaves/</v>
      </c>
      <c r="C130" t="s">
        <v>12</v>
      </c>
      <c r="D130" t="s">
        <v>13</v>
      </c>
      <c r="E130" t="s">
        <v>14</v>
      </c>
      <c r="F130">
        <v>200</v>
      </c>
      <c r="G130" s="2">
        <v>37.49</v>
      </c>
      <c r="H130" s="1">
        <v>46166.641075069441</v>
      </c>
      <c r="I130" s="1">
        <v>46166.641075497682</v>
      </c>
      <c r="J130" t="s">
        <v>15</v>
      </c>
      <c r="K130" t="s">
        <v>16</v>
      </c>
      <c r="L130" s="1">
        <v>46166.641075520834</v>
      </c>
    </row>
    <row r="131" spans="1:12" x14ac:dyDescent="0.25">
      <c r="A131" t="s">
        <v>917</v>
      </c>
      <c r="B131" t="str">
        <f>resultado_db_usuario_10[[#This Row],[metodo]]&amp;" "&amp;SUBSTITUTE(resultado_db_usuario_10[[#This Row],[rota]],"/api/v1","")</f>
        <v>GET /aeronaves/</v>
      </c>
      <c r="C131" t="s">
        <v>12</v>
      </c>
      <c r="D131" t="s">
        <v>13</v>
      </c>
      <c r="E131" t="s">
        <v>14</v>
      </c>
      <c r="F131">
        <v>200</v>
      </c>
      <c r="G131" s="2">
        <v>37.9</v>
      </c>
      <c r="H131" s="1">
        <v>46166.64107513889</v>
      </c>
      <c r="I131" s="1">
        <v>46166.6410755787</v>
      </c>
      <c r="J131" t="s">
        <v>15</v>
      </c>
      <c r="K131" t="s">
        <v>16</v>
      </c>
      <c r="L131" s="1">
        <v>46166.641075590276</v>
      </c>
    </row>
    <row r="132" spans="1:12" x14ac:dyDescent="0.25">
      <c r="A132" t="s">
        <v>929</v>
      </c>
      <c r="B132" t="str">
        <f>resultado_db_usuario_10[[#This Row],[metodo]]&amp;" "&amp;SUBSTITUTE(resultado_db_usuario_10[[#This Row],[rota]],"/api/v1","")</f>
        <v>GET /aeronaves/</v>
      </c>
      <c r="C132" t="s">
        <v>12</v>
      </c>
      <c r="D132" t="s">
        <v>13</v>
      </c>
      <c r="E132" t="s">
        <v>14</v>
      </c>
      <c r="F132">
        <v>200</v>
      </c>
      <c r="G132" s="2">
        <v>29.85</v>
      </c>
      <c r="H132" s="1">
        <v>46166.6410755787</v>
      </c>
      <c r="I132" s="1">
        <v>46166.641075925923</v>
      </c>
      <c r="J132" t="s">
        <v>15</v>
      </c>
      <c r="K132" t="s">
        <v>16</v>
      </c>
      <c r="L132" s="1">
        <v>46166.641075949075</v>
      </c>
    </row>
    <row r="133" spans="1:12" x14ac:dyDescent="0.25">
      <c r="A133" t="s">
        <v>944</v>
      </c>
      <c r="B133" t="str">
        <f>resultado_db_usuario_10[[#This Row],[metodo]]&amp;" "&amp;SUBSTITUTE(resultado_db_usuario_10[[#This Row],[rota]],"/api/v1","")</f>
        <v>GET /aeronaves/</v>
      </c>
      <c r="C133" t="s">
        <v>12</v>
      </c>
      <c r="D133" t="s">
        <v>13</v>
      </c>
      <c r="E133" t="s">
        <v>14</v>
      </c>
      <c r="F133">
        <v>200</v>
      </c>
      <c r="G133" s="2">
        <v>29.05</v>
      </c>
      <c r="H133" s="1">
        <v>46166.641076134256</v>
      </c>
      <c r="I133" s="1">
        <v>46166.64107646991</v>
      </c>
      <c r="J133" t="s">
        <v>15</v>
      </c>
      <c r="K133" t="s">
        <v>16</v>
      </c>
      <c r="L133" s="1">
        <v>46166.641076493055</v>
      </c>
    </row>
    <row r="134" spans="1:12" x14ac:dyDescent="0.25">
      <c r="A134" t="s">
        <v>965</v>
      </c>
      <c r="B134" t="str">
        <f>resultado_db_usuario_10[[#This Row],[metodo]]&amp;" "&amp;SUBSTITUTE(resultado_db_usuario_10[[#This Row],[rota]],"/api/v1","")</f>
        <v>GET /aeronaves/</v>
      </c>
      <c r="C134" t="s">
        <v>12</v>
      </c>
      <c r="D134" t="s">
        <v>13</v>
      </c>
      <c r="E134" t="s">
        <v>14</v>
      </c>
      <c r="F134">
        <v>200</v>
      </c>
      <c r="G134" s="2">
        <v>20.25</v>
      </c>
      <c r="H134" s="1">
        <v>46166.641076921296</v>
      </c>
      <c r="I134" s="1">
        <v>46166.641077152781</v>
      </c>
      <c r="J134" t="s">
        <v>15</v>
      </c>
      <c r="K134" t="s">
        <v>16</v>
      </c>
      <c r="L134" s="1">
        <v>46166.641077175926</v>
      </c>
    </row>
    <row r="135" spans="1:12" x14ac:dyDescent="0.25">
      <c r="A135" t="s">
        <v>977</v>
      </c>
      <c r="B135" t="str">
        <f>resultado_db_usuario_10[[#This Row],[metodo]]&amp;" "&amp;SUBSTITUTE(resultado_db_usuario_10[[#This Row],[rota]],"/api/v1","")</f>
        <v>GET /aeronaves/</v>
      </c>
      <c r="C135" t="s">
        <v>12</v>
      </c>
      <c r="D135" t="s">
        <v>13</v>
      </c>
      <c r="E135" t="s">
        <v>14</v>
      </c>
      <c r="F135">
        <v>200</v>
      </c>
      <c r="G135" s="2">
        <v>25.92</v>
      </c>
      <c r="H135" s="1">
        <v>46166.641077291664</v>
      </c>
      <c r="I135" s="1">
        <v>46166.641077581022</v>
      </c>
      <c r="J135" t="s">
        <v>15</v>
      </c>
      <c r="K135" t="s">
        <v>16</v>
      </c>
      <c r="L135" s="1">
        <v>46166.641077604167</v>
      </c>
    </row>
    <row r="136" spans="1:12" x14ac:dyDescent="0.25">
      <c r="A136" t="s">
        <v>998</v>
      </c>
      <c r="B136" t="str">
        <f>resultado_db_usuario_10[[#This Row],[metodo]]&amp;" "&amp;SUBSTITUTE(resultado_db_usuario_10[[#This Row],[rota]],"/api/v1","")</f>
        <v>GET /aeronaves/</v>
      </c>
      <c r="C136" t="s">
        <v>12</v>
      </c>
      <c r="D136" t="s">
        <v>13</v>
      </c>
      <c r="E136" t="s">
        <v>14</v>
      </c>
      <c r="F136">
        <v>200</v>
      </c>
      <c r="G136" s="2">
        <v>24.88</v>
      </c>
      <c r="H136" s="1">
        <v>46166.641077743057</v>
      </c>
      <c r="I136" s="1">
        <v>46166.641078032408</v>
      </c>
      <c r="J136" t="s">
        <v>15</v>
      </c>
      <c r="K136" t="s">
        <v>16</v>
      </c>
      <c r="L136" s="1">
        <v>46166.641078055552</v>
      </c>
    </row>
    <row r="137" spans="1:12" x14ac:dyDescent="0.25">
      <c r="A137" t="s">
        <v>1011</v>
      </c>
      <c r="B137" t="str">
        <f>resultado_db_usuario_10[[#This Row],[metodo]]&amp;" "&amp;SUBSTITUTE(resultado_db_usuario_10[[#This Row],[rota]],"/api/v1","")</f>
        <v>GET /aeronaves/</v>
      </c>
      <c r="C137" t="s">
        <v>12</v>
      </c>
      <c r="D137" t="s">
        <v>13</v>
      </c>
      <c r="E137" t="s">
        <v>14</v>
      </c>
      <c r="F137">
        <v>200</v>
      </c>
      <c r="G137" s="2">
        <v>30.31</v>
      </c>
      <c r="H137" s="1">
        <v>46166.641078043984</v>
      </c>
      <c r="I137" s="1">
        <v>46166.641078391207</v>
      </c>
      <c r="J137" t="s">
        <v>15</v>
      </c>
      <c r="K137" t="s">
        <v>16</v>
      </c>
      <c r="L137" s="1">
        <v>46166.641078414352</v>
      </c>
    </row>
    <row r="138" spans="1:12" x14ac:dyDescent="0.25">
      <c r="A138" t="s">
        <v>1016</v>
      </c>
      <c r="B138" t="str">
        <f>resultado_db_usuario_10[[#This Row],[metodo]]&amp;" "&amp;SUBSTITUTE(resultado_db_usuario_10[[#This Row],[rota]],"/api/v1","")</f>
        <v>GET /aeronaves/</v>
      </c>
      <c r="C138" t="s">
        <v>12</v>
      </c>
      <c r="D138" t="s">
        <v>13</v>
      </c>
      <c r="E138" t="s">
        <v>14</v>
      </c>
      <c r="F138">
        <v>200</v>
      </c>
      <c r="G138" s="2">
        <v>39.74</v>
      </c>
      <c r="H138" s="1">
        <v>46166.641078298613</v>
      </c>
      <c r="I138" s="1">
        <v>46166.641078749999</v>
      </c>
      <c r="J138" t="s">
        <v>15</v>
      </c>
      <c r="K138" t="s">
        <v>16</v>
      </c>
      <c r="L138" s="1">
        <v>46166.641078773151</v>
      </c>
    </row>
    <row r="139" spans="1:12" x14ac:dyDescent="0.25">
      <c r="A139" t="s">
        <v>1019</v>
      </c>
      <c r="B139" t="str">
        <f>resultado_db_usuario_10[[#This Row],[metodo]]&amp;" "&amp;SUBSTITUTE(resultado_db_usuario_10[[#This Row],[rota]],"/api/v1","")</f>
        <v>GET /aeronaves/</v>
      </c>
      <c r="C139" t="s">
        <v>12</v>
      </c>
      <c r="D139" t="s">
        <v>13</v>
      </c>
      <c r="E139" t="s">
        <v>14</v>
      </c>
      <c r="F139">
        <v>200</v>
      </c>
      <c r="G139" s="2">
        <v>39.979999999999997</v>
      </c>
      <c r="H139" s="1">
        <v>46166.641078414352</v>
      </c>
      <c r="I139" s="1">
        <v>46166.641078877314</v>
      </c>
      <c r="J139" t="s">
        <v>15</v>
      </c>
      <c r="K139" t="s">
        <v>16</v>
      </c>
      <c r="L139" s="1">
        <v>46166.64107888889</v>
      </c>
    </row>
    <row r="140" spans="1:12" x14ac:dyDescent="0.25">
      <c r="A140" t="s">
        <v>1020</v>
      </c>
      <c r="B140" t="str">
        <f>resultado_db_usuario_10[[#This Row],[metodo]]&amp;" "&amp;SUBSTITUTE(resultado_db_usuario_10[[#This Row],[rota]],"/api/v1","")</f>
        <v>GET /aeronaves/</v>
      </c>
      <c r="C140" t="s">
        <v>12</v>
      </c>
      <c r="D140" t="s">
        <v>13</v>
      </c>
      <c r="E140" t="s">
        <v>14</v>
      </c>
      <c r="F140">
        <v>200</v>
      </c>
      <c r="G140" s="2">
        <v>44.6</v>
      </c>
      <c r="H140" s="1">
        <v>46166.641078437497</v>
      </c>
      <c r="I140" s="1">
        <v>46166.641078946763</v>
      </c>
      <c r="J140" t="s">
        <v>15</v>
      </c>
      <c r="K140" t="s">
        <v>16</v>
      </c>
      <c r="L140" s="1">
        <v>46166.641078969908</v>
      </c>
    </row>
    <row r="141" spans="1:12" x14ac:dyDescent="0.25">
      <c r="A141" t="s">
        <v>1022</v>
      </c>
      <c r="B141" t="str">
        <f>resultado_db_usuario_10[[#This Row],[metodo]]&amp;" "&amp;SUBSTITUTE(resultado_db_usuario_10[[#This Row],[rota]],"/api/v1","")</f>
        <v>GET /aeronaves/</v>
      </c>
      <c r="C141" t="s">
        <v>12</v>
      </c>
      <c r="D141" t="s">
        <v>13</v>
      </c>
      <c r="E141" t="s">
        <v>14</v>
      </c>
      <c r="F141">
        <v>200</v>
      </c>
      <c r="G141" s="2">
        <v>49.95</v>
      </c>
      <c r="H141" s="1">
        <v>46166.641078437497</v>
      </c>
      <c r="I141" s="1">
        <v>46166.641079016204</v>
      </c>
      <c r="J141" t="s">
        <v>15</v>
      </c>
      <c r="K141" t="s">
        <v>16</v>
      </c>
      <c r="L141" s="1">
        <v>46166.641079039349</v>
      </c>
    </row>
    <row r="142" spans="1:12" x14ac:dyDescent="0.25">
      <c r="A142" t="s">
        <v>1045</v>
      </c>
      <c r="B142" t="str">
        <f>resultado_db_usuario_10[[#This Row],[metodo]]&amp;" "&amp;SUBSTITUTE(resultado_db_usuario_10[[#This Row],[rota]],"/api/v1","")</f>
        <v>GET /aeronaves/</v>
      </c>
      <c r="C142" t="s">
        <v>12</v>
      </c>
      <c r="D142" t="s">
        <v>13</v>
      </c>
      <c r="E142" t="s">
        <v>14</v>
      </c>
      <c r="F142">
        <v>200</v>
      </c>
      <c r="G142" s="2">
        <v>23.25</v>
      </c>
      <c r="H142" s="1">
        <v>46166.641079305555</v>
      </c>
      <c r="I142" s="1">
        <v>46166.64107957176</v>
      </c>
      <c r="J142" t="s">
        <v>15</v>
      </c>
      <c r="K142" t="s">
        <v>16</v>
      </c>
      <c r="L142" s="1">
        <v>46166.641079594905</v>
      </c>
    </row>
    <row r="143" spans="1:12" x14ac:dyDescent="0.25">
      <c r="A143" t="s">
        <v>1057</v>
      </c>
      <c r="B143" t="str">
        <f>resultado_db_usuario_10[[#This Row],[metodo]]&amp;" "&amp;SUBSTITUTE(resultado_db_usuario_10[[#This Row],[rota]],"/api/v1","")</f>
        <v>GET /aeronaves/</v>
      </c>
      <c r="C143" t="s">
        <v>12</v>
      </c>
      <c r="D143" t="s">
        <v>13</v>
      </c>
      <c r="E143" t="s">
        <v>14</v>
      </c>
      <c r="F143">
        <v>200</v>
      </c>
      <c r="G143" s="2">
        <v>28.29</v>
      </c>
      <c r="H143" s="1">
        <v>46166.641079606481</v>
      </c>
      <c r="I143" s="1">
        <v>46166.641079930552</v>
      </c>
      <c r="J143" t="s">
        <v>15</v>
      </c>
      <c r="K143" t="s">
        <v>16</v>
      </c>
      <c r="L143" s="1">
        <v>46166.641079953704</v>
      </c>
    </row>
    <row r="144" spans="1:12" x14ac:dyDescent="0.25">
      <c r="A144" t="s">
        <v>1080</v>
      </c>
      <c r="B144" t="str">
        <f>resultado_db_usuario_10[[#This Row],[metodo]]&amp;" "&amp;SUBSTITUTE(resultado_db_usuario_10[[#This Row],[rota]],"/api/v1","")</f>
        <v>GET /aeronaves/</v>
      </c>
      <c r="C144" t="s">
        <v>12</v>
      </c>
      <c r="D144" t="s">
        <v>13</v>
      </c>
      <c r="E144" t="s">
        <v>14</v>
      </c>
      <c r="F144">
        <v>200</v>
      </c>
      <c r="G144" s="2">
        <v>17.07</v>
      </c>
      <c r="H144" s="1">
        <v>46166.641080358793</v>
      </c>
      <c r="I144" s="1">
        <v>46166.641080555557</v>
      </c>
      <c r="J144" t="s">
        <v>15</v>
      </c>
      <c r="K144" t="s">
        <v>16</v>
      </c>
      <c r="L144" s="1">
        <v>46166.641080578702</v>
      </c>
    </row>
    <row r="145" spans="1:12" x14ac:dyDescent="0.25">
      <c r="A145" t="s">
        <v>1102</v>
      </c>
      <c r="B145" t="str">
        <f>resultado_db_usuario_10[[#This Row],[metodo]]&amp;" "&amp;SUBSTITUTE(resultado_db_usuario_10[[#This Row],[rota]],"/api/v1","")</f>
        <v>GET /aeronaves/</v>
      </c>
      <c r="C145" t="s">
        <v>12</v>
      </c>
      <c r="D145" t="s">
        <v>13</v>
      </c>
      <c r="E145" t="s">
        <v>14</v>
      </c>
      <c r="F145">
        <v>200</v>
      </c>
      <c r="G145" s="2">
        <v>26.36</v>
      </c>
      <c r="H145" s="1">
        <v>46166.641080740737</v>
      </c>
      <c r="I145" s="1">
        <v>46166.641081041664</v>
      </c>
      <c r="J145" t="s">
        <v>15</v>
      </c>
      <c r="K145" t="s">
        <v>16</v>
      </c>
      <c r="L145" s="1">
        <v>46166.641081064816</v>
      </c>
    </row>
    <row r="146" spans="1:12" x14ac:dyDescent="0.25">
      <c r="A146" t="s">
        <v>1127</v>
      </c>
      <c r="B146" t="str">
        <f>resultado_db_usuario_10[[#This Row],[metodo]]&amp;" "&amp;SUBSTITUTE(resultado_db_usuario_10[[#This Row],[rota]],"/api/v1","")</f>
        <v>GET /aeronaves/</v>
      </c>
      <c r="C146" t="s">
        <v>12</v>
      </c>
      <c r="D146" t="s">
        <v>13</v>
      </c>
      <c r="E146" t="s">
        <v>14</v>
      </c>
      <c r="F146">
        <v>200</v>
      </c>
      <c r="G146" s="2">
        <v>24.07</v>
      </c>
      <c r="H146" s="1">
        <v>46166.641081226851</v>
      </c>
      <c r="I146" s="1">
        <v>46166.641081504633</v>
      </c>
      <c r="J146" t="s">
        <v>15</v>
      </c>
      <c r="K146" t="s">
        <v>16</v>
      </c>
      <c r="L146" s="1">
        <v>46166.641081527778</v>
      </c>
    </row>
    <row r="147" spans="1:12" x14ac:dyDescent="0.25">
      <c r="A147" t="s">
        <v>1132</v>
      </c>
      <c r="B147" t="str">
        <f>resultado_db_usuario_10[[#This Row],[metodo]]&amp;" "&amp;SUBSTITUTE(resultado_db_usuario_10[[#This Row],[rota]],"/api/v1","")</f>
        <v>GET /aeronaves/</v>
      </c>
      <c r="C147" t="s">
        <v>12</v>
      </c>
      <c r="D147" t="s">
        <v>13</v>
      </c>
      <c r="E147" t="s">
        <v>14</v>
      </c>
      <c r="F147">
        <v>200</v>
      </c>
      <c r="G147" s="2">
        <v>31.3</v>
      </c>
      <c r="H147" s="1">
        <v>46166.641081412039</v>
      </c>
      <c r="I147" s="1">
        <v>46166.641081770831</v>
      </c>
      <c r="J147" t="s">
        <v>15</v>
      </c>
      <c r="K147" t="s">
        <v>16</v>
      </c>
      <c r="L147" s="1">
        <v>46166.641081793983</v>
      </c>
    </row>
    <row r="148" spans="1:12" x14ac:dyDescent="0.25">
      <c r="A148" t="s">
        <v>1134</v>
      </c>
      <c r="B148" t="str">
        <f>resultado_db_usuario_10[[#This Row],[metodo]]&amp;" "&amp;SUBSTITUTE(resultado_db_usuario_10[[#This Row],[rota]],"/api/v1","")</f>
        <v>GET /aeronaves/</v>
      </c>
      <c r="C148" t="s">
        <v>12</v>
      </c>
      <c r="D148" t="s">
        <v>13</v>
      </c>
      <c r="E148" t="s">
        <v>14</v>
      </c>
      <c r="F148">
        <v>200</v>
      </c>
      <c r="G148" s="2">
        <v>28.96</v>
      </c>
      <c r="H148" s="1">
        <v>46166.641081527778</v>
      </c>
      <c r="I148" s="1">
        <v>46166.641081863425</v>
      </c>
      <c r="J148" t="s">
        <v>15</v>
      </c>
      <c r="K148" t="s">
        <v>16</v>
      </c>
      <c r="L148" s="1">
        <v>46166.641081886577</v>
      </c>
    </row>
    <row r="149" spans="1:12" x14ac:dyDescent="0.25">
      <c r="A149" t="s">
        <v>1138</v>
      </c>
      <c r="B149" t="str">
        <f>resultado_db_usuario_10[[#This Row],[metodo]]&amp;" "&amp;SUBSTITUTE(resultado_db_usuario_10[[#This Row],[rota]],"/api/v1","")</f>
        <v>GET /aeronaves/</v>
      </c>
      <c r="C149" t="s">
        <v>12</v>
      </c>
      <c r="D149" t="s">
        <v>13</v>
      </c>
      <c r="E149" t="s">
        <v>14</v>
      </c>
      <c r="F149">
        <v>200</v>
      </c>
      <c r="G149" s="2">
        <v>35.47</v>
      </c>
      <c r="H149" s="1">
        <v>46166.641081550923</v>
      </c>
      <c r="I149" s="1">
        <v>46166.641081956019</v>
      </c>
      <c r="J149" t="s">
        <v>15</v>
      </c>
      <c r="K149" t="s">
        <v>16</v>
      </c>
      <c r="L149" s="1">
        <v>46166.641081979164</v>
      </c>
    </row>
    <row r="150" spans="1:12" x14ac:dyDescent="0.25">
      <c r="A150" t="s">
        <v>1139</v>
      </c>
      <c r="B150" t="str">
        <f>resultado_db_usuario_10[[#This Row],[metodo]]&amp;" "&amp;SUBSTITUTE(resultado_db_usuario_10[[#This Row],[rota]],"/api/v1","")</f>
        <v>GET /aeronaves/</v>
      </c>
      <c r="C150" t="s">
        <v>12</v>
      </c>
      <c r="D150" t="s">
        <v>13</v>
      </c>
      <c r="E150" t="s">
        <v>14</v>
      </c>
      <c r="F150">
        <v>200</v>
      </c>
      <c r="G150" s="2">
        <v>38.770000000000003</v>
      </c>
      <c r="H150" s="1">
        <v>46166.641081574075</v>
      </c>
      <c r="I150" s="1">
        <v>46166.64108202546</v>
      </c>
      <c r="J150" t="s">
        <v>15</v>
      </c>
      <c r="K150" t="s">
        <v>16</v>
      </c>
      <c r="L150" s="1">
        <v>46166.641082037037</v>
      </c>
    </row>
    <row r="151" spans="1:12" x14ac:dyDescent="0.25">
      <c r="A151" t="s">
        <v>1141</v>
      </c>
      <c r="B151" t="str">
        <f>resultado_db_usuario_10[[#This Row],[metodo]]&amp;" "&amp;SUBSTITUTE(resultado_db_usuario_10[[#This Row],[rota]],"/api/v1","")</f>
        <v>GET /aeronaves/</v>
      </c>
      <c r="C151" t="s">
        <v>12</v>
      </c>
      <c r="D151" t="s">
        <v>13</v>
      </c>
      <c r="E151" t="s">
        <v>14</v>
      </c>
      <c r="F151">
        <v>200</v>
      </c>
      <c r="G151" s="2">
        <v>41.02</v>
      </c>
      <c r="H151" s="1">
        <v>46166.641081759262</v>
      </c>
      <c r="I151" s="1">
        <v>46166.641082233793</v>
      </c>
      <c r="J151" t="s">
        <v>15</v>
      </c>
      <c r="K151" t="s">
        <v>16</v>
      </c>
      <c r="L151" s="1">
        <v>46166.641082245369</v>
      </c>
    </row>
    <row r="152" spans="1:12" x14ac:dyDescent="0.25">
      <c r="A152" t="s">
        <v>1168</v>
      </c>
      <c r="B152" t="str">
        <f>resultado_db_usuario_10[[#This Row],[metodo]]&amp;" "&amp;SUBSTITUTE(resultado_db_usuario_10[[#This Row],[rota]],"/api/v1","")</f>
        <v>GET /aeronaves/</v>
      </c>
      <c r="C152" t="s">
        <v>12</v>
      </c>
      <c r="D152" t="s">
        <v>13</v>
      </c>
      <c r="E152" t="s">
        <v>14</v>
      </c>
      <c r="F152">
        <v>200</v>
      </c>
      <c r="G152" s="2">
        <v>25.97</v>
      </c>
      <c r="H152" s="1">
        <v>46166.64108267361</v>
      </c>
      <c r="I152" s="1">
        <v>46166.641082974536</v>
      </c>
      <c r="J152" t="s">
        <v>15</v>
      </c>
      <c r="K152" t="s">
        <v>16</v>
      </c>
      <c r="L152" s="1">
        <v>46166.641082986112</v>
      </c>
    </row>
    <row r="153" spans="1:12" x14ac:dyDescent="0.25">
      <c r="A153" t="s">
        <v>1178</v>
      </c>
      <c r="B153" t="str">
        <f>resultado_db_usuario_10[[#This Row],[metodo]]&amp;" "&amp;SUBSTITUTE(resultado_db_usuario_10[[#This Row],[rota]],"/api/v1","")</f>
        <v>GET /aeronaves/</v>
      </c>
      <c r="C153" t="s">
        <v>12</v>
      </c>
      <c r="D153" t="s">
        <v>13</v>
      </c>
      <c r="E153" t="s">
        <v>14</v>
      </c>
      <c r="F153">
        <v>200</v>
      </c>
      <c r="G153" s="2">
        <v>43.67</v>
      </c>
      <c r="H153" s="1">
        <v>46166.641082858798</v>
      </c>
      <c r="I153" s="1">
        <v>46166.641083356481</v>
      </c>
      <c r="J153" t="s">
        <v>15</v>
      </c>
      <c r="K153" t="s">
        <v>16</v>
      </c>
      <c r="L153" s="1">
        <v>46166.641083379633</v>
      </c>
    </row>
    <row r="154" spans="1:12" x14ac:dyDescent="0.25">
      <c r="A154" t="s">
        <v>1204</v>
      </c>
      <c r="B154" t="str">
        <f>resultado_db_usuario_10[[#This Row],[metodo]]&amp;" "&amp;SUBSTITUTE(resultado_db_usuario_10[[#This Row],[rota]],"/api/v1","")</f>
        <v>GET /aeronaves/</v>
      </c>
      <c r="C154" t="s">
        <v>12</v>
      </c>
      <c r="D154" t="s">
        <v>13</v>
      </c>
      <c r="E154" t="s">
        <v>14</v>
      </c>
      <c r="F154">
        <v>200</v>
      </c>
      <c r="G154" s="2">
        <v>25.32</v>
      </c>
      <c r="H154" s="1">
        <v>46166.641083912036</v>
      </c>
      <c r="I154" s="1">
        <v>46166.641084212963</v>
      </c>
      <c r="J154" t="s">
        <v>15</v>
      </c>
      <c r="K154" t="s">
        <v>16</v>
      </c>
      <c r="L154" s="1">
        <v>46166.641084224539</v>
      </c>
    </row>
    <row r="155" spans="1:12" x14ac:dyDescent="0.25">
      <c r="A155" t="s">
        <v>1225</v>
      </c>
      <c r="B155" t="str">
        <f>resultado_db_usuario_10[[#This Row],[metodo]]&amp;" "&amp;SUBSTITUTE(resultado_db_usuario_10[[#This Row],[rota]],"/api/v1","")</f>
        <v>GET /aeronaves/</v>
      </c>
      <c r="C155" t="s">
        <v>12</v>
      </c>
      <c r="D155" t="s">
        <v>13</v>
      </c>
      <c r="E155" t="s">
        <v>14</v>
      </c>
      <c r="F155">
        <v>200</v>
      </c>
      <c r="G155" s="2">
        <v>24.59</v>
      </c>
      <c r="H155" s="1">
        <v>46166.641084340277</v>
      </c>
      <c r="I155" s="1">
        <v>46166.641084629628</v>
      </c>
      <c r="J155" t="s">
        <v>15</v>
      </c>
      <c r="K155" t="s">
        <v>16</v>
      </c>
      <c r="L155" s="1">
        <v>46166.641084641204</v>
      </c>
    </row>
    <row r="156" spans="1:12" x14ac:dyDescent="0.25">
      <c r="A156" t="s">
        <v>1243</v>
      </c>
      <c r="B156" t="str">
        <f>resultado_db_usuario_10[[#This Row],[metodo]]&amp;" "&amp;SUBSTITUTE(resultado_db_usuario_10[[#This Row],[rota]],"/api/v1","")</f>
        <v>GET /aeronaves/</v>
      </c>
      <c r="C156" t="s">
        <v>12</v>
      </c>
      <c r="D156" t="s">
        <v>13</v>
      </c>
      <c r="E156" t="s">
        <v>14</v>
      </c>
      <c r="F156">
        <v>200</v>
      </c>
      <c r="G156" s="2">
        <v>23.87</v>
      </c>
      <c r="H156" s="1">
        <v>46166.641084930554</v>
      </c>
      <c r="I156" s="1">
        <v>46166.641085208335</v>
      </c>
      <c r="J156" t="s">
        <v>15</v>
      </c>
      <c r="K156" t="s">
        <v>16</v>
      </c>
      <c r="L156" s="1">
        <v>46166.641085219904</v>
      </c>
    </row>
    <row r="157" spans="1:12" x14ac:dyDescent="0.25">
      <c r="A157" t="s">
        <v>1244</v>
      </c>
      <c r="B157" t="str">
        <f>resultado_db_usuario_10[[#This Row],[metodo]]&amp;" "&amp;SUBSTITUTE(resultado_db_usuario_10[[#This Row],[rota]],"/api/v1","")</f>
        <v>GET /aeronaves/</v>
      </c>
      <c r="C157" t="s">
        <v>12</v>
      </c>
      <c r="D157" t="s">
        <v>13</v>
      </c>
      <c r="E157" t="s">
        <v>14</v>
      </c>
      <c r="F157">
        <v>200</v>
      </c>
      <c r="G157" s="2">
        <v>28.69</v>
      </c>
      <c r="H157" s="1">
        <v>46166.641084930554</v>
      </c>
      <c r="I157" s="1">
        <v>46166.641085266201</v>
      </c>
      <c r="J157" t="s">
        <v>15</v>
      </c>
      <c r="K157" t="s">
        <v>16</v>
      </c>
      <c r="L157" s="1">
        <v>46166.641085289353</v>
      </c>
    </row>
    <row r="158" spans="1:12" x14ac:dyDescent="0.25">
      <c r="A158" t="s">
        <v>1245</v>
      </c>
      <c r="B158" t="str">
        <f>resultado_db_usuario_10[[#This Row],[metodo]]&amp;" "&amp;SUBSTITUTE(resultado_db_usuario_10[[#This Row],[rota]],"/api/v1","")</f>
        <v>GET /aeronaves/</v>
      </c>
      <c r="C158" t="s">
        <v>12</v>
      </c>
      <c r="D158" t="s">
        <v>13</v>
      </c>
      <c r="E158" t="s">
        <v>14</v>
      </c>
      <c r="F158">
        <v>200</v>
      </c>
      <c r="G158" s="2">
        <v>32.25</v>
      </c>
      <c r="H158" s="1">
        <v>46166.64108494213</v>
      </c>
      <c r="I158" s="1">
        <v>46166.641085312498</v>
      </c>
      <c r="J158" t="s">
        <v>15</v>
      </c>
      <c r="K158" t="s">
        <v>16</v>
      </c>
      <c r="L158" s="1">
        <v>46166.64108533565</v>
      </c>
    </row>
    <row r="159" spans="1:12" x14ac:dyDescent="0.25">
      <c r="A159" t="s">
        <v>1246</v>
      </c>
      <c r="B159" t="str">
        <f>resultado_db_usuario_10[[#This Row],[metodo]]&amp;" "&amp;SUBSTITUTE(resultado_db_usuario_10[[#This Row],[rota]],"/api/v1","")</f>
        <v>GET /aeronaves/</v>
      </c>
      <c r="C159" t="s">
        <v>12</v>
      </c>
      <c r="D159" t="s">
        <v>13</v>
      </c>
      <c r="E159" t="s">
        <v>14</v>
      </c>
      <c r="F159">
        <v>200</v>
      </c>
      <c r="G159" s="2">
        <v>35.56</v>
      </c>
      <c r="H159" s="1">
        <v>46166.641084953706</v>
      </c>
      <c r="I159" s="1">
        <v>46166.641085370371</v>
      </c>
      <c r="J159" t="s">
        <v>15</v>
      </c>
      <c r="K159" t="s">
        <v>16</v>
      </c>
      <c r="L159" s="1">
        <v>46166.641085381947</v>
      </c>
    </row>
    <row r="160" spans="1:12" x14ac:dyDescent="0.25">
      <c r="A160" t="s">
        <v>1247</v>
      </c>
      <c r="B160" t="str">
        <f>resultado_db_usuario_10[[#This Row],[metodo]]&amp;" "&amp;SUBSTITUTE(resultado_db_usuario_10[[#This Row],[rota]],"/api/v1","")</f>
        <v>GET /aeronaves/</v>
      </c>
      <c r="C160" t="s">
        <v>12</v>
      </c>
      <c r="D160" t="s">
        <v>13</v>
      </c>
      <c r="E160" t="s">
        <v>14</v>
      </c>
      <c r="F160">
        <v>200</v>
      </c>
      <c r="G160" s="2">
        <v>39.89</v>
      </c>
      <c r="H160" s="1">
        <v>46166.641084965275</v>
      </c>
      <c r="I160" s="1">
        <v>46166.641085428244</v>
      </c>
      <c r="J160" t="s">
        <v>15</v>
      </c>
      <c r="K160" t="s">
        <v>16</v>
      </c>
      <c r="L160" s="1">
        <v>46166.641085439813</v>
      </c>
    </row>
    <row r="161" spans="1:12" x14ac:dyDescent="0.25">
      <c r="A161" t="s">
        <v>1260</v>
      </c>
      <c r="B161" t="str">
        <f>resultado_db_usuario_10[[#This Row],[metodo]]&amp;" "&amp;SUBSTITUTE(resultado_db_usuario_10[[#This Row],[rota]],"/api/v1","")</f>
        <v>GET /aeronaves/</v>
      </c>
      <c r="C161" t="s">
        <v>12</v>
      </c>
      <c r="D161" t="s">
        <v>13</v>
      </c>
      <c r="E161" t="s">
        <v>14</v>
      </c>
      <c r="F161">
        <v>200</v>
      </c>
      <c r="G161" s="2">
        <v>24.7</v>
      </c>
      <c r="H161" s="1">
        <v>46166.641085428244</v>
      </c>
      <c r="I161" s="1">
        <v>46166.641085717594</v>
      </c>
      <c r="J161" t="s">
        <v>15</v>
      </c>
      <c r="K161" t="s">
        <v>16</v>
      </c>
      <c r="L161" s="1">
        <v>46166.64108572917</v>
      </c>
    </row>
    <row r="162" spans="1:12" x14ac:dyDescent="0.25">
      <c r="A162" t="s">
        <v>1279</v>
      </c>
      <c r="B162" t="str">
        <f>resultado_db_usuario_10[[#This Row],[metodo]]&amp;" "&amp;SUBSTITUTE(resultado_db_usuario_10[[#This Row],[rota]],"/api/v1","")</f>
        <v>GET /aeronaves/</v>
      </c>
      <c r="C162" t="s">
        <v>12</v>
      </c>
      <c r="D162" t="s">
        <v>13</v>
      </c>
      <c r="E162" t="s">
        <v>14</v>
      </c>
      <c r="F162">
        <v>200</v>
      </c>
      <c r="G162" s="2">
        <v>20.46</v>
      </c>
      <c r="H162" s="1">
        <v>46166.641086018521</v>
      </c>
      <c r="I162" s="1">
        <v>46166.641086261574</v>
      </c>
      <c r="J162" t="s">
        <v>15</v>
      </c>
      <c r="K162" t="s">
        <v>16</v>
      </c>
      <c r="L162" s="1">
        <v>46166.64108627315</v>
      </c>
    </row>
    <row r="163" spans="1:12" x14ac:dyDescent="0.25">
      <c r="A163" t="s">
        <v>1291</v>
      </c>
      <c r="B163" t="str">
        <f>resultado_db_usuario_10[[#This Row],[metodo]]&amp;" "&amp;SUBSTITUTE(resultado_db_usuario_10[[#This Row],[rota]],"/api/v1","")</f>
        <v>GET /aeronaves/</v>
      </c>
      <c r="C163" t="s">
        <v>12</v>
      </c>
      <c r="D163" t="s">
        <v>13</v>
      </c>
      <c r="E163" t="s">
        <v>14</v>
      </c>
      <c r="F163">
        <v>200</v>
      </c>
      <c r="G163" s="2">
        <v>25.73</v>
      </c>
      <c r="H163" s="1">
        <v>46166.64108627315</v>
      </c>
      <c r="I163" s="1">
        <v>46166.6410865625</v>
      </c>
      <c r="J163" t="s">
        <v>15</v>
      </c>
      <c r="K163" t="s">
        <v>16</v>
      </c>
      <c r="L163" s="1">
        <v>46166.641086585645</v>
      </c>
    </row>
    <row r="164" spans="1:12" x14ac:dyDescent="0.25">
      <c r="A164" t="s">
        <v>1314</v>
      </c>
      <c r="B164" t="str">
        <f>resultado_db_usuario_10[[#This Row],[metodo]]&amp;" "&amp;SUBSTITUTE(resultado_db_usuario_10[[#This Row],[rota]],"/api/v1","")</f>
        <v>GET /aeronaves/</v>
      </c>
      <c r="C164" t="s">
        <v>12</v>
      </c>
      <c r="D164" t="s">
        <v>13</v>
      </c>
      <c r="E164" t="s">
        <v>14</v>
      </c>
      <c r="F164">
        <v>200</v>
      </c>
      <c r="G164" s="2">
        <v>25.61</v>
      </c>
      <c r="H164" s="1">
        <v>46166.6410869213</v>
      </c>
      <c r="I164" s="1">
        <v>46166.641087222219</v>
      </c>
      <c r="J164" t="s">
        <v>15</v>
      </c>
      <c r="K164" t="s">
        <v>16</v>
      </c>
      <c r="L164" s="1">
        <v>46166.641087233795</v>
      </c>
    </row>
    <row r="165" spans="1:12" x14ac:dyDescent="0.25">
      <c r="A165" t="s">
        <v>1335</v>
      </c>
      <c r="B165" t="str">
        <f>resultado_db_usuario_10[[#This Row],[metodo]]&amp;" "&amp;SUBSTITUTE(resultado_db_usuario_10[[#This Row],[rota]],"/api/v1","")</f>
        <v>GET /aeronaves/</v>
      </c>
      <c r="C165" t="s">
        <v>12</v>
      </c>
      <c r="D165" t="s">
        <v>13</v>
      </c>
      <c r="E165" t="s">
        <v>14</v>
      </c>
      <c r="F165">
        <v>200</v>
      </c>
      <c r="G165" s="2">
        <v>24.49</v>
      </c>
      <c r="H165" s="1">
        <v>46166.64108739583</v>
      </c>
      <c r="I165" s="1">
        <v>46166.641087673612</v>
      </c>
      <c r="J165" t="s">
        <v>15</v>
      </c>
      <c r="K165" t="s">
        <v>16</v>
      </c>
      <c r="L165" s="1">
        <v>46166.641087696757</v>
      </c>
    </row>
    <row r="166" spans="1:12" x14ac:dyDescent="0.25">
      <c r="A166" t="s">
        <v>1352</v>
      </c>
      <c r="B166" t="str">
        <f>resultado_db_usuario_10[[#This Row],[metodo]]&amp;" "&amp;SUBSTITUTE(resultado_db_usuario_10[[#This Row],[rota]],"/api/v1","")</f>
        <v>GET /aeronaves/</v>
      </c>
      <c r="C166" t="s">
        <v>12</v>
      </c>
      <c r="D166" t="s">
        <v>13</v>
      </c>
      <c r="E166" t="s">
        <v>14</v>
      </c>
      <c r="F166">
        <v>200</v>
      </c>
      <c r="G166" s="2">
        <v>24.72</v>
      </c>
      <c r="H166" s="1">
        <v>46166.641087881944</v>
      </c>
      <c r="I166" s="1">
        <v>46166.641088171295</v>
      </c>
      <c r="J166" t="s">
        <v>15</v>
      </c>
      <c r="K166" t="s">
        <v>16</v>
      </c>
      <c r="L166" s="1">
        <v>46166.641088194447</v>
      </c>
    </row>
    <row r="167" spans="1:12" x14ac:dyDescent="0.25">
      <c r="A167" t="s">
        <v>1353</v>
      </c>
      <c r="B167" t="str">
        <f>resultado_db_usuario_10[[#This Row],[metodo]]&amp;" "&amp;SUBSTITUTE(resultado_db_usuario_10[[#This Row],[rota]],"/api/v1","")</f>
        <v>GET /aeronaves/</v>
      </c>
      <c r="C167" t="s">
        <v>12</v>
      </c>
      <c r="D167" t="s">
        <v>13</v>
      </c>
      <c r="E167" t="s">
        <v>14</v>
      </c>
      <c r="F167">
        <v>200</v>
      </c>
      <c r="G167" s="2">
        <v>26.86</v>
      </c>
      <c r="H167" s="1">
        <v>46166.641087928241</v>
      </c>
      <c r="I167" s="1">
        <v>46166.641088240744</v>
      </c>
      <c r="J167" t="s">
        <v>15</v>
      </c>
      <c r="K167" t="s">
        <v>16</v>
      </c>
      <c r="L167" s="1">
        <v>46166.641088263888</v>
      </c>
    </row>
    <row r="168" spans="1:12" x14ac:dyDescent="0.25">
      <c r="A168" t="s">
        <v>1354</v>
      </c>
      <c r="B168" t="str">
        <f>resultado_db_usuario_10[[#This Row],[metodo]]&amp;" "&amp;SUBSTITUTE(resultado_db_usuario_10[[#This Row],[rota]],"/api/v1","")</f>
        <v>GET /aeronaves/</v>
      </c>
      <c r="C168" t="s">
        <v>12</v>
      </c>
      <c r="D168" t="s">
        <v>13</v>
      </c>
      <c r="E168" t="s">
        <v>14</v>
      </c>
      <c r="F168">
        <v>200</v>
      </c>
      <c r="G168" s="2">
        <v>31.55</v>
      </c>
      <c r="H168" s="1">
        <v>46166.641087939817</v>
      </c>
      <c r="I168" s="1">
        <v>46166.641088298609</v>
      </c>
      <c r="J168" t="s">
        <v>15</v>
      </c>
      <c r="K168" t="s">
        <v>16</v>
      </c>
      <c r="L168" s="1">
        <v>46166.641088321761</v>
      </c>
    </row>
    <row r="169" spans="1:12" x14ac:dyDescent="0.25">
      <c r="A169" t="s">
        <v>1355</v>
      </c>
      <c r="B169" t="str">
        <f>resultado_db_usuario_10[[#This Row],[metodo]]&amp;" "&amp;SUBSTITUTE(resultado_db_usuario_10[[#This Row],[rota]],"/api/v1","")</f>
        <v>GET /aeronaves/</v>
      </c>
      <c r="C169" t="s">
        <v>12</v>
      </c>
      <c r="D169" t="s">
        <v>13</v>
      </c>
      <c r="E169" t="s">
        <v>14</v>
      </c>
      <c r="F169">
        <v>200</v>
      </c>
      <c r="G169" s="2">
        <v>35.93</v>
      </c>
      <c r="H169" s="1">
        <v>46166.641087951386</v>
      </c>
      <c r="I169" s="1">
        <v>46166.641088368058</v>
      </c>
      <c r="J169" t="s">
        <v>15</v>
      </c>
      <c r="K169" t="s">
        <v>16</v>
      </c>
      <c r="L169" s="1">
        <v>46166.641088391203</v>
      </c>
    </row>
    <row r="170" spans="1:12" x14ac:dyDescent="0.25">
      <c r="A170" t="s">
        <v>1370</v>
      </c>
      <c r="B170" t="str">
        <f>resultado_db_usuario_10[[#This Row],[metodo]]&amp;" "&amp;SUBSTITUTE(resultado_db_usuario_10[[#This Row],[rota]],"/api/v1","")</f>
        <v>GET /aeronaves/</v>
      </c>
      <c r="C170" t="s">
        <v>12</v>
      </c>
      <c r="D170" t="s">
        <v>13</v>
      </c>
      <c r="E170" t="s">
        <v>14</v>
      </c>
      <c r="F170">
        <v>200</v>
      </c>
      <c r="G170" s="2">
        <v>22.41</v>
      </c>
      <c r="H170" s="1">
        <v>46166.641088518518</v>
      </c>
      <c r="I170" s="1">
        <v>46166.641088784723</v>
      </c>
      <c r="J170" t="s">
        <v>15</v>
      </c>
      <c r="K170" t="s">
        <v>16</v>
      </c>
      <c r="L170" s="1">
        <v>46166.641088796299</v>
      </c>
    </row>
    <row r="171" spans="1:12" x14ac:dyDescent="0.25">
      <c r="A171" t="s">
        <v>1392</v>
      </c>
      <c r="B171" t="str">
        <f>resultado_db_usuario_10[[#This Row],[metodo]]&amp;" "&amp;SUBSTITUTE(resultado_db_usuario_10[[#This Row],[rota]],"/api/v1","")</f>
        <v>GET /aeronaves/</v>
      </c>
      <c r="C171" t="s">
        <v>12</v>
      </c>
      <c r="D171" t="s">
        <v>13</v>
      </c>
      <c r="E171" t="s">
        <v>14</v>
      </c>
      <c r="F171">
        <v>200</v>
      </c>
      <c r="G171" s="2">
        <v>21.29</v>
      </c>
      <c r="H171" s="1">
        <v>46166.64108912037</v>
      </c>
      <c r="I171" s="1">
        <v>46166.641089363424</v>
      </c>
      <c r="J171" t="s">
        <v>15</v>
      </c>
      <c r="K171" t="s">
        <v>16</v>
      </c>
      <c r="L171" s="1">
        <v>46166.641089386576</v>
      </c>
    </row>
    <row r="172" spans="1:12" x14ac:dyDescent="0.25">
      <c r="A172" t="s">
        <v>1403</v>
      </c>
      <c r="B172" t="str">
        <f>resultado_db_usuario_10[[#This Row],[metodo]]&amp;" "&amp;SUBSTITUTE(resultado_db_usuario_10[[#This Row],[rota]],"/api/v1","")</f>
        <v>GET /aeronaves/</v>
      </c>
      <c r="C172" t="s">
        <v>12</v>
      </c>
      <c r="D172" t="s">
        <v>13</v>
      </c>
      <c r="E172" t="s">
        <v>14</v>
      </c>
      <c r="F172">
        <v>200</v>
      </c>
      <c r="G172" s="2">
        <v>26.58</v>
      </c>
      <c r="H172" s="1">
        <v>46166.641089386576</v>
      </c>
      <c r="I172" s="1">
        <v>46166.641089687502</v>
      </c>
      <c r="J172" t="s">
        <v>15</v>
      </c>
      <c r="K172" t="s">
        <v>16</v>
      </c>
      <c r="L172" s="1">
        <v>46166.641089699071</v>
      </c>
    </row>
    <row r="173" spans="1:12" x14ac:dyDescent="0.25">
      <c r="A173" t="s">
        <v>1425</v>
      </c>
      <c r="B173" t="str">
        <f>resultado_db_usuario_10[[#This Row],[metodo]]&amp;" "&amp;SUBSTITUTE(resultado_db_usuario_10[[#This Row],[rota]],"/api/v1","")</f>
        <v>GET /aeronaves/</v>
      </c>
      <c r="C173" t="s">
        <v>12</v>
      </c>
      <c r="D173" t="s">
        <v>13</v>
      </c>
      <c r="E173" t="s">
        <v>14</v>
      </c>
      <c r="F173">
        <v>200</v>
      </c>
      <c r="G173" s="2">
        <v>20.61</v>
      </c>
      <c r="H173" s="1">
        <v>46166.641090046294</v>
      </c>
      <c r="I173" s="1">
        <v>46166.641090277779</v>
      </c>
      <c r="J173" t="s">
        <v>15</v>
      </c>
      <c r="K173" t="s">
        <v>16</v>
      </c>
      <c r="L173" s="1">
        <v>46166.641090300924</v>
      </c>
    </row>
    <row r="174" spans="1:12" x14ac:dyDescent="0.25">
      <c r="A174" t="s">
        <v>1442</v>
      </c>
      <c r="B174" t="str">
        <f>resultado_db_usuario_10[[#This Row],[metodo]]&amp;" "&amp;SUBSTITUTE(resultado_db_usuario_10[[#This Row],[rota]],"/api/v1","")</f>
        <v>GET /aeronaves/</v>
      </c>
      <c r="C174" t="s">
        <v>12</v>
      </c>
      <c r="D174" t="s">
        <v>13</v>
      </c>
      <c r="E174" t="s">
        <v>14</v>
      </c>
      <c r="F174">
        <v>200</v>
      </c>
      <c r="G174" s="2">
        <v>23.89</v>
      </c>
      <c r="H174" s="1">
        <v>46166.64109045139</v>
      </c>
      <c r="I174" s="1">
        <v>46166.641090729165</v>
      </c>
      <c r="J174" t="s">
        <v>15</v>
      </c>
      <c r="K174" t="s">
        <v>16</v>
      </c>
      <c r="L174" s="1">
        <v>46166.641090740741</v>
      </c>
    </row>
    <row r="175" spans="1:12" x14ac:dyDescent="0.25">
      <c r="A175" t="s">
        <v>1447</v>
      </c>
      <c r="B175" t="str">
        <f>resultado_db_usuario_10[[#This Row],[metodo]]&amp;" "&amp;SUBSTITUTE(resultado_db_usuario_10[[#This Row],[rota]],"/api/v1","")</f>
        <v>GET /aeronaves/</v>
      </c>
      <c r="C175" t="s">
        <v>12</v>
      </c>
      <c r="D175" t="s">
        <v>13</v>
      </c>
      <c r="E175" t="s">
        <v>14</v>
      </c>
      <c r="F175">
        <v>200</v>
      </c>
      <c r="G175" s="2">
        <v>20.350000000000001</v>
      </c>
      <c r="H175" s="1">
        <v>46166.641090659723</v>
      </c>
      <c r="I175" s="1">
        <v>46166.641090902776</v>
      </c>
      <c r="J175" t="s">
        <v>15</v>
      </c>
      <c r="K175" t="s">
        <v>16</v>
      </c>
      <c r="L175" s="1">
        <v>46166.641090914352</v>
      </c>
    </row>
    <row r="176" spans="1:12" x14ac:dyDescent="0.25">
      <c r="A176" t="s">
        <v>1451</v>
      </c>
      <c r="B176" t="str">
        <f>resultado_db_usuario_10[[#This Row],[metodo]]&amp;" "&amp;SUBSTITUTE(resultado_db_usuario_10[[#This Row],[rota]],"/api/v1","")</f>
        <v>GET /aeronaves/</v>
      </c>
      <c r="C176" t="s">
        <v>12</v>
      </c>
      <c r="D176" t="s">
        <v>13</v>
      </c>
      <c r="E176" t="s">
        <v>14</v>
      </c>
      <c r="F176">
        <v>200</v>
      </c>
      <c r="G176" s="2">
        <v>19.84</v>
      </c>
      <c r="H176" s="1">
        <v>46166.641090856479</v>
      </c>
      <c r="I176" s="1">
        <v>46166.641091087964</v>
      </c>
      <c r="J176" t="s">
        <v>15</v>
      </c>
      <c r="K176" t="s">
        <v>16</v>
      </c>
      <c r="L176" s="1">
        <v>46166.64109109954</v>
      </c>
    </row>
    <row r="177" spans="1:12" x14ac:dyDescent="0.25">
      <c r="A177" t="s">
        <v>1452</v>
      </c>
      <c r="B177" t="str">
        <f>resultado_db_usuario_10[[#This Row],[metodo]]&amp;" "&amp;SUBSTITUTE(resultado_db_usuario_10[[#This Row],[rota]],"/api/v1","")</f>
        <v>GET /aeronaves/</v>
      </c>
      <c r="C177" t="s">
        <v>12</v>
      </c>
      <c r="D177" t="s">
        <v>13</v>
      </c>
      <c r="E177" t="s">
        <v>14</v>
      </c>
      <c r="F177">
        <v>200</v>
      </c>
      <c r="G177" s="2">
        <v>24.76</v>
      </c>
      <c r="H177" s="1">
        <v>46166.641090879632</v>
      </c>
      <c r="I177" s="1">
        <v>46166.641091168982</v>
      </c>
      <c r="J177" t="s">
        <v>15</v>
      </c>
      <c r="K177" t="s">
        <v>16</v>
      </c>
      <c r="L177" s="1">
        <v>46166.641091180558</v>
      </c>
    </row>
    <row r="178" spans="1:12" x14ac:dyDescent="0.25">
      <c r="A178" t="s">
        <v>1467</v>
      </c>
      <c r="B178" t="str">
        <f>resultado_db_usuario_10[[#This Row],[metodo]]&amp;" "&amp;SUBSTITUTE(resultado_db_usuario_10[[#This Row],[rota]],"/api/v1","")</f>
        <v>GET /aeronaves/</v>
      </c>
      <c r="C178" t="s">
        <v>12</v>
      </c>
      <c r="D178" t="s">
        <v>13</v>
      </c>
      <c r="E178" t="s">
        <v>14</v>
      </c>
      <c r="F178">
        <v>200</v>
      </c>
      <c r="G178" s="2">
        <v>21.87</v>
      </c>
      <c r="H178" s="1">
        <v>46166.641091354169</v>
      </c>
      <c r="I178" s="1">
        <v>46166.641091608799</v>
      </c>
      <c r="J178" t="s">
        <v>15</v>
      </c>
      <c r="K178" t="s">
        <v>16</v>
      </c>
      <c r="L178" s="1">
        <v>46166.641091620368</v>
      </c>
    </row>
    <row r="179" spans="1:12" x14ac:dyDescent="0.25">
      <c r="A179" t="s">
        <v>1482</v>
      </c>
      <c r="B179" t="str">
        <f>resultado_db_usuario_10[[#This Row],[metodo]]&amp;" "&amp;SUBSTITUTE(resultado_db_usuario_10[[#This Row],[rota]],"/api/v1","")</f>
        <v>GET /aeronaves/</v>
      </c>
      <c r="C179" t="s">
        <v>12</v>
      </c>
      <c r="D179" t="s">
        <v>13</v>
      </c>
      <c r="E179" t="s">
        <v>14</v>
      </c>
      <c r="F179">
        <v>200</v>
      </c>
      <c r="G179" s="2">
        <v>21.24</v>
      </c>
      <c r="H179" s="1">
        <v>46166.641091736114</v>
      </c>
      <c r="I179" s="1">
        <v>46166.641091979167</v>
      </c>
      <c r="J179" t="s">
        <v>15</v>
      </c>
      <c r="K179" t="s">
        <v>16</v>
      </c>
      <c r="L179" s="1">
        <v>46166.641092002312</v>
      </c>
    </row>
    <row r="180" spans="1:12" x14ac:dyDescent="0.25">
      <c r="A180" t="s">
        <v>1494</v>
      </c>
      <c r="B180" t="str">
        <f>resultado_db_usuario_10[[#This Row],[metodo]]&amp;" "&amp;SUBSTITUTE(resultado_db_usuario_10[[#This Row],[rota]],"/api/v1","")</f>
        <v>GET /aeronaves/</v>
      </c>
      <c r="C180" t="s">
        <v>12</v>
      </c>
      <c r="D180" t="s">
        <v>13</v>
      </c>
      <c r="E180" t="s">
        <v>14</v>
      </c>
      <c r="F180">
        <v>200</v>
      </c>
      <c r="G180" s="2">
        <v>18.43</v>
      </c>
      <c r="H180" s="1">
        <v>46166.641092106482</v>
      </c>
      <c r="I180" s="1">
        <v>46166.64109232639</v>
      </c>
      <c r="J180" t="s">
        <v>15</v>
      </c>
      <c r="K180" t="s">
        <v>16</v>
      </c>
      <c r="L180" s="1">
        <v>46166.641092337966</v>
      </c>
    </row>
    <row r="181" spans="1:12" x14ac:dyDescent="0.25">
      <c r="A181" t="s">
        <v>1519</v>
      </c>
      <c r="B181" t="str">
        <f>resultado_db_usuario_10[[#This Row],[metodo]]&amp;" "&amp;SUBSTITUTE(resultado_db_usuario_10[[#This Row],[rota]],"/api/v1","")</f>
        <v>GET /aeronaves/</v>
      </c>
      <c r="C181" t="s">
        <v>12</v>
      </c>
      <c r="D181" t="s">
        <v>13</v>
      </c>
      <c r="E181" t="s">
        <v>14</v>
      </c>
      <c r="F181">
        <v>200</v>
      </c>
      <c r="G181" s="2">
        <v>19.54</v>
      </c>
      <c r="H181" s="1">
        <v>46166.641092673613</v>
      </c>
      <c r="I181" s="1">
        <v>46166.641092893522</v>
      </c>
      <c r="J181" t="s">
        <v>15</v>
      </c>
      <c r="K181" t="s">
        <v>16</v>
      </c>
      <c r="L181" s="1">
        <v>46166.641092916667</v>
      </c>
    </row>
    <row r="182" spans="1:12" x14ac:dyDescent="0.25">
      <c r="A182" t="s">
        <v>1530</v>
      </c>
      <c r="B182" t="str">
        <f>resultado_db_usuario_10[[#This Row],[metodo]]&amp;" "&amp;SUBSTITUTE(resultado_db_usuario_10[[#This Row],[rota]],"/api/v1","")</f>
        <v>GET /aeronaves/</v>
      </c>
      <c r="C182" t="s">
        <v>12</v>
      </c>
      <c r="D182" t="s">
        <v>13</v>
      </c>
      <c r="E182" t="s">
        <v>14</v>
      </c>
      <c r="F182">
        <v>200</v>
      </c>
      <c r="G182" s="2">
        <v>22.15</v>
      </c>
      <c r="H182" s="1">
        <v>46166.641092962964</v>
      </c>
      <c r="I182" s="1">
        <v>46166.641093217593</v>
      </c>
      <c r="J182" t="s">
        <v>15</v>
      </c>
      <c r="K182" t="s">
        <v>16</v>
      </c>
      <c r="L182" s="1">
        <v>46166.641093240738</v>
      </c>
    </row>
    <row r="183" spans="1:12" x14ac:dyDescent="0.25">
      <c r="A183" t="s">
        <v>1535</v>
      </c>
      <c r="B183" t="str">
        <f>resultado_db_usuario_10[[#This Row],[metodo]]&amp;" "&amp;SUBSTITUTE(resultado_db_usuario_10[[#This Row],[rota]],"/api/v1","")</f>
        <v>GET /aeronaves/</v>
      </c>
      <c r="C183" t="s">
        <v>12</v>
      </c>
      <c r="D183" t="s">
        <v>13</v>
      </c>
      <c r="E183" t="s">
        <v>14</v>
      </c>
      <c r="F183">
        <v>200</v>
      </c>
      <c r="G183" s="2">
        <v>25.63</v>
      </c>
      <c r="H183" s="1">
        <v>46166.641093090278</v>
      </c>
      <c r="I183" s="1">
        <v>46166.641093379629</v>
      </c>
      <c r="J183" t="s">
        <v>15</v>
      </c>
      <c r="K183" t="s">
        <v>16</v>
      </c>
      <c r="L183" s="1">
        <v>46166.641093402781</v>
      </c>
    </row>
    <row r="184" spans="1:12" x14ac:dyDescent="0.25">
      <c r="A184" t="s">
        <v>1540</v>
      </c>
      <c r="B184" t="str">
        <f>resultado_db_usuario_10[[#This Row],[metodo]]&amp;" "&amp;SUBSTITUTE(resultado_db_usuario_10[[#This Row],[rota]],"/api/v1","")</f>
        <v>GET /aeronaves/</v>
      </c>
      <c r="C184" t="s">
        <v>12</v>
      </c>
      <c r="D184" t="s">
        <v>13</v>
      </c>
      <c r="E184" t="s">
        <v>14</v>
      </c>
      <c r="F184">
        <v>200</v>
      </c>
      <c r="G184" s="2">
        <v>26.12</v>
      </c>
      <c r="H184" s="1">
        <v>46166.641093275466</v>
      </c>
      <c r="I184" s="1">
        <v>46166.641093576392</v>
      </c>
      <c r="J184" t="s">
        <v>15</v>
      </c>
      <c r="K184" t="s">
        <v>16</v>
      </c>
      <c r="L184" s="1">
        <v>46166.641093587961</v>
      </c>
    </row>
    <row r="185" spans="1:12" x14ac:dyDescent="0.25">
      <c r="A185" t="s">
        <v>1544</v>
      </c>
      <c r="B185" t="str">
        <f>resultado_db_usuario_10[[#This Row],[metodo]]&amp;" "&amp;SUBSTITUTE(resultado_db_usuario_10[[#This Row],[rota]],"/api/v1","")</f>
        <v>GET /aeronaves/</v>
      </c>
      <c r="C185" t="s">
        <v>12</v>
      </c>
      <c r="D185" t="s">
        <v>13</v>
      </c>
      <c r="E185" t="s">
        <v>14</v>
      </c>
      <c r="F185">
        <v>200</v>
      </c>
      <c r="G185" s="2">
        <v>25.84</v>
      </c>
      <c r="H185" s="1">
        <v>46166.641093460647</v>
      </c>
      <c r="I185" s="1">
        <v>46166.641093761573</v>
      </c>
      <c r="J185" t="s">
        <v>15</v>
      </c>
      <c r="K185" t="s">
        <v>16</v>
      </c>
      <c r="L185" s="1">
        <v>46166.641093773149</v>
      </c>
    </row>
    <row r="186" spans="1:12" x14ac:dyDescent="0.25">
      <c r="A186" t="s">
        <v>1559</v>
      </c>
      <c r="B186" t="str">
        <f>resultado_db_usuario_10[[#This Row],[metodo]]&amp;" "&amp;SUBSTITUTE(resultado_db_usuario_10[[#This Row],[rota]],"/api/v1","")</f>
        <v>GET /aeronaves/</v>
      </c>
      <c r="C186" t="s">
        <v>12</v>
      </c>
      <c r="D186" t="s">
        <v>13</v>
      </c>
      <c r="E186" t="s">
        <v>14</v>
      </c>
      <c r="F186">
        <v>200</v>
      </c>
      <c r="G186" s="2">
        <v>20.79</v>
      </c>
      <c r="H186" s="1">
        <v>46166.641093888888</v>
      </c>
      <c r="I186" s="1">
        <v>46166.641094131941</v>
      </c>
      <c r="J186" t="s">
        <v>15</v>
      </c>
      <c r="K186" t="s">
        <v>16</v>
      </c>
      <c r="L186" s="1">
        <v>46166.641094143517</v>
      </c>
    </row>
    <row r="187" spans="1:12" x14ac:dyDescent="0.25">
      <c r="A187" t="s">
        <v>1587</v>
      </c>
      <c r="B187" t="str">
        <f>resultado_db_usuario_10[[#This Row],[metodo]]&amp;" "&amp;SUBSTITUTE(resultado_db_usuario_10[[#This Row],[rota]],"/api/v1","")</f>
        <v>GET /aeronaves/</v>
      </c>
      <c r="C187" t="s">
        <v>12</v>
      </c>
      <c r="D187" t="s">
        <v>13</v>
      </c>
      <c r="E187" t="s">
        <v>14</v>
      </c>
      <c r="F187">
        <v>200</v>
      </c>
      <c r="G187" s="2">
        <v>20.04</v>
      </c>
      <c r="H187" s="1">
        <v>46166.641094664352</v>
      </c>
      <c r="I187" s="1">
        <v>46166.641094895836</v>
      </c>
      <c r="J187" t="s">
        <v>15</v>
      </c>
      <c r="K187" t="s">
        <v>16</v>
      </c>
      <c r="L187" s="1">
        <v>46166.641094907405</v>
      </c>
    </row>
    <row r="188" spans="1:12" x14ac:dyDescent="0.25">
      <c r="A188" t="s">
        <v>1609</v>
      </c>
      <c r="B188" t="str">
        <f>resultado_db_usuario_10[[#This Row],[metodo]]&amp;" "&amp;SUBSTITUTE(resultado_db_usuario_10[[#This Row],[rota]],"/api/v1","")</f>
        <v>GET /aeronaves/</v>
      </c>
      <c r="C188" t="s">
        <v>12</v>
      </c>
      <c r="D188" t="s">
        <v>13</v>
      </c>
      <c r="E188" t="s">
        <v>14</v>
      </c>
      <c r="F188">
        <v>200</v>
      </c>
      <c r="G188" s="2">
        <v>19.78</v>
      </c>
      <c r="H188" s="1">
        <v>46166.641095173611</v>
      </c>
      <c r="I188" s="1">
        <v>46166.641095405095</v>
      </c>
      <c r="J188" t="s">
        <v>15</v>
      </c>
      <c r="K188" t="s">
        <v>16</v>
      </c>
      <c r="L188" s="1">
        <v>46166.641095416664</v>
      </c>
    </row>
    <row r="189" spans="1:12" x14ac:dyDescent="0.25">
      <c r="A189" t="s">
        <v>1613</v>
      </c>
      <c r="B189" t="str">
        <f>resultado_db_usuario_10[[#This Row],[metodo]]&amp;" "&amp;SUBSTITUTE(resultado_db_usuario_10[[#This Row],[rota]],"/api/v1","")</f>
        <v>GET /aeronaves/</v>
      </c>
      <c r="C189" t="s">
        <v>12</v>
      </c>
      <c r="D189" t="s">
        <v>13</v>
      </c>
      <c r="E189" t="s">
        <v>14</v>
      </c>
      <c r="F189">
        <v>200</v>
      </c>
      <c r="G189" s="2">
        <v>20.38</v>
      </c>
      <c r="H189" s="1">
        <v>46166.641095370367</v>
      </c>
      <c r="I189" s="1">
        <v>46166.641095613428</v>
      </c>
      <c r="J189" t="s">
        <v>15</v>
      </c>
      <c r="K189" t="s">
        <v>16</v>
      </c>
      <c r="L189" s="1">
        <v>46166.641095624997</v>
      </c>
    </row>
    <row r="190" spans="1:12" x14ac:dyDescent="0.25">
      <c r="A190" t="s">
        <v>1615</v>
      </c>
      <c r="B190" t="str">
        <f>resultado_db_usuario_10[[#This Row],[metodo]]&amp;" "&amp;SUBSTITUTE(resultado_db_usuario_10[[#This Row],[rota]],"/api/v1","")</f>
        <v>GET /aeronaves/</v>
      </c>
      <c r="C190" t="s">
        <v>12</v>
      </c>
      <c r="D190" t="s">
        <v>13</v>
      </c>
      <c r="E190" t="s">
        <v>14</v>
      </c>
      <c r="F190">
        <v>200</v>
      </c>
      <c r="G190" s="2">
        <v>23.62</v>
      </c>
      <c r="H190" s="1">
        <v>46166.64109542824</v>
      </c>
      <c r="I190" s="1">
        <v>46166.641095706022</v>
      </c>
      <c r="J190" t="s">
        <v>15</v>
      </c>
      <c r="K190" t="s">
        <v>16</v>
      </c>
      <c r="L190" s="1">
        <v>46166.64109571759</v>
      </c>
    </row>
    <row r="191" spans="1:12" x14ac:dyDescent="0.25">
      <c r="A191" t="s">
        <v>1620</v>
      </c>
      <c r="B191" t="str">
        <f>resultado_db_usuario_10[[#This Row],[metodo]]&amp;" "&amp;SUBSTITUTE(resultado_db_usuario_10[[#This Row],[rota]],"/api/v1","")</f>
        <v>GET /aeronaves/</v>
      </c>
      <c r="C191" t="s">
        <v>12</v>
      </c>
      <c r="D191" t="s">
        <v>13</v>
      </c>
      <c r="E191" t="s">
        <v>14</v>
      </c>
      <c r="F191">
        <v>200</v>
      </c>
      <c r="G191" s="2">
        <v>27.25</v>
      </c>
      <c r="H191" s="1">
        <v>46166.641095543979</v>
      </c>
      <c r="I191" s="1">
        <v>46166.641095856481</v>
      </c>
      <c r="J191" t="s">
        <v>15</v>
      </c>
      <c r="K191" t="s">
        <v>16</v>
      </c>
      <c r="L191" s="1">
        <v>46166.641095868057</v>
      </c>
    </row>
    <row r="192" spans="1:12" x14ac:dyDescent="0.25">
      <c r="A192" t="s">
        <v>1635</v>
      </c>
      <c r="B192" t="str">
        <f>resultado_db_usuario_10[[#This Row],[metodo]]&amp;" "&amp;SUBSTITUTE(resultado_db_usuario_10[[#This Row],[rota]],"/api/v1","")</f>
        <v>GET /aeronaves/</v>
      </c>
      <c r="C192" t="s">
        <v>12</v>
      </c>
      <c r="D192" t="s">
        <v>13</v>
      </c>
      <c r="E192" t="s">
        <v>14</v>
      </c>
      <c r="F192">
        <v>200</v>
      </c>
      <c r="G192" s="2">
        <v>16.25</v>
      </c>
      <c r="H192" s="1">
        <v>46166.641096111111</v>
      </c>
      <c r="I192" s="1">
        <v>46166.641096296298</v>
      </c>
      <c r="J192" t="s">
        <v>15</v>
      </c>
      <c r="K192" t="s">
        <v>16</v>
      </c>
      <c r="L192" s="1">
        <v>46166.641096319443</v>
      </c>
    </row>
    <row r="193" spans="1:12" x14ac:dyDescent="0.25">
      <c r="A193" t="s">
        <v>1663</v>
      </c>
      <c r="B193" t="str">
        <f>resultado_db_usuario_10[[#This Row],[metodo]]&amp;" "&amp;SUBSTITUTE(resultado_db_usuario_10[[#This Row],[rota]],"/api/v1","")</f>
        <v>GET /aeronaves/</v>
      </c>
      <c r="C193" t="s">
        <v>12</v>
      </c>
      <c r="D193" t="s">
        <v>13</v>
      </c>
      <c r="E193" t="s">
        <v>14</v>
      </c>
      <c r="F193">
        <v>200</v>
      </c>
      <c r="G193" s="2">
        <v>20.3</v>
      </c>
      <c r="H193" s="1">
        <v>46166.641096874999</v>
      </c>
      <c r="I193" s="1">
        <v>46166.641097106483</v>
      </c>
      <c r="J193" t="s">
        <v>15</v>
      </c>
      <c r="K193" t="s">
        <v>16</v>
      </c>
      <c r="L193" s="1">
        <v>46166.641097129628</v>
      </c>
    </row>
    <row r="194" spans="1:12" x14ac:dyDescent="0.25">
      <c r="A194" t="s">
        <v>1678</v>
      </c>
      <c r="B194" t="str">
        <f>resultado_db_usuario_10[[#This Row],[metodo]]&amp;" "&amp;SUBSTITUTE(resultado_db_usuario_10[[#This Row],[rota]],"/api/v1","")</f>
        <v>GET /aeronaves/</v>
      </c>
      <c r="C194" t="s">
        <v>12</v>
      </c>
      <c r="D194" t="s">
        <v>13</v>
      </c>
      <c r="E194" t="s">
        <v>14</v>
      </c>
      <c r="F194">
        <v>200</v>
      </c>
      <c r="G194" s="2">
        <v>16.010000000000002</v>
      </c>
      <c r="H194" s="1">
        <v>46166.641097291664</v>
      </c>
      <c r="I194" s="1">
        <v>46166.641097476851</v>
      </c>
      <c r="J194" t="s">
        <v>15</v>
      </c>
      <c r="K194" t="s">
        <v>16</v>
      </c>
      <c r="L194" s="1">
        <v>46166.641097488427</v>
      </c>
    </row>
    <row r="195" spans="1:12" x14ac:dyDescent="0.25">
      <c r="A195" t="s">
        <v>1681</v>
      </c>
      <c r="B195" t="str">
        <f>resultado_db_usuario_10[[#This Row],[metodo]]&amp;" "&amp;SUBSTITUTE(resultado_db_usuario_10[[#This Row],[rota]],"/api/v1","")</f>
        <v>GET /aeronaves/</v>
      </c>
      <c r="C195" t="s">
        <v>12</v>
      </c>
      <c r="D195" t="s">
        <v>13</v>
      </c>
      <c r="E195" t="s">
        <v>14</v>
      </c>
      <c r="F195">
        <v>200</v>
      </c>
      <c r="G195" s="2">
        <v>16.79</v>
      </c>
      <c r="H195" s="1">
        <v>46166.64109740741</v>
      </c>
      <c r="I195" s="1">
        <v>46166.641097604166</v>
      </c>
      <c r="J195" t="s">
        <v>15</v>
      </c>
      <c r="K195" t="s">
        <v>16</v>
      </c>
      <c r="L195" s="1">
        <v>46166.641097615742</v>
      </c>
    </row>
    <row r="196" spans="1:12" x14ac:dyDescent="0.25">
      <c r="A196" t="s">
        <v>1687</v>
      </c>
      <c r="B196" t="str">
        <f>resultado_db_usuario_10[[#This Row],[metodo]]&amp;" "&amp;SUBSTITUTE(resultado_db_usuario_10[[#This Row],[rota]],"/api/v1","")</f>
        <v>GET /aeronaves/</v>
      </c>
      <c r="C196" t="s">
        <v>12</v>
      </c>
      <c r="D196" t="s">
        <v>13</v>
      </c>
      <c r="E196" t="s">
        <v>14</v>
      </c>
      <c r="F196">
        <v>200</v>
      </c>
      <c r="G196" s="2">
        <v>17.350000000000001</v>
      </c>
      <c r="H196" s="1">
        <v>46166.641097569445</v>
      </c>
      <c r="I196" s="1">
        <v>46166.641097766202</v>
      </c>
      <c r="J196" t="s">
        <v>15</v>
      </c>
      <c r="K196" t="s">
        <v>16</v>
      </c>
      <c r="L196" s="1">
        <v>46166.641097789354</v>
      </c>
    </row>
    <row r="197" spans="1:12" x14ac:dyDescent="0.25">
      <c r="A197" t="s">
        <v>1699</v>
      </c>
      <c r="B197" t="str">
        <f>resultado_db_usuario_10[[#This Row],[metodo]]&amp;" "&amp;SUBSTITUTE(resultado_db_usuario_10[[#This Row],[rota]],"/api/v1","")</f>
        <v>GET /aeronaves/</v>
      </c>
      <c r="C197" t="s">
        <v>12</v>
      </c>
      <c r="D197" t="s">
        <v>13</v>
      </c>
      <c r="E197" t="s">
        <v>14</v>
      </c>
      <c r="F197">
        <v>200</v>
      </c>
      <c r="G197" s="2">
        <v>14.34</v>
      </c>
      <c r="H197" s="1">
        <v>46166.641097974534</v>
      </c>
      <c r="I197" s="1">
        <v>46166.641098136577</v>
      </c>
      <c r="J197" t="s">
        <v>15</v>
      </c>
      <c r="K197" t="s">
        <v>16</v>
      </c>
      <c r="L197" s="1">
        <v>46166.641098159722</v>
      </c>
    </row>
    <row r="198" spans="1:12" x14ac:dyDescent="0.25">
      <c r="A198" t="s">
        <v>1721</v>
      </c>
      <c r="B198" t="str">
        <f>resultado_db_usuario_10[[#This Row],[metodo]]&amp;" "&amp;SUBSTITUTE(resultado_db_usuario_10[[#This Row],[rota]],"/api/v1","")</f>
        <v>GET /aeronaves/</v>
      </c>
      <c r="C198" t="s">
        <v>12</v>
      </c>
      <c r="D198" t="s">
        <v>13</v>
      </c>
      <c r="E198" t="s">
        <v>14</v>
      </c>
      <c r="F198">
        <v>200</v>
      </c>
      <c r="G198" s="2">
        <v>13.79</v>
      </c>
      <c r="H198" s="1">
        <v>46166.641098564818</v>
      </c>
      <c r="I198" s="1">
        <v>46166.641098726854</v>
      </c>
      <c r="J198" t="s">
        <v>15</v>
      </c>
      <c r="K198" t="s">
        <v>16</v>
      </c>
      <c r="L198" s="1">
        <v>46166.641098738422</v>
      </c>
    </row>
    <row r="199" spans="1:12" x14ac:dyDescent="0.25">
      <c r="A199" t="s">
        <v>1735</v>
      </c>
      <c r="B199" t="str">
        <f>resultado_db_usuario_10[[#This Row],[metodo]]&amp;" "&amp;SUBSTITUTE(resultado_db_usuario_10[[#This Row],[rota]],"/api/v1","")</f>
        <v>GET /aeronaves/</v>
      </c>
      <c r="C199" t="s">
        <v>12</v>
      </c>
      <c r="D199" t="s">
        <v>13</v>
      </c>
      <c r="E199" t="s">
        <v>14</v>
      </c>
      <c r="F199">
        <v>200</v>
      </c>
      <c r="G199" s="2">
        <v>13.47</v>
      </c>
      <c r="H199" s="1">
        <v>46166.641098981483</v>
      </c>
      <c r="I199" s="1">
        <v>46166.641099131943</v>
      </c>
      <c r="J199" t="s">
        <v>15</v>
      </c>
      <c r="K199" t="s">
        <v>16</v>
      </c>
      <c r="L199" s="1">
        <v>46166.641099155095</v>
      </c>
    </row>
    <row r="200" spans="1:12" x14ac:dyDescent="0.25">
      <c r="A200" t="s">
        <v>1748</v>
      </c>
      <c r="B200" t="str">
        <f>resultado_db_usuario_10[[#This Row],[metodo]]&amp;" "&amp;SUBSTITUTE(resultado_db_usuario_10[[#This Row],[rota]],"/api/v1","")</f>
        <v>GET /aeronaves/</v>
      </c>
      <c r="C200" t="s">
        <v>12</v>
      </c>
      <c r="D200" t="s">
        <v>13</v>
      </c>
      <c r="E200" t="s">
        <v>14</v>
      </c>
      <c r="F200">
        <v>200</v>
      </c>
      <c r="G200" s="2">
        <v>9.32</v>
      </c>
      <c r="H200" s="1">
        <v>46166.641099409724</v>
      </c>
      <c r="I200" s="1">
        <v>46166.641099525463</v>
      </c>
      <c r="J200" t="s">
        <v>15</v>
      </c>
      <c r="K200" t="s">
        <v>16</v>
      </c>
      <c r="L200" s="1">
        <v>46166.641099537039</v>
      </c>
    </row>
    <row r="201" spans="1:12" x14ac:dyDescent="0.25">
      <c r="A201" t="s">
        <v>1760</v>
      </c>
      <c r="B201" t="str">
        <f>resultado_db_usuario_10[[#This Row],[metodo]]&amp;" "&amp;SUBSTITUTE(resultado_db_usuario_10[[#This Row],[rota]],"/api/v1","")</f>
        <v>GET /aeronaves/</v>
      </c>
      <c r="C201" t="s">
        <v>12</v>
      </c>
      <c r="D201" t="s">
        <v>13</v>
      </c>
      <c r="E201" t="s">
        <v>14</v>
      </c>
      <c r="F201">
        <v>200</v>
      </c>
      <c r="G201" s="2">
        <v>12.41</v>
      </c>
      <c r="H201" s="1">
        <v>46166.641099699074</v>
      </c>
      <c r="I201" s="1">
        <v>46166.641099849534</v>
      </c>
      <c r="J201" t="s">
        <v>15</v>
      </c>
      <c r="K201" t="s">
        <v>16</v>
      </c>
      <c r="L201" s="1">
        <v>46166.64109986111</v>
      </c>
    </row>
    <row r="202" spans="1:12" x14ac:dyDescent="0.25">
      <c r="A202" t="s">
        <v>659</v>
      </c>
      <c r="B202" t="str">
        <f>resultado_db_usuario_10[[#This Row],[metodo]]&amp;" "&amp;SUBSTITUTE(resultado_db_usuario_10[[#This Row],[rota]],"/api/v1","")</f>
        <v>GET /etapas/</v>
      </c>
      <c r="C202" t="s">
        <v>12</v>
      </c>
      <c r="D202" t="s">
        <v>18</v>
      </c>
      <c r="E202" t="s">
        <v>19</v>
      </c>
      <c r="F202">
        <v>200</v>
      </c>
      <c r="G202" s="2">
        <v>4.32</v>
      </c>
      <c r="H202" s="1">
        <v>46166.641065856478</v>
      </c>
      <c r="I202" s="1">
        <v>46166.641065902775</v>
      </c>
      <c r="J202" t="s">
        <v>15</v>
      </c>
      <c r="K202" t="s">
        <v>16</v>
      </c>
      <c r="L202" s="1">
        <v>46166.641065925927</v>
      </c>
    </row>
    <row r="203" spans="1:12" x14ac:dyDescent="0.25">
      <c r="A203" t="s">
        <v>672</v>
      </c>
      <c r="B203" t="str">
        <f>resultado_db_usuario_10[[#This Row],[metodo]]&amp;" "&amp;SUBSTITUTE(resultado_db_usuario_10[[#This Row],[rota]],"/api/v1","")</f>
        <v>GET /etapas/</v>
      </c>
      <c r="C203" t="s">
        <v>12</v>
      </c>
      <c r="D203" t="s">
        <v>18</v>
      </c>
      <c r="E203" t="s">
        <v>19</v>
      </c>
      <c r="F203">
        <v>200</v>
      </c>
      <c r="G203" s="2">
        <v>4.6500000000000004</v>
      </c>
      <c r="H203" s="1">
        <v>46166.641066736112</v>
      </c>
      <c r="I203" s="1">
        <v>46166.641066793978</v>
      </c>
      <c r="J203" t="s">
        <v>15</v>
      </c>
      <c r="K203" t="s">
        <v>16</v>
      </c>
      <c r="L203" s="1">
        <v>46166.641066828706</v>
      </c>
    </row>
    <row r="204" spans="1:12" x14ac:dyDescent="0.25">
      <c r="A204" t="s">
        <v>675</v>
      </c>
      <c r="B204" t="str">
        <f>resultado_db_usuario_10[[#This Row],[metodo]]&amp;" "&amp;SUBSTITUTE(resultado_db_usuario_10[[#This Row],[rota]],"/api/v1","")</f>
        <v>GET /etapas/</v>
      </c>
      <c r="C204" t="s">
        <v>12</v>
      </c>
      <c r="D204" t="s">
        <v>18</v>
      </c>
      <c r="E204" t="s">
        <v>19</v>
      </c>
      <c r="F204">
        <v>200</v>
      </c>
      <c r="G204" s="2">
        <v>3.54</v>
      </c>
      <c r="H204" s="1">
        <v>46166.641066909724</v>
      </c>
      <c r="I204" s="1">
        <v>46166.641066956021</v>
      </c>
      <c r="J204" t="s">
        <v>15</v>
      </c>
      <c r="K204" t="s">
        <v>16</v>
      </c>
      <c r="L204" s="1">
        <v>46166.64106696759</v>
      </c>
    </row>
    <row r="205" spans="1:12" x14ac:dyDescent="0.25">
      <c r="A205" t="s">
        <v>695</v>
      </c>
      <c r="B205" t="str">
        <f>resultado_db_usuario_10[[#This Row],[metodo]]&amp;" "&amp;SUBSTITUTE(resultado_db_usuario_10[[#This Row],[rota]],"/api/v1","")</f>
        <v>GET /etapas/</v>
      </c>
      <c r="C205" t="s">
        <v>12</v>
      </c>
      <c r="D205" t="s">
        <v>18</v>
      </c>
      <c r="E205" t="s">
        <v>19</v>
      </c>
      <c r="F205">
        <v>200</v>
      </c>
      <c r="G205" s="2">
        <v>8.36</v>
      </c>
      <c r="H205" s="1">
        <v>46166.641067627315</v>
      </c>
      <c r="I205" s="1">
        <v>46166.641067731478</v>
      </c>
      <c r="J205" t="s">
        <v>15</v>
      </c>
      <c r="K205" t="s">
        <v>16</v>
      </c>
      <c r="L205" s="1">
        <v>46166.641067743054</v>
      </c>
    </row>
    <row r="206" spans="1:12" x14ac:dyDescent="0.25">
      <c r="A206" t="s">
        <v>696</v>
      </c>
      <c r="B206" t="str">
        <f>resultado_db_usuario_10[[#This Row],[metodo]]&amp;" "&amp;SUBSTITUTE(resultado_db_usuario_10[[#This Row],[rota]],"/api/v1","")</f>
        <v>GET /etapas/</v>
      </c>
      <c r="C206" t="s">
        <v>12</v>
      </c>
      <c r="D206" t="s">
        <v>18</v>
      </c>
      <c r="E206" t="s">
        <v>19</v>
      </c>
      <c r="F206">
        <v>200</v>
      </c>
      <c r="G206" s="2">
        <v>4.08</v>
      </c>
      <c r="H206" s="1">
        <v>46166.641067743054</v>
      </c>
      <c r="I206" s="1">
        <v>46166.641067789351</v>
      </c>
      <c r="J206" t="s">
        <v>15</v>
      </c>
      <c r="K206" t="s">
        <v>16</v>
      </c>
      <c r="L206" s="1">
        <v>46166.641067812503</v>
      </c>
    </row>
    <row r="207" spans="1:12" x14ac:dyDescent="0.25">
      <c r="A207" t="s">
        <v>706</v>
      </c>
      <c r="B207" t="str">
        <f>resultado_db_usuario_10[[#This Row],[metodo]]&amp;" "&amp;SUBSTITUTE(resultado_db_usuario_10[[#This Row],[rota]],"/api/v1","")</f>
        <v>GET /etapas/</v>
      </c>
      <c r="C207" t="s">
        <v>12</v>
      </c>
      <c r="D207" t="s">
        <v>18</v>
      </c>
      <c r="E207" t="s">
        <v>19</v>
      </c>
      <c r="F207">
        <v>200</v>
      </c>
      <c r="G207" s="2">
        <v>4.8899999999999997</v>
      </c>
      <c r="H207" s="1">
        <v>46166.641068136574</v>
      </c>
      <c r="I207" s="1">
        <v>46166.641068194447</v>
      </c>
      <c r="J207" t="s">
        <v>15</v>
      </c>
      <c r="K207" t="s">
        <v>16</v>
      </c>
      <c r="L207" s="1">
        <v>46166.641068206016</v>
      </c>
    </row>
    <row r="208" spans="1:12" x14ac:dyDescent="0.25">
      <c r="A208" t="s">
        <v>725</v>
      </c>
      <c r="B208" t="str">
        <f>resultado_db_usuario_10[[#This Row],[metodo]]&amp;" "&amp;SUBSTITUTE(resultado_db_usuario_10[[#This Row],[rota]],"/api/v1","")</f>
        <v>GET /etapas/</v>
      </c>
      <c r="C208" t="s">
        <v>12</v>
      </c>
      <c r="D208" t="s">
        <v>18</v>
      </c>
      <c r="E208" t="s">
        <v>19</v>
      </c>
      <c r="F208">
        <v>200</v>
      </c>
      <c r="G208" s="2">
        <v>8.35</v>
      </c>
      <c r="H208" s="1">
        <v>46166.641068680554</v>
      </c>
      <c r="I208" s="1">
        <v>46166.641068773148</v>
      </c>
      <c r="J208" t="s">
        <v>15</v>
      </c>
      <c r="K208" t="s">
        <v>16</v>
      </c>
      <c r="L208" s="1">
        <v>46166.641068784724</v>
      </c>
    </row>
    <row r="209" spans="1:12" x14ac:dyDescent="0.25">
      <c r="A209" t="s">
        <v>730</v>
      </c>
      <c r="B209" t="str">
        <f>resultado_db_usuario_10[[#This Row],[metodo]]&amp;" "&amp;SUBSTITUTE(resultado_db_usuario_10[[#This Row],[rota]],"/api/v1","")</f>
        <v>GET /etapas/</v>
      </c>
      <c r="C209" t="s">
        <v>12</v>
      </c>
      <c r="D209" t="s">
        <v>18</v>
      </c>
      <c r="E209" t="s">
        <v>19</v>
      </c>
      <c r="F209">
        <v>200</v>
      </c>
      <c r="G209" s="2">
        <v>5.49</v>
      </c>
      <c r="H209" s="1">
        <v>46166.641068888886</v>
      </c>
      <c r="I209" s="1">
        <v>46166.641068958335</v>
      </c>
      <c r="J209" t="s">
        <v>15</v>
      </c>
      <c r="K209" t="s">
        <v>16</v>
      </c>
      <c r="L209" s="1">
        <v>46166.64106898148</v>
      </c>
    </row>
    <row r="210" spans="1:12" x14ac:dyDescent="0.25">
      <c r="A210" t="s">
        <v>742</v>
      </c>
      <c r="B210" t="str">
        <f>resultado_db_usuario_10[[#This Row],[metodo]]&amp;" "&amp;SUBSTITUTE(resultado_db_usuario_10[[#This Row],[rota]],"/api/v1","")</f>
        <v>GET /etapas/</v>
      </c>
      <c r="C210" t="s">
        <v>12</v>
      </c>
      <c r="D210" t="s">
        <v>18</v>
      </c>
      <c r="E210" t="s">
        <v>19</v>
      </c>
      <c r="F210">
        <v>200</v>
      </c>
      <c r="G210" s="2">
        <v>8.64</v>
      </c>
      <c r="H210" s="1">
        <v>46166.641069293983</v>
      </c>
      <c r="I210" s="1">
        <v>46166.641069398145</v>
      </c>
      <c r="J210" t="s">
        <v>15</v>
      </c>
      <c r="K210" t="s">
        <v>16</v>
      </c>
      <c r="L210" s="1">
        <v>46166.641069409721</v>
      </c>
    </row>
    <row r="211" spans="1:12" x14ac:dyDescent="0.25">
      <c r="A211" t="s">
        <v>746</v>
      </c>
      <c r="B211" t="str">
        <f>resultado_db_usuario_10[[#This Row],[metodo]]&amp;" "&amp;SUBSTITUTE(resultado_db_usuario_10[[#This Row],[rota]],"/api/v1","")</f>
        <v>GET /etapas/</v>
      </c>
      <c r="C211" t="s">
        <v>12</v>
      </c>
      <c r="D211" t="s">
        <v>18</v>
      </c>
      <c r="E211" t="s">
        <v>19</v>
      </c>
      <c r="F211">
        <v>200</v>
      </c>
      <c r="G211" s="2">
        <v>5.7</v>
      </c>
      <c r="H211" s="1">
        <v>46166.641069421297</v>
      </c>
      <c r="I211" s="1">
        <v>46166.641069490739</v>
      </c>
      <c r="J211" t="s">
        <v>15</v>
      </c>
      <c r="K211" t="s">
        <v>16</v>
      </c>
      <c r="L211" s="1">
        <v>46166.641069502315</v>
      </c>
    </row>
    <row r="212" spans="1:12" x14ac:dyDescent="0.25">
      <c r="A212" t="s">
        <v>764</v>
      </c>
      <c r="B212" t="str">
        <f>resultado_db_usuario_10[[#This Row],[metodo]]&amp;" "&amp;SUBSTITUTE(resultado_db_usuario_10[[#This Row],[rota]],"/api/v1","")</f>
        <v>GET /etapas/</v>
      </c>
      <c r="C212" t="s">
        <v>12</v>
      </c>
      <c r="D212" t="s">
        <v>18</v>
      </c>
      <c r="E212" t="s">
        <v>19</v>
      </c>
      <c r="F212">
        <v>200</v>
      </c>
      <c r="G212" s="2">
        <v>6.73</v>
      </c>
      <c r="H212" s="1">
        <v>46166.641070057871</v>
      </c>
      <c r="I212" s="1">
        <v>46166.641070127313</v>
      </c>
      <c r="J212" t="s">
        <v>15</v>
      </c>
      <c r="K212" t="s">
        <v>16</v>
      </c>
      <c r="L212" s="1">
        <v>46166.641070150465</v>
      </c>
    </row>
    <row r="213" spans="1:12" x14ac:dyDescent="0.25">
      <c r="A213" t="s">
        <v>771</v>
      </c>
      <c r="B213" t="str">
        <f>resultado_db_usuario_10[[#This Row],[metodo]]&amp;" "&amp;SUBSTITUTE(resultado_db_usuario_10[[#This Row],[rota]],"/api/v1","")</f>
        <v>GET /etapas/</v>
      </c>
      <c r="C213" t="s">
        <v>12</v>
      </c>
      <c r="D213" t="s">
        <v>18</v>
      </c>
      <c r="E213" t="s">
        <v>19</v>
      </c>
      <c r="F213">
        <v>200</v>
      </c>
      <c r="G213" s="2">
        <v>6.4</v>
      </c>
      <c r="H213" s="1">
        <v>46166.641070277779</v>
      </c>
      <c r="I213" s="1">
        <v>46166.641070358797</v>
      </c>
      <c r="J213" t="s">
        <v>15</v>
      </c>
      <c r="K213" t="s">
        <v>16</v>
      </c>
      <c r="L213" s="1">
        <v>46166.641070381942</v>
      </c>
    </row>
    <row r="214" spans="1:12" x14ac:dyDescent="0.25">
      <c r="A214" t="s">
        <v>778</v>
      </c>
      <c r="B214" t="str">
        <f>resultado_db_usuario_10[[#This Row],[metodo]]&amp;" "&amp;SUBSTITUTE(resultado_db_usuario_10[[#This Row],[rota]],"/api/v1","")</f>
        <v>GET /etapas/</v>
      </c>
      <c r="C214" t="s">
        <v>12</v>
      </c>
      <c r="D214" t="s">
        <v>18</v>
      </c>
      <c r="E214" t="s">
        <v>19</v>
      </c>
      <c r="F214">
        <v>200</v>
      </c>
      <c r="G214" s="2">
        <v>8.2200000000000006</v>
      </c>
      <c r="H214" s="1">
        <v>46166.641070590274</v>
      </c>
      <c r="I214" s="1">
        <v>46166.641070682868</v>
      </c>
      <c r="J214" t="s">
        <v>15</v>
      </c>
      <c r="K214" t="s">
        <v>16</v>
      </c>
      <c r="L214" s="1">
        <v>46166.64107070602</v>
      </c>
    </row>
    <row r="215" spans="1:12" x14ac:dyDescent="0.25">
      <c r="A215" t="s">
        <v>786</v>
      </c>
      <c r="B215" t="str">
        <f>resultado_db_usuario_10[[#This Row],[metodo]]&amp;" "&amp;SUBSTITUTE(resultado_db_usuario_10[[#This Row],[rota]],"/api/v1","")</f>
        <v>GET /etapas/</v>
      </c>
      <c r="C215" t="s">
        <v>12</v>
      </c>
      <c r="D215" t="s">
        <v>18</v>
      </c>
      <c r="E215" t="s">
        <v>19</v>
      </c>
      <c r="F215">
        <v>200</v>
      </c>
      <c r="G215" s="2">
        <v>6.63</v>
      </c>
      <c r="H215" s="1">
        <v>46166.641070891201</v>
      </c>
      <c r="I215" s="1">
        <v>46166.64107096065</v>
      </c>
      <c r="J215" t="s">
        <v>15</v>
      </c>
      <c r="K215" t="s">
        <v>16</v>
      </c>
      <c r="L215" s="1">
        <v>46166.641070983795</v>
      </c>
    </row>
    <row r="216" spans="1:12" x14ac:dyDescent="0.25">
      <c r="A216" t="s">
        <v>788</v>
      </c>
      <c r="B216" t="str">
        <f>resultado_db_usuario_10[[#This Row],[metodo]]&amp;" "&amp;SUBSTITUTE(resultado_db_usuario_10[[#This Row],[rota]],"/api/v1","")</f>
        <v>GET /etapas/</v>
      </c>
      <c r="C216" t="s">
        <v>12</v>
      </c>
      <c r="D216" t="s">
        <v>18</v>
      </c>
      <c r="E216" t="s">
        <v>19</v>
      </c>
      <c r="F216">
        <v>200</v>
      </c>
      <c r="G216" s="2">
        <v>9.1199999999999992</v>
      </c>
      <c r="H216" s="1">
        <v>46166.641070937498</v>
      </c>
      <c r="I216" s="1">
        <v>46166.641071053244</v>
      </c>
      <c r="J216" t="s">
        <v>15</v>
      </c>
      <c r="K216" t="s">
        <v>16</v>
      </c>
      <c r="L216" s="1">
        <v>46166.641071064812</v>
      </c>
    </row>
    <row r="217" spans="1:12" x14ac:dyDescent="0.25">
      <c r="A217" t="s">
        <v>810</v>
      </c>
      <c r="B217" t="str">
        <f>resultado_db_usuario_10[[#This Row],[metodo]]&amp;" "&amp;SUBSTITUTE(resultado_db_usuario_10[[#This Row],[rota]],"/api/v1","")</f>
        <v>GET /etapas/</v>
      </c>
      <c r="C217" t="s">
        <v>12</v>
      </c>
      <c r="D217" t="s">
        <v>18</v>
      </c>
      <c r="E217" t="s">
        <v>19</v>
      </c>
      <c r="F217">
        <v>200</v>
      </c>
      <c r="G217" s="2">
        <v>7.01</v>
      </c>
      <c r="H217" s="1">
        <v>46166.641071689817</v>
      </c>
      <c r="I217" s="1">
        <v>46166.641071770835</v>
      </c>
      <c r="J217" t="s">
        <v>15</v>
      </c>
      <c r="K217" t="s">
        <v>16</v>
      </c>
      <c r="L217" s="1">
        <v>46166.64107179398</v>
      </c>
    </row>
    <row r="218" spans="1:12" x14ac:dyDescent="0.25">
      <c r="A218" t="s">
        <v>820</v>
      </c>
      <c r="B218" t="str">
        <f>resultado_db_usuario_10[[#This Row],[metodo]]&amp;" "&amp;SUBSTITUTE(resultado_db_usuario_10[[#This Row],[rota]],"/api/v1","")</f>
        <v>GET /etapas/</v>
      </c>
      <c r="C218" t="s">
        <v>12</v>
      </c>
      <c r="D218" t="s">
        <v>18</v>
      </c>
      <c r="E218" t="s">
        <v>19</v>
      </c>
      <c r="F218">
        <v>200</v>
      </c>
      <c r="G218" s="2">
        <v>9.75</v>
      </c>
      <c r="H218" s="1">
        <v>46166.641072013888</v>
      </c>
      <c r="I218" s="1">
        <v>46166.641072129627</v>
      </c>
      <c r="J218" t="s">
        <v>15</v>
      </c>
      <c r="K218" t="s">
        <v>16</v>
      </c>
      <c r="L218" s="1">
        <v>46166.641072152779</v>
      </c>
    </row>
    <row r="219" spans="1:12" x14ac:dyDescent="0.25">
      <c r="A219" t="s">
        <v>828</v>
      </c>
      <c r="B219" t="str">
        <f>resultado_db_usuario_10[[#This Row],[metodo]]&amp;" "&amp;SUBSTITUTE(resultado_db_usuario_10[[#This Row],[rota]],"/api/v1","")</f>
        <v>GET /etapas/</v>
      </c>
      <c r="C219" t="s">
        <v>12</v>
      </c>
      <c r="D219" t="s">
        <v>18</v>
      </c>
      <c r="E219" t="s">
        <v>19</v>
      </c>
      <c r="F219">
        <v>200</v>
      </c>
      <c r="G219" s="2">
        <v>8.1300000000000008</v>
      </c>
      <c r="H219" s="1">
        <v>46166.641072303239</v>
      </c>
      <c r="I219" s="1">
        <v>46166.641072395832</v>
      </c>
      <c r="J219" t="s">
        <v>15</v>
      </c>
      <c r="K219" t="s">
        <v>16</v>
      </c>
      <c r="L219" s="1">
        <v>46166.641072418985</v>
      </c>
    </row>
    <row r="220" spans="1:12" x14ac:dyDescent="0.25">
      <c r="A220" t="s">
        <v>836</v>
      </c>
      <c r="B220" t="str">
        <f>resultado_db_usuario_10[[#This Row],[metodo]]&amp;" "&amp;SUBSTITUTE(resultado_db_usuario_10[[#This Row],[rota]],"/api/v1","")</f>
        <v>GET /etapas/</v>
      </c>
      <c r="C220" t="s">
        <v>12</v>
      </c>
      <c r="D220" t="s">
        <v>18</v>
      </c>
      <c r="E220" t="s">
        <v>19</v>
      </c>
      <c r="F220">
        <v>200</v>
      </c>
      <c r="G220" s="2">
        <v>14.51</v>
      </c>
      <c r="H220" s="1">
        <v>46166.641072627317</v>
      </c>
      <c r="I220" s="1">
        <v>46166.641072800929</v>
      </c>
      <c r="J220" t="s">
        <v>15</v>
      </c>
      <c r="K220" t="s">
        <v>16</v>
      </c>
      <c r="L220" s="1">
        <v>46166.641072812497</v>
      </c>
    </row>
    <row r="221" spans="1:12" x14ac:dyDescent="0.25">
      <c r="A221" t="s">
        <v>841</v>
      </c>
      <c r="B221" t="str">
        <f>resultado_db_usuario_10[[#This Row],[metodo]]&amp;" "&amp;SUBSTITUTE(resultado_db_usuario_10[[#This Row],[rota]],"/api/v1","")</f>
        <v>GET /etapas/</v>
      </c>
      <c r="C221" t="s">
        <v>12</v>
      </c>
      <c r="D221" t="s">
        <v>18</v>
      </c>
      <c r="E221" t="s">
        <v>19</v>
      </c>
      <c r="F221">
        <v>200</v>
      </c>
      <c r="G221" s="2">
        <v>19.5</v>
      </c>
      <c r="H221" s="1">
        <v>46166.641072847226</v>
      </c>
      <c r="I221" s="1">
        <v>46166.641073067127</v>
      </c>
      <c r="J221" t="s">
        <v>15</v>
      </c>
      <c r="K221" t="s">
        <v>16</v>
      </c>
      <c r="L221" s="1">
        <v>46166.641073090279</v>
      </c>
    </row>
    <row r="222" spans="1:12" x14ac:dyDescent="0.25">
      <c r="A222" t="s">
        <v>846</v>
      </c>
      <c r="B222" t="str">
        <f>resultado_db_usuario_10[[#This Row],[metodo]]&amp;" "&amp;SUBSTITUTE(resultado_db_usuario_10[[#This Row],[rota]],"/api/v1","")</f>
        <v>GET /etapas/</v>
      </c>
      <c r="C222" t="s">
        <v>12</v>
      </c>
      <c r="D222" t="s">
        <v>18</v>
      </c>
      <c r="E222" t="s">
        <v>19</v>
      </c>
      <c r="F222">
        <v>200</v>
      </c>
      <c r="G222" s="2">
        <v>11.88</v>
      </c>
      <c r="H222" s="1">
        <v>46166.641073101855</v>
      </c>
      <c r="I222" s="1">
        <v>46166.64107322917</v>
      </c>
      <c r="J222" t="s">
        <v>15</v>
      </c>
      <c r="K222" t="s">
        <v>16</v>
      </c>
      <c r="L222" s="1">
        <v>46166.641073252315</v>
      </c>
    </row>
    <row r="223" spans="1:12" x14ac:dyDescent="0.25">
      <c r="A223" t="s">
        <v>847</v>
      </c>
      <c r="B223" t="str">
        <f>resultado_db_usuario_10[[#This Row],[metodo]]&amp;" "&amp;SUBSTITUTE(resultado_db_usuario_10[[#This Row],[rota]],"/api/v1","")</f>
        <v>GET /etapas/</v>
      </c>
      <c r="C223" t="s">
        <v>12</v>
      </c>
      <c r="D223" t="s">
        <v>18</v>
      </c>
      <c r="E223" t="s">
        <v>19</v>
      </c>
      <c r="F223">
        <v>200</v>
      </c>
      <c r="G223" s="2">
        <v>13.37</v>
      </c>
      <c r="H223" s="1">
        <v>46166.641073101855</v>
      </c>
      <c r="I223" s="1">
        <v>46166.641073263891</v>
      </c>
      <c r="J223" t="s">
        <v>15</v>
      </c>
      <c r="K223" t="s">
        <v>16</v>
      </c>
      <c r="L223" s="1">
        <v>46166.641073275459</v>
      </c>
    </row>
    <row r="224" spans="1:12" x14ac:dyDescent="0.25">
      <c r="A224" t="s">
        <v>876</v>
      </c>
      <c r="B224" t="str">
        <f>resultado_db_usuario_10[[#This Row],[metodo]]&amp;" "&amp;SUBSTITUTE(resultado_db_usuario_10[[#This Row],[rota]],"/api/v1","")</f>
        <v>GET /etapas/</v>
      </c>
      <c r="C224" t="s">
        <v>12</v>
      </c>
      <c r="D224" t="s">
        <v>18</v>
      </c>
      <c r="E224" t="s">
        <v>19</v>
      </c>
      <c r="F224">
        <v>200</v>
      </c>
      <c r="G224" s="2">
        <v>9.6999999999999993</v>
      </c>
      <c r="H224" s="1">
        <v>46166.6410740625</v>
      </c>
      <c r="I224" s="1">
        <v>46166.641074178238</v>
      </c>
      <c r="J224" t="s">
        <v>15</v>
      </c>
      <c r="K224" t="s">
        <v>16</v>
      </c>
      <c r="L224" s="1">
        <v>46166.641074189814</v>
      </c>
    </row>
    <row r="225" spans="1:12" x14ac:dyDescent="0.25">
      <c r="A225" t="s">
        <v>887</v>
      </c>
      <c r="B225" t="str">
        <f>resultado_db_usuario_10[[#This Row],[metodo]]&amp;" "&amp;SUBSTITUTE(resultado_db_usuario_10[[#This Row],[rota]],"/api/v1","")</f>
        <v>GET /etapas/</v>
      </c>
      <c r="C225" t="s">
        <v>12</v>
      </c>
      <c r="D225" t="s">
        <v>18</v>
      </c>
      <c r="E225" t="s">
        <v>19</v>
      </c>
      <c r="F225">
        <v>200</v>
      </c>
      <c r="G225" s="2">
        <v>11.05</v>
      </c>
      <c r="H225" s="1">
        <v>46166.641074317129</v>
      </c>
      <c r="I225" s="1">
        <v>46166.641074444444</v>
      </c>
      <c r="J225" t="s">
        <v>15</v>
      </c>
      <c r="K225" t="s">
        <v>16</v>
      </c>
      <c r="L225" s="1">
        <v>46166.64107445602</v>
      </c>
    </row>
    <row r="226" spans="1:12" x14ac:dyDescent="0.25">
      <c r="A226" t="s">
        <v>903</v>
      </c>
      <c r="B226" t="str">
        <f>resultado_db_usuario_10[[#This Row],[metodo]]&amp;" "&amp;SUBSTITUTE(resultado_db_usuario_10[[#This Row],[rota]],"/api/v1","")</f>
        <v>GET /etapas/</v>
      </c>
      <c r="C226" t="s">
        <v>12</v>
      </c>
      <c r="D226" t="s">
        <v>18</v>
      </c>
      <c r="E226" t="s">
        <v>19</v>
      </c>
      <c r="F226">
        <v>200</v>
      </c>
      <c r="G226" s="2">
        <v>18.21</v>
      </c>
      <c r="H226" s="1">
        <v>46166.641074722225</v>
      </c>
      <c r="I226" s="1">
        <v>46166.641074942127</v>
      </c>
      <c r="J226" t="s">
        <v>15</v>
      </c>
      <c r="K226" t="s">
        <v>16</v>
      </c>
      <c r="L226" s="1">
        <v>46166.641074953703</v>
      </c>
    </row>
    <row r="227" spans="1:12" x14ac:dyDescent="0.25">
      <c r="A227" t="s">
        <v>910</v>
      </c>
      <c r="B227" t="str">
        <f>resultado_db_usuario_10[[#This Row],[metodo]]&amp;" "&amp;SUBSTITUTE(resultado_db_usuario_10[[#This Row],[rota]],"/api/v1","")</f>
        <v>GET /etapas/</v>
      </c>
      <c r="C227" t="s">
        <v>12</v>
      </c>
      <c r="D227" t="s">
        <v>18</v>
      </c>
      <c r="E227" t="s">
        <v>19</v>
      </c>
      <c r="F227">
        <v>200</v>
      </c>
      <c r="G227" s="2">
        <v>11.85</v>
      </c>
      <c r="H227" s="1">
        <v>46166.641075011576</v>
      </c>
      <c r="I227" s="1">
        <v>46166.641075150466</v>
      </c>
      <c r="J227" t="s">
        <v>15</v>
      </c>
      <c r="K227" t="s">
        <v>16</v>
      </c>
      <c r="L227" s="1">
        <v>46166.641075173611</v>
      </c>
    </row>
    <row r="228" spans="1:12" x14ac:dyDescent="0.25">
      <c r="A228" t="s">
        <v>922</v>
      </c>
      <c r="B228" t="str">
        <f>resultado_db_usuario_10[[#This Row],[metodo]]&amp;" "&amp;SUBSTITUTE(resultado_db_usuario_10[[#This Row],[rota]],"/api/v1","")</f>
        <v>GET /etapas/</v>
      </c>
      <c r="C228" t="s">
        <v>12</v>
      </c>
      <c r="D228" t="s">
        <v>18</v>
      </c>
      <c r="E228" t="s">
        <v>19</v>
      </c>
      <c r="F228">
        <v>200</v>
      </c>
      <c r="G228" s="2">
        <v>14.13</v>
      </c>
      <c r="H228" s="1">
        <v>46166.641075509258</v>
      </c>
      <c r="I228" s="1">
        <v>46166.641075671294</v>
      </c>
      <c r="J228" t="s">
        <v>15</v>
      </c>
      <c r="K228" t="s">
        <v>16</v>
      </c>
      <c r="L228" s="1">
        <v>46166.641075694446</v>
      </c>
    </row>
    <row r="229" spans="1:12" x14ac:dyDescent="0.25">
      <c r="A229" t="s">
        <v>923</v>
      </c>
      <c r="B229" t="str">
        <f>resultado_db_usuario_10[[#This Row],[metodo]]&amp;" "&amp;SUBSTITUTE(resultado_db_usuario_10[[#This Row],[rota]],"/api/v1","")</f>
        <v>GET /etapas/</v>
      </c>
      <c r="C229" t="s">
        <v>12</v>
      </c>
      <c r="D229" t="s">
        <v>18</v>
      </c>
      <c r="E229" t="s">
        <v>19</v>
      </c>
      <c r="F229">
        <v>200</v>
      </c>
      <c r="G229" s="2">
        <v>12.23</v>
      </c>
      <c r="H229" s="1">
        <v>46166.641075624997</v>
      </c>
      <c r="I229" s="1">
        <v>46166.641075763888</v>
      </c>
      <c r="J229" t="s">
        <v>15</v>
      </c>
      <c r="K229" t="s">
        <v>16</v>
      </c>
      <c r="L229" s="1">
        <v>46166.64107578704</v>
      </c>
    </row>
    <row r="230" spans="1:12" x14ac:dyDescent="0.25">
      <c r="A230" t="s">
        <v>924</v>
      </c>
      <c r="B230" t="str">
        <f>resultado_db_usuario_10[[#This Row],[metodo]]&amp;" "&amp;SUBSTITUTE(resultado_db_usuario_10[[#This Row],[rota]],"/api/v1","")</f>
        <v>GET /etapas/</v>
      </c>
      <c r="C230" t="s">
        <v>12</v>
      </c>
      <c r="D230" t="s">
        <v>18</v>
      </c>
      <c r="E230" t="s">
        <v>19</v>
      </c>
      <c r="F230">
        <v>200</v>
      </c>
      <c r="G230" s="2">
        <v>13.31</v>
      </c>
      <c r="H230" s="1">
        <v>46166.641075624997</v>
      </c>
      <c r="I230" s="1">
        <v>46166.64107578704</v>
      </c>
      <c r="J230" t="s">
        <v>15</v>
      </c>
      <c r="K230" t="s">
        <v>16</v>
      </c>
      <c r="L230" s="1">
        <v>46166.641075798609</v>
      </c>
    </row>
    <row r="231" spans="1:12" x14ac:dyDescent="0.25">
      <c r="A231" t="s">
        <v>925</v>
      </c>
      <c r="B231" t="str">
        <f>resultado_db_usuario_10[[#This Row],[metodo]]&amp;" "&amp;SUBSTITUTE(resultado_db_usuario_10[[#This Row],[rota]],"/api/v1","")</f>
        <v>GET /etapas/</v>
      </c>
      <c r="C231" t="s">
        <v>12</v>
      </c>
      <c r="D231" t="s">
        <v>18</v>
      </c>
      <c r="E231" t="s">
        <v>19</v>
      </c>
      <c r="F231">
        <v>200</v>
      </c>
      <c r="G231" s="2">
        <v>11.55</v>
      </c>
      <c r="H231" s="1">
        <v>46166.64107568287</v>
      </c>
      <c r="I231" s="1">
        <v>46166.641075821761</v>
      </c>
      <c r="J231" t="s">
        <v>15</v>
      </c>
      <c r="K231" t="s">
        <v>16</v>
      </c>
      <c r="L231" s="1">
        <v>46166.641075833337</v>
      </c>
    </row>
    <row r="232" spans="1:12" x14ac:dyDescent="0.25">
      <c r="A232" t="s">
        <v>936</v>
      </c>
      <c r="B232" t="str">
        <f>resultado_db_usuario_10[[#This Row],[metodo]]&amp;" "&amp;SUBSTITUTE(resultado_db_usuario_10[[#This Row],[rota]],"/api/v1","")</f>
        <v>GET /etapas/</v>
      </c>
      <c r="C232" t="s">
        <v>12</v>
      </c>
      <c r="D232" t="s">
        <v>18</v>
      </c>
      <c r="E232" t="s">
        <v>19</v>
      </c>
      <c r="F232">
        <v>200</v>
      </c>
      <c r="G232" s="2">
        <v>14.77</v>
      </c>
      <c r="H232" s="1">
        <v>46166.641076006941</v>
      </c>
      <c r="I232" s="1">
        <v>46166.641076180553</v>
      </c>
      <c r="J232" t="s">
        <v>15</v>
      </c>
      <c r="K232" t="s">
        <v>16</v>
      </c>
      <c r="L232" s="1">
        <v>46166.641076192129</v>
      </c>
    </row>
    <row r="233" spans="1:12" x14ac:dyDescent="0.25">
      <c r="A233" t="s">
        <v>954</v>
      </c>
      <c r="B233" t="str">
        <f>resultado_db_usuario_10[[#This Row],[metodo]]&amp;" "&amp;SUBSTITUTE(resultado_db_usuario_10[[#This Row],[rota]],"/api/v1","")</f>
        <v>GET /etapas/</v>
      </c>
      <c r="C233" t="s">
        <v>12</v>
      </c>
      <c r="D233" t="s">
        <v>18</v>
      </c>
      <c r="E233" t="s">
        <v>19</v>
      </c>
      <c r="F233">
        <v>200</v>
      </c>
      <c r="G233" s="2">
        <v>14.08</v>
      </c>
      <c r="H233" s="1">
        <v>46166.641076574073</v>
      </c>
      <c r="I233" s="1">
        <v>46166.641076736109</v>
      </c>
      <c r="J233" t="s">
        <v>15</v>
      </c>
      <c r="K233" t="s">
        <v>16</v>
      </c>
      <c r="L233" s="1">
        <v>46166.641076759261</v>
      </c>
    </row>
    <row r="234" spans="1:12" x14ac:dyDescent="0.25">
      <c r="A234" t="s">
        <v>975</v>
      </c>
      <c r="B234" t="str">
        <f>resultado_db_usuario_10[[#This Row],[metodo]]&amp;" "&amp;SUBSTITUTE(resultado_db_usuario_10[[#This Row],[rota]],"/api/v1","")</f>
        <v>GET /etapas/</v>
      </c>
      <c r="C234" t="s">
        <v>12</v>
      </c>
      <c r="D234" t="s">
        <v>18</v>
      </c>
      <c r="E234" t="s">
        <v>19</v>
      </c>
      <c r="F234">
        <v>200</v>
      </c>
      <c r="G234" s="2">
        <v>14.92</v>
      </c>
      <c r="H234" s="1">
        <v>46166.641077280095</v>
      </c>
      <c r="I234" s="1">
        <v>46166.641077453707</v>
      </c>
      <c r="J234" t="s">
        <v>15</v>
      </c>
      <c r="K234" t="s">
        <v>16</v>
      </c>
      <c r="L234" s="1">
        <v>46166.641077465276</v>
      </c>
    </row>
    <row r="235" spans="1:12" x14ac:dyDescent="0.25">
      <c r="A235" t="s">
        <v>990</v>
      </c>
      <c r="B235" t="str">
        <f>resultado_db_usuario_10[[#This Row],[metodo]]&amp;" "&amp;SUBSTITUTE(resultado_db_usuario_10[[#This Row],[rota]],"/api/v1","")</f>
        <v>GET /etapas/</v>
      </c>
      <c r="C235" t="s">
        <v>12</v>
      </c>
      <c r="D235" t="s">
        <v>18</v>
      </c>
      <c r="E235" t="s">
        <v>19</v>
      </c>
      <c r="F235">
        <v>200</v>
      </c>
      <c r="G235" s="2">
        <v>11.41</v>
      </c>
      <c r="H235" s="1">
        <v>46166.641077708337</v>
      </c>
      <c r="I235" s="1">
        <v>46166.641077835651</v>
      </c>
      <c r="J235" t="s">
        <v>15</v>
      </c>
      <c r="K235" t="s">
        <v>16</v>
      </c>
      <c r="L235" s="1">
        <v>46166.64107784722</v>
      </c>
    </row>
    <row r="236" spans="1:12" x14ac:dyDescent="0.25">
      <c r="A236" t="s">
        <v>1010</v>
      </c>
      <c r="B236" t="str">
        <f>resultado_db_usuario_10[[#This Row],[metodo]]&amp;" "&amp;SUBSTITUTE(resultado_db_usuario_10[[#This Row],[rota]],"/api/v1","")</f>
        <v>GET /etapas/</v>
      </c>
      <c r="C236" t="s">
        <v>12</v>
      </c>
      <c r="D236" t="s">
        <v>18</v>
      </c>
      <c r="E236" t="s">
        <v>19</v>
      </c>
      <c r="F236">
        <v>200</v>
      </c>
      <c r="G236" s="2">
        <v>17.45</v>
      </c>
      <c r="H236" s="1">
        <v>46166.641078136578</v>
      </c>
      <c r="I236" s="1">
        <v>46166.64107834491</v>
      </c>
      <c r="J236" t="s">
        <v>15</v>
      </c>
      <c r="K236" t="s">
        <v>16</v>
      </c>
      <c r="L236" s="1">
        <v>46166.641078356479</v>
      </c>
    </row>
    <row r="237" spans="1:12" x14ac:dyDescent="0.25">
      <c r="A237" t="s">
        <v>1018</v>
      </c>
      <c r="B237" t="str">
        <f>resultado_db_usuario_10[[#This Row],[metodo]]&amp;" "&amp;SUBSTITUTE(resultado_db_usuario_10[[#This Row],[rota]],"/api/v1","")</f>
        <v>GET /etapas/</v>
      </c>
      <c r="C237" t="s">
        <v>12</v>
      </c>
      <c r="D237" t="s">
        <v>18</v>
      </c>
      <c r="E237" t="s">
        <v>19</v>
      </c>
      <c r="F237">
        <v>200</v>
      </c>
      <c r="G237" s="2">
        <v>23.96</v>
      </c>
      <c r="H237" s="1">
        <v>46166.641078518522</v>
      </c>
      <c r="I237" s="1">
        <v>46166.641078796296</v>
      </c>
      <c r="J237" t="s">
        <v>15</v>
      </c>
      <c r="K237" t="s">
        <v>16</v>
      </c>
      <c r="L237" s="1">
        <v>46166.641078807872</v>
      </c>
    </row>
    <row r="238" spans="1:12" x14ac:dyDescent="0.25">
      <c r="A238" t="s">
        <v>1025</v>
      </c>
      <c r="B238" t="str">
        <f>resultado_db_usuario_10[[#This Row],[metodo]]&amp;" "&amp;SUBSTITUTE(resultado_db_usuario_10[[#This Row],[rota]],"/api/v1","")</f>
        <v>GET /etapas/</v>
      </c>
      <c r="C238" t="s">
        <v>12</v>
      </c>
      <c r="D238" t="s">
        <v>18</v>
      </c>
      <c r="E238" t="s">
        <v>19</v>
      </c>
      <c r="F238">
        <v>200</v>
      </c>
      <c r="G238" s="2">
        <v>6.75</v>
      </c>
      <c r="H238" s="1">
        <v>46166.641079039349</v>
      </c>
      <c r="I238" s="1">
        <v>46166.641079120367</v>
      </c>
      <c r="J238" t="s">
        <v>15</v>
      </c>
      <c r="K238" t="s">
        <v>16</v>
      </c>
      <c r="L238" s="1">
        <v>46166.641079131943</v>
      </c>
    </row>
    <row r="239" spans="1:12" x14ac:dyDescent="0.25">
      <c r="A239" t="s">
        <v>1030</v>
      </c>
      <c r="B239" t="str">
        <f>resultado_db_usuario_10[[#This Row],[metodo]]&amp;" "&amp;SUBSTITUTE(resultado_db_usuario_10[[#This Row],[rota]],"/api/v1","")</f>
        <v>GET /etapas/</v>
      </c>
      <c r="C239" t="s">
        <v>12</v>
      </c>
      <c r="D239" t="s">
        <v>18</v>
      </c>
      <c r="E239" t="s">
        <v>19</v>
      </c>
      <c r="F239">
        <v>200</v>
      </c>
      <c r="G239" s="2">
        <v>12.27</v>
      </c>
      <c r="H239" s="1">
        <v>46166.641079074077</v>
      </c>
      <c r="I239" s="1">
        <v>46166.641079212961</v>
      </c>
      <c r="J239" t="s">
        <v>15</v>
      </c>
      <c r="K239" t="s">
        <v>16</v>
      </c>
      <c r="L239" s="1">
        <v>46166.641079236113</v>
      </c>
    </row>
    <row r="240" spans="1:12" x14ac:dyDescent="0.25">
      <c r="A240" t="s">
        <v>1032</v>
      </c>
      <c r="B240" t="str">
        <f>resultado_db_usuario_10[[#This Row],[metodo]]&amp;" "&amp;SUBSTITUTE(resultado_db_usuario_10[[#This Row],[rota]],"/api/v1","")</f>
        <v>GET /etapas/</v>
      </c>
      <c r="C240" t="s">
        <v>12</v>
      </c>
      <c r="D240" t="s">
        <v>18</v>
      </c>
      <c r="E240" t="s">
        <v>19</v>
      </c>
      <c r="F240">
        <v>200</v>
      </c>
      <c r="G240" s="2">
        <v>13.68</v>
      </c>
      <c r="H240" s="1">
        <v>46166.641079085646</v>
      </c>
      <c r="I240" s="1">
        <v>46166.641079236113</v>
      </c>
      <c r="J240" t="s">
        <v>15</v>
      </c>
      <c r="K240" t="s">
        <v>16</v>
      </c>
      <c r="L240" s="1">
        <v>46166.641079259258</v>
      </c>
    </row>
    <row r="241" spans="1:12" x14ac:dyDescent="0.25">
      <c r="A241" t="s">
        <v>1034</v>
      </c>
      <c r="B241" t="str">
        <f>resultado_db_usuario_10[[#This Row],[metodo]]&amp;" "&amp;SUBSTITUTE(resultado_db_usuario_10[[#This Row],[rota]],"/api/v1","")</f>
        <v>GET /etapas/</v>
      </c>
      <c r="C241" t="s">
        <v>12</v>
      </c>
      <c r="D241" t="s">
        <v>18</v>
      </c>
      <c r="E241" t="s">
        <v>19</v>
      </c>
      <c r="F241">
        <v>200</v>
      </c>
      <c r="G241" s="2">
        <v>15.54</v>
      </c>
      <c r="H241" s="1">
        <v>46166.641079097222</v>
      </c>
      <c r="I241" s="1">
        <v>46166.641079270834</v>
      </c>
      <c r="J241" t="s">
        <v>15</v>
      </c>
      <c r="K241" t="s">
        <v>16</v>
      </c>
      <c r="L241" s="1">
        <v>46166.641079293979</v>
      </c>
    </row>
    <row r="242" spans="1:12" x14ac:dyDescent="0.25">
      <c r="A242" t="s">
        <v>1055</v>
      </c>
      <c r="B242" t="str">
        <f>resultado_db_usuario_10[[#This Row],[metodo]]&amp;" "&amp;SUBSTITUTE(resultado_db_usuario_10[[#This Row],[rota]],"/api/v1","")</f>
        <v>GET /etapas/</v>
      </c>
      <c r="C242" t="s">
        <v>12</v>
      </c>
      <c r="D242" t="s">
        <v>18</v>
      </c>
      <c r="E242" t="s">
        <v>19</v>
      </c>
      <c r="F242">
        <v>200</v>
      </c>
      <c r="G242" s="2">
        <v>11.97</v>
      </c>
      <c r="H242" s="1">
        <v>46166.641079710651</v>
      </c>
      <c r="I242" s="1">
        <v>46166.641079849534</v>
      </c>
      <c r="J242" t="s">
        <v>15</v>
      </c>
      <c r="K242" t="s">
        <v>16</v>
      </c>
      <c r="L242" s="1">
        <v>46166.64107986111</v>
      </c>
    </row>
    <row r="243" spans="1:12" x14ac:dyDescent="0.25">
      <c r="A243" t="s">
        <v>1069</v>
      </c>
      <c r="B243" t="str">
        <f>resultado_db_usuario_10[[#This Row],[metodo]]&amp;" "&amp;SUBSTITUTE(resultado_db_usuario_10[[#This Row],[rota]],"/api/v1","")</f>
        <v>GET /etapas/</v>
      </c>
      <c r="C243" t="s">
        <v>12</v>
      </c>
      <c r="D243" t="s">
        <v>18</v>
      </c>
      <c r="E243" t="s">
        <v>19</v>
      </c>
      <c r="F243">
        <v>200</v>
      </c>
      <c r="G243" s="2">
        <v>9.84</v>
      </c>
      <c r="H243" s="1">
        <v>46166.641080046298</v>
      </c>
      <c r="I243" s="1">
        <v>46166.641080162037</v>
      </c>
      <c r="J243" t="s">
        <v>15</v>
      </c>
      <c r="K243" t="s">
        <v>16</v>
      </c>
      <c r="L243" s="1">
        <v>46166.641080185182</v>
      </c>
    </row>
    <row r="244" spans="1:12" x14ac:dyDescent="0.25">
      <c r="A244" t="s">
        <v>1095</v>
      </c>
      <c r="B244" t="str">
        <f>resultado_db_usuario_10[[#This Row],[metodo]]&amp;" "&amp;SUBSTITUTE(resultado_db_usuario_10[[#This Row],[rota]],"/api/v1","")</f>
        <v>GET /etapas/</v>
      </c>
      <c r="C244" t="s">
        <v>12</v>
      </c>
      <c r="D244" t="s">
        <v>18</v>
      </c>
      <c r="E244" t="s">
        <v>19</v>
      </c>
      <c r="F244">
        <v>200</v>
      </c>
      <c r="G244" s="2">
        <v>15.46</v>
      </c>
      <c r="H244" s="1">
        <v>46166.641080717593</v>
      </c>
      <c r="I244" s="1">
        <v>46166.64108090278</v>
      </c>
      <c r="J244" t="s">
        <v>15</v>
      </c>
      <c r="K244" t="s">
        <v>16</v>
      </c>
      <c r="L244" s="1">
        <v>46166.641080914349</v>
      </c>
    </row>
    <row r="245" spans="1:12" x14ac:dyDescent="0.25">
      <c r="A245" t="s">
        <v>1116</v>
      </c>
      <c r="B245" t="str">
        <f>resultado_db_usuario_10[[#This Row],[metodo]]&amp;" "&amp;SUBSTITUTE(resultado_db_usuario_10[[#This Row],[rota]],"/api/v1","")</f>
        <v>GET /etapas/</v>
      </c>
      <c r="C245" t="s">
        <v>12</v>
      </c>
      <c r="D245" t="s">
        <v>18</v>
      </c>
      <c r="E245" t="s">
        <v>19</v>
      </c>
      <c r="F245">
        <v>200</v>
      </c>
      <c r="G245" s="2">
        <v>9.16</v>
      </c>
      <c r="H245" s="1">
        <v>46166.641081145834</v>
      </c>
      <c r="I245" s="1">
        <v>46166.641081250003</v>
      </c>
      <c r="J245" t="s">
        <v>15</v>
      </c>
      <c r="K245" t="s">
        <v>16</v>
      </c>
      <c r="L245" s="1">
        <v>46166.641081273148</v>
      </c>
    </row>
    <row r="246" spans="1:12" x14ac:dyDescent="0.25">
      <c r="A246" t="s">
        <v>1133</v>
      </c>
      <c r="B246" t="str">
        <f>resultado_db_usuario_10[[#This Row],[metodo]]&amp;" "&amp;SUBSTITUTE(resultado_db_usuario_10[[#This Row],[rota]],"/api/v1","")</f>
        <v>GET /etapas/</v>
      </c>
      <c r="C246" t="s">
        <v>12</v>
      </c>
      <c r="D246" t="s">
        <v>18</v>
      </c>
      <c r="E246" t="s">
        <v>19</v>
      </c>
      <c r="F246">
        <v>200</v>
      </c>
      <c r="G246" s="2">
        <v>15.38</v>
      </c>
      <c r="H246" s="1">
        <v>46166.641081631948</v>
      </c>
      <c r="I246" s="1">
        <v>46166.641081817128</v>
      </c>
      <c r="J246" t="s">
        <v>15</v>
      </c>
      <c r="K246" t="s">
        <v>16</v>
      </c>
      <c r="L246" s="1">
        <v>46166.641081828704</v>
      </c>
    </row>
    <row r="247" spans="1:12" x14ac:dyDescent="0.25">
      <c r="A247" t="s">
        <v>1142</v>
      </c>
      <c r="B247" t="str">
        <f>resultado_db_usuario_10[[#This Row],[metodo]]&amp;" "&amp;SUBSTITUTE(resultado_db_usuario_10[[#This Row],[rota]],"/api/v1","")</f>
        <v>GET /etapas/</v>
      </c>
      <c r="C247" t="s">
        <v>12</v>
      </c>
      <c r="D247" t="s">
        <v>18</v>
      </c>
      <c r="E247" t="s">
        <v>19</v>
      </c>
      <c r="F247">
        <v>200</v>
      </c>
      <c r="G247" s="2">
        <v>17.07</v>
      </c>
      <c r="H247" s="1">
        <v>46166.641082060189</v>
      </c>
      <c r="I247" s="1">
        <v>46166.641082256945</v>
      </c>
      <c r="J247" t="s">
        <v>15</v>
      </c>
      <c r="K247" t="s">
        <v>16</v>
      </c>
      <c r="L247" s="1">
        <v>46166.64108228009</v>
      </c>
    </row>
    <row r="248" spans="1:12" x14ac:dyDescent="0.25">
      <c r="A248" t="s">
        <v>1147</v>
      </c>
      <c r="B248" t="str">
        <f>resultado_db_usuario_10[[#This Row],[metodo]]&amp;" "&amp;SUBSTITUTE(resultado_db_usuario_10[[#This Row],[rota]],"/api/v1","")</f>
        <v>GET /etapas/</v>
      </c>
      <c r="C248" t="s">
        <v>12</v>
      </c>
      <c r="D248" t="s">
        <v>18</v>
      </c>
      <c r="E248" t="s">
        <v>19</v>
      </c>
      <c r="F248">
        <v>200</v>
      </c>
      <c r="G248" s="2">
        <v>19.89</v>
      </c>
      <c r="H248" s="1">
        <v>46166.641082106478</v>
      </c>
      <c r="I248" s="1">
        <v>46166.641082337963</v>
      </c>
      <c r="J248" t="s">
        <v>15</v>
      </c>
      <c r="K248" t="s">
        <v>16</v>
      </c>
      <c r="L248" s="1">
        <v>46166.641082349539</v>
      </c>
    </row>
    <row r="249" spans="1:12" x14ac:dyDescent="0.25">
      <c r="A249" t="s">
        <v>1149</v>
      </c>
      <c r="B249" t="str">
        <f>resultado_db_usuario_10[[#This Row],[metodo]]&amp;" "&amp;SUBSTITUTE(resultado_db_usuario_10[[#This Row],[rota]],"/api/v1","")</f>
        <v>GET /etapas/</v>
      </c>
      <c r="C249" t="s">
        <v>12</v>
      </c>
      <c r="D249" t="s">
        <v>18</v>
      </c>
      <c r="E249" t="s">
        <v>19</v>
      </c>
      <c r="F249">
        <v>200</v>
      </c>
      <c r="G249" s="2">
        <v>20.8</v>
      </c>
      <c r="H249" s="1">
        <v>46166.64108212963</v>
      </c>
      <c r="I249" s="1">
        <v>46166.641082361108</v>
      </c>
      <c r="J249" t="s">
        <v>15</v>
      </c>
      <c r="K249" t="s">
        <v>16</v>
      </c>
      <c r="L249" s="1">
        <v>46166.64108238426</v>
      </c>
    </row>
    <row r="250" spans="1:12" x14ac:dyDescent="0.25">
      <c r="A250" t="s">
        <v>1150</v>
      </c>
      <c r="B250" t="str">
        <f>resultado_db_usuario_10[[#This Row],[metodo]]&amp;" "&amp;SUBSTITUTE(resultado_db_usuario_10[[#This Row],[rota]],"/api/v1","")</f>
        <v>GET /etapas/</v>
      </c>
      <c r="C250" t="s">
        <v>12</v>
      </c>
      <c r="D250" t="s">
        <v>18</v>
      </c>
      <c r="E250" t="s">
        <v>19</v>
      </c>
      <c r="F250">
        <v>200</v>
      </c>
      <c r="G250" s="2">
        <v>18.11</v>
      </c>
      <c r="H250" s="1">
        <v>46166.641082175927</v>
      </c>
      <c r="I250" s="1">
        <v>46166.64108238426</v>
      </c>
      <c r="J250" t="s">
        <v>15</v>
      </c>
      <c r="K250" t="s">
        <v>16</v>
      </c>
      <c r="L250" s="1">
        <v>46166.641082407405</v>
      </c>
    </row>
    <row r="251" spans="1:12" x14ac:dyDescent="0.25">
      <c r="A251" t="s">
        <v>1152</v>
      </c>
      <c r="B251" t="str">
        <f>resultado_db_usuario_10[[#This Row],[metodo]]&amp;" "&amp;SUBSTITUTE(resultado_db_usuario_10[[#This Row],[rota]],"/api/v1","")</f>
        <v>GET /etapas/</v>
      </c>
      <c r="C251" t="s">
        <v>12</v>
      </c>
      <c r="D251" t="s">
        <v>18</v>
      </c>
      <c r="E251" t="s">
        <v>19</v>
      </c>
      <c r="F251">
        <v>200</v>
      </c>
      <c r="G251" s="2">
        <v>7.11</v>
      </c>
      <c r="H251" s="1">
        <v>46166.641082395836</v>
      </c>
      <c r="I251" s="1">
        <v>46166.641082476854</v>
      </c>
      <c r="J251" t="s">
        <v>15</v>
      </c>
      <c r="K251" t="s">
        <v>16</v>
      </c>
      <c r="L251" s="1">
        <v>46166.641082499998</v>
      </c>
    </row>
    <row r="252" spans="1:12" x14ac:dyDescent="0.25">
      <c r="A252" t="s">
        <v>1180</v>
      </c>
      <c r="B252" t="str">
        <f>resultado_db_usuario_10[[#This Row],[metodo]]&amp;" "&amp;SUBSTITUTE(resultado_db_usuario_10[[#This Row],[rota]],"/api/v1","")</f>
        <v>GET /etapas/</v>
      </c>
      <c r="C252" t="s">
        <v>12</v>
      </c>
      <c r="D252" t="s">
        <v>18</v>
      </c>
      <c r="E252" t="s">
        <v>19</v>
      </c>
      <c r="F252">
        <v>200</v>
      </c>
      <c r="G252" s="2">
        <v>16.95</v>
      </c>
      <c r="H252" s="1">
        <v>46166.641083252318</v>
      </c>
      <c r="I252" s="1">
        <v>46166.641083449074</v>
      </c>
      <c r="J252" t="s">
        <v>15</v>
      </c>
      <c r="K252" t="s">
        <v>16</v>
      </c>
      <c r="L252" s="1">
        <v>46166.641083472219</v>
      </c>
    </row>
    <row r="253" spans="1:12" x14ac:dyDescent="0.25">
      <c r="A253" t="s">
        <v>1186</v>
      </c>
      <c r="B253" t="str">
        <f>resultado_db_usuario_10[[#This Row],[metodo]]&amp;" "&amp;SUBSTITUTE(resultado_db_usuario_10[[#This Row],[rota]],"/api/v1","")</f>
        <v>GET /etapas/</v>
      </c>
      <c r="C253" t="s">
        <v>12</v>
      </c>
      <c r="D253" t="s">
        <v>18</v>
      </c>
      <c r="E253" t="s">
        <v>19</v>
      </c>
      <c r="F253">
        <v>200</v>
      </c>
      <c r="G253" s="2">
        <v>11.62</v>
      </c>
      <c r="H253" s="1">
        <v>46166.641083518516</v>
      </c>
      <c r="I253" s="1">
        <v>46166.641083645831</v>
      </c>
      <c r="J253" t="s">
        <v>15</v>
      </c>
      <c r="K253" t="s">
        <v>16</v>
      </c>
      <c r="L253" s="1">
        <v>46166.641083668983</v>
      </c>
    </row>
    <row r="254" spans="1:12" x14ac:dyDescent="0.25">
      <c r="A254" t="s">
        <v>1217</v>
      </c>
      <c r="B254" t="str">
        <f>resultado_db_usuario_10[[#This Row],[metodo]]&amp;" "&amp;SUBSTITUTE(resultado_db_usuario_10[[#This Row],[rota]],"/api/v1","")</f>
        <v>GET /etapas/</v>
      </c>
      <c r="C254" t="s">
        <v>12</v>
      </c>
      <c r="D254" t="s">
        <v>18</v>
      </c>
      <c r="E254" t="s">
        <v>19</v>
      </c>
      <c r="F254">
        <v>200</v>
      </c>
      <c r="G254" s="2">
        <v>12.18</v>
      </c>
      <c r="H254" s="1">
        <v>46166.641084305556</v>
      </c>
      <c r="I254" s="1">
        <v>46166.641084444447</v>
      </c>
      <c r="J254" t="s">
        <v>15</v>
      </c>
      <c r="K254" t="s">
        <v>16</v>
      </c>
      <c r="L254" s="1">
        <v>46166.641084467592</v>
      </c>
    </row>
    <row r="255" spans="1:12" x14ac:dyDescent="0.25">
      <c r="A255" t="s">
        <v>1235</v>
      </c>
      <c r="B255" t="str">
        <f>resultado_db_usuario_10[[#This Row],[metodo]]&amp;" "&amp;SUBSTITUTE(resultado_db_usuario_10[[#This Row],[rota]],"/api/v1","")</f>
        <v>GET /etapas/</v>
      </c>
      <c r="C255" t="s">
        <v>12</v>
      </c>
      <c r="D255" t="s">
        <v>18</v>
      </c>
      <c r="E255" t="s">
        <v>19</v>
      </c>
      <c r="F255">
        <v>200</v>
      </c>
      <c r="G255" s="2">
        <v>11.2</v>
      </c>
      <c r="H255" s="1">
        <v>46166.641084733797</v>
      </c>
      <c r="I255" s="1">
        <v>46166.641084861112</v>
      </c>
      <c r="J255" t="s">
        <v>15</v>
      </c>
      <c r="K255" t="s">
        <v>16</v>
      </c>
      <c r="L255" s="1">
        <v>46166.641084884257</v>
      </c>
    </row>
    <row r="256" spans="1:12" x14ac:dyDescent="0.25">
      <c r="A256" t="s">
        <v>1252</v>
      </c>
      <c r="B256" t="str">
        <f>resultado_db_usuario_10[[#This Row],[metodo]]&amp;" "&amp;SUBSTITUTE(resultado_db_usuario_10[[#This Row],[rota]],"/api/v1","")</f>
        <v>GET /etapas/</v>
      </c>
      <c r="C256" t="s">
        <v>12</v>
      </c>
      <c r="D256" t="s">
        <v>18</v>
      </c>
      <c r="E256" t="s">
        <v>19</v>
      </c>
      <c r="F256">
        <v>200</v>
      </c>
      <c r="G256" s="2">
        <v>10.52</v>
      </c>
      <c r="H256" s="1">
        <v>46166.641085451389</v>
      </c>
      <c r="I256" s="1">
        <v>46166.641085578703</v>
      </c>
      <c r="J256" t="s">
        <v>15</v>
      </c>
      <c r="K256" t="s">
        <v>16</v>
      </c>
      <c r="L256" s="1">
        <v>46166.64108559028</v>
      </c>
    </row>
    <row r="257" spans="1:12" x14ac:dyDescent="0.25">
      <c r="A257" t="s">
        <v>1253</v>
      </c>
      <c r="B257" t="str">
        <f>resultado_db_usuario_10[[#This Row],[metodo]]&amp;" "&amp;SUBSTITUTE(resultado_db_usuario_10[[#This Row],[rota]],"/api/v1","")</f>
        <v>GET /etapas/</v>
      </c>
      <c r="C257" t="s">
        <v>12</v>
      </c>
      <c r="D257" t="s">
        <v>18</v>
      </c>
      <c r="E257" t="s">
        <v>19</v>
      </c>
      <c r="F257">
        <v>200</v>
      </c>
      <c r="G257" s="2">
        <v>11.36</v>
      </c>
      <c r="H257" s="1">
        <v>46166.641085462965</v>
      </c>
      <c r="I257" s="1">
        <v>46166.64108559028</v>
      </c>
      <c r="J257" t="s">
        <v>15</v>
      </c>
      <c r="K257" t="s">
        <v>16</v>
      </c>
      <c r="L257" s="1">
        <v>46166.641085613424</v>
      </c>
    </row>
    <row r="258" spans="1:12" x14ac:dyDescent="0.25">
      <c r="A258" t="s">
        <v>1254</v>
      </c>
      <c r="B258" t="str">
        <f>resultado_db_usuario_10[[#This Row],[metodo]]&amp;" "&amp;SUBSTITUTE(resultado_db_usuario_10[[#This Row],[rota]],"/api/v1","")</f>
        <v>GET /etapas/</v>
      </c>
      <c r="C258" t="s">
        <v>12</v>
      </c>
      <c r="D258" t="s">
        <v>18</v>
      </c>
      <c r="E258" t="s">
        <v>19</v>
      </c>
      <c r="F258">
        <v>200</v>
      </c>
      <c r="G258" s="2">
        <v>11.15</v>
      </c>
      <c r="H258" s="1">
        <v>46166.641085497686</v>
      </c>
      <c r="I258" s="1">
        <v>46166.641085625</v>
      </c>
      <c r="J258" t="s">
        <v>15</v>
      </c>
      <c r="K258" t="s">
        <v>16</v>
      </c>
      <c r="L258" s="1">
        <v>46166.641085636576</v>
      </c>
    </row>
    <row r="259" spans="1:12" x14ac:dyDescent="0.25">
      <c r="A259" t="s">
        <v>1255</v>
      </c>
      <c r="B259" t="str">
        <f>resultado_db_usuario_10[[#This Row],[metodo]]&amp;" "&amp;SUBSTITUTE(resultado_db_usuario_10[[#This Row],[rota]],"/api/v1","")</f>
        <v>GET /etapas/</v>
      </c>
      <c r="C259" t="s">
        <v>12</v>
      </c>
      <c r="D259" t="s">
        <v>18</v>
      </c>
      <c r="E259" t="s">
        <v>19</v>
      </c>
      <c r="F259">
        <v>200</v>
      </c>
      <c r="G259" s="2">
        <v>11.59</v>
      </c>
      <c r="H259" s="1">
        <v>46166.641085509262</v>
      </c>
      <c r="I259" s="1">
        <v>46166.641085636576</v>
      </c>
      <c r="J259" t="s">
        <v>15</v>
      </c>
      <c r="K259" t="s">
        <v>16</v>
      </c>
      <c r="L259" s="1">
        <v>46166.641085648145</v>
      </c>
    </row>
    <row r="260" spans="1:12" x14ac:dyDescent="0.25">
      <c r="A260" t="s">
        <v>1259</v>
      </c>
      <c r="B260" t="str">
        <f>resultado_db_usuario_10[[#This Row],[metodo]]&amp;" "&amp;SUBSTITUTE(resultado_db_usuario_10[[#This Row],[rota]],"/api/v1","")</f>
        <v>GET /etapas/</v>
      </c>
      <c r="C260" t="s">
        <v>12</v>
      </c>
      <c r="D260" t="s">
        <v>18</v>
      </c>
      <c r="E260" t="s">
        <v>19</v>
      </c>
      <c r="F260">
        <v>200</v>
      </c>
      <c r="G260" s="2">
        <v>13.57</v>
      </c>
      <c r="H260" s="1">
        <v>46166.641085520831</v>
      </c>
      <c r="I260" s="1">
        <v>46166.641085682873</v>
      </c>
      <c r="J260" t="s">
        <v>15</v>
      </c>
      <c r="K260" t="s">
        <v>16</v>
      </c>
      <c r="L260" s="1">
        <v>46166.641085706018</v>
      </c>
    </row>
    <row r="261" spans="1:12" x14ac:dyDescent="0.25">
      <c r="A261" t="s">
        <v>1270</v>
      </c>
      <c r="B261" t="str">
        <f>resultado_db_usuario_10[[#This Row],[metodo]]&amp;" "&amp;SUBSTITUTE(resultado_db_usuario_10[[#This Row],[rota]],"/api/v1","")</f>
        <v>GET /etapas/</v>
      </c>
      <c r="C261" t="s">
        <v>12</v>
      </c>
      <c r="D261" t="s">
        <v>18</v>
      </c>
      <c r="E261" t="s">
        <v>19</v>
      </c>
      <c r="F261">
        <v>200</v>
      </c>
      <c r="G261" s="2">
        <v>13.92</v>
      </c>
      <c r="H261" s="1">
        <v>46166.641085810188</v>
      </c>
      <c r="I261" s="1">
        <v>46166.641085972224</v>
      </c>
      <c r="J261" t="s">
        <v>15</v>
      </c>
      <c r="K261" t="s">
        <v>16</v>
      </c>
      <c r="L261" s="1">
        <v>46166.6410859838</v>
      </c>
    </row>
    <row r="262" spans="1:12" x14ac:dyDescent="0.25">
      <c r="A262" t="s">
        <v>1289</v>
      </c>
      <c r="B262" t="str">
        <f>resultado_db_usuario_10[[#This Row],[metodo]]&amp;" "&amp;SUBSTITUTE(resultado_db_usuario_10[[#This Row],[rota]],"/api/v1","")</f>
        <v>GET /etapas/</v>
      </c>
      <c r="C262" t="s">
        <v>12</v>
      </c>
      <c r="D262" t="s">
        <v>18</v>
      </c>
      <c r="E262" t="s">
        <v>19</v>
      </c>
      <c r="F262">
        <v>200</v>
      </c>
      <c r="G262" s="2">
        <v>9.76</v>
      </c>
      <c r="H262" s="1">
        <v>46166.641086377313</v>
      </c>
      <c r="I262" s="1">
        <v>46166.641086493059</v>
      </c>
      <c r="J262" t="s">
        <v>15</v>
      </c>
      <c r="K262" t="s">
        <v>16</v>
      </c>
      <c r="L262" s="1">
        <v>46166.641086504627</v>
      </c>
    </row>
    <row r="263" spans="1:12" x14ac:dyDescent="0.25">
      <c r="A263" t="s">
        <v>1299</v>
      </c>
      <c r="B263" t="str">
        <f>resultado_db_usuario_10[[#This Row],[metodo]]&amp;" "&amp;SUBSTITUTE(resultado_db_usuario_10[[#This Row],[rota]],"/api/v1","")</f>
        <v>GET /etapas/</v>
      </c>
      <c r="C263" t="s">
        <v>12</v>
      </c>
      <c r="D263" t="s">
        <v>18</v>
      </c>
      <c r="E263" t="s">
        <v>19</v>
      </c>
      <c r="F263">
        <v>200</v>
      </c>
      <c r="G263" s="2">
        <v>7.86</v>
      </c>
      <c r="H263" s="1">
        <v>46166.641086701391</v>
      </c>
      <c r="I263" s="1">
        <v>46166.641086793985</v>
      </c>
      <c r="J263" t="s">
        <v>15</v>
      </c>
      <c r="K263" t="s">
        <v>16</v>
      </c>
      <c r="L263" s="1">
        <v>46166.64108681713</v>
      </c>
    </row>
    <row r="264" spans="1:12" x14ac:dyDescent="0.25">
      <c r="A264" t="s">
        <v>1327</v>
      </c>
      <c r="B264" t="str">
        <f>resultado_db_usuario_10[[#This Row],[metodo]]&amp;" "&amp;SUBSTITUTE(resultado_db_usuario_10[[#This Row],[rota]],"/api/v1","")</f>
        <v>GET /etapas/</v>
      </c>
      <c r="C264" t="s">
        <v>12</v>
      </c>
      <c r="D264" t="s">
        <v>18</v>
      </c>
      <c r="E264" t="s">
        <v>19</v>
      </c>
      <c r="F264">
        <v>200</v>
      </c>
      <c r="G264" s="2">
        <v>10.45</v>
      </c>
      <c r="H264" s="1">
        <v>46166.641087337965</v>
      </c>
      <c r="I264" s="1">
        <v>46166.641087453703</v>
      </c>
      <c r="J264" t="s">
        <v>15</v>
      </c>
      <c r="K264" t="s">
        <v>16</v>
      </c>
      <c r="L264" s="1">
        <v>46166.641087476855</v>
      </c>
    </row>
    <row r="265" spans="1:12" x14ac:dyDescent="0.25">
      <c r="A265" t="s">
        <v>1348</v>
      </c>
      <c r="B265" t="str">
        <f>resultado_db_usuario_10[[#This Row],[metodo]]&amp;" "&amp;SUBSTITUTE(resultado_db_usuario_10[[#This Row],[rota]],"/api/v1","")</f>
        <v>GET /etapas/</v>
      </c>
      <c r="C265" t="s">
        <v>12</v>
      </c>
      <c r="D265" t="s">
        <v>18</v>
      </c>
      <c r="E265" t="s">
        <v>19</v>
      </c>
      <c r="F265">
        <v>200</v>
      </c>
      <c r="G265" s="2">
        <v>8.75</v>
      </c>
      <c r="H265" s="1">
        <v>46166.641087881944</v>
      </c>
      <c r="I265" s="1">
        <v>46166.641087974538</v>
      </c>
      <c r="J265" t="s">
        <v>15</v>
      </c>
      <c r="K265" t="s">
        <v>16</v>
      </c>
      <c r="L265" s="1">
        <v>46166.641087997683</v>
      </c>
    </row>
    <row r="266" spans="1:12" x14ac:dyDescent="0.25">
      <c r="A266" t="s">
        <v>1360</v>
      </c>
      <c r="B266" t="str">
        <f>resultado_db_usuario_10[[#This Row],[metodo]]&amp;" "&amp;SUBSTITUTE(resultado_db_usuario_10[[#This Row],[rota]],"/api/v1","")</f>
        <v>GET /etapas/</v>
      </c>
      <c r="C266" t="s">
        <v>12</v>
      </c>
      <c r="D266" t="s">
        <v>18</v>
      </c>
      <c r="E266" t="s">
        <v>19</v>
      </c>
      <c r="F266">
        <v>200</v>
      </c>
      <c r="G266" s="2">
        <v>8.61</v>
      </c>
      <c r="H266" s="1">
        <v>46166.641088402779</v>
      </c>
      <c r="I266" s="1">
        <v>46166.641088506942</v>
      </c>
      <c r="J266" t="s">
        <v>15</v>
      </c>
      <c r="K266" t="s">
        <v>16</v>
      </c>
      <c r="L266" s="1">
        <v>46166.641088518518</v>
      </c>
    </row>
    <row r="267" spans="1:12" x14ac:dyDescent="0.25">
      <c r="A267" t="s">
        <v>1363</v>
      </c>
      <c r="B267" t="str">
        <f>resultado_db_usuario_10[[#This Row],[metodo]]&amp;" "&amp;SUBSTITUTE(resultado_db_usuario_10[[#This Row],[rota]],"/api/v1","")</f>
        <v>GET /etapas/</v>
      </c>
      <c r="C267" t="s">
        <v>12</v>
      </c>
      <c r="D267" t="s">
        <v>18</v>
      </c>
      <c r="E267" t="s">
        <v>19</v>
      </c>
      <c r="F267">
        <v>200</v>
      </c>
      <c r="G267" s="2">
        <v>8.15</v>
      </c>
      <c r="H267" s="1">
        <v>46166.641088460645</v>
      </c>
      <c r="I267" s="1">
        <v>46166.641088553239</v>
      </c>
      <c r="J267" t="s">
        <v>15</v>
      </c>
      <c r="K267" t="s">
        <v>16</v>
      </c>
      <c r="L267" s="1">
        <v>46166.641088564815</v>
      </c>
    </row>
    <row r="268" spans="1:12" x14ac:dyDescent="0.25">
      <c r="A268" t="s">
        <v>1366</v>
      </c>
      <c r="B268" t="str">
        <f>resultado_db_usuario_10[[#This Row],[metodo]]&amp;" "&amp;SUBSTITUTE(resultado_db_usuario_10[[#This Row],[rota]],"/api/v1","")</f>
        <v>GET /etapas/</v>
      </c>
      <c r="C268" t="s">
        <v>12</v>
      </c>
      <c r="D268" t="s">
        <v>18</v>
      </c>
      <c r="E268" t="s">
        <v>19</v>
      </c>
      <c r="F268">
        <v>200</v>
      </c>
      <c r="G268" s="2">
        <v>13.17</v>
      </c>
      <c r="H268" s="1">
        <v>46166.641088472221</v>
      </c>
      <c r="I268" s="1">
        <v>46166.641088622688</v>
      </c>
      <c r="J268" t="s">
        <v>15</v>
      </c>
      <c r="K268" t="s">
        <v>16</v>
      </c>
      <c r="L268" s="1">
        <v>46166.641088634256</v>
      </c>
    </row>
    <row r="269" spans="1:12" x14ac:dyDescent="0.25">
      <c r="A269" t="s">
        <v>1367</v>
      </c>
      <c r="B269" t="str">
        <f>resultado_db_usuario_10[[#This Row],[metodo]]&amp;" "&amp;SUBSTITUTE(resultado_db_usuario_10[[#This Row],[rota]],"/api/v1","")</f>
        <v>GET /etapas/</v>
      </c>
      <c r="C269" t="s">
        <v>12</v>
      </c>
      <c r="D269" t="s">
        <v>18</v>
      </c>
      <c r="E269" t="s">
        <v>19</v>
      </c>
      <c r="F269">
        <v>200</v>
      </c>
      <c r="G269" s="2">
        <v>14.39</v>
      </c>
      <c r="H269" s="1">
        <v>46166.641088472221</v>
      </c>
      <c r="I269" s="1">
        <v>46166.641088645832</v>
      </c>
      <c r="J269" t="s">
        <v>15</v>
      </c>
      <c r="K269" t="s">
        <v>16</v>
      </c>
      <c r="L269" s="1">
        <v>46166.641088657409</v>
      </c>
    </row>
    <row r="270" spans="1:12" x14ac:dyDescent="0.25">
      <c r="A270" t="s">
        <v>1381</v>
      </c>
      <c r="B270" t="str">
        <f>resultado_db_usuario_10[[#This Row],[metodo]]&amp;" "&amp;SUBSTITUTE(resultado_db_usuario_10[[#This Row],[rota]],"/api/v1","")</f>
        <v>GET /etapas/</v>
      </c>
      <c r="C270" t="s">
        <v>12</v>
      </c>
      <c r="D270" t="s">
        <v>18</v>
      </c>
      <c r="E270" t="s">
        <v>19</v>
      </c>
      <c r="F270">
        <v>200</v>
      </c>
      <c r="G270" s="2">
        <v>10.130000000000001</v>
      </c>
      <c r="H270" s="1">
        <v>46166.641088900462</v>
      </c>
      <c r="I270" s="1">
        <v>46166.641089016201</v>
      </c>
      <c r="J270" t="s">
        <v>15</v>
      </c>
      <c r="K270" t="s">
        <v>16</v>
      </c>
      <c r="L270" s="1">
        <v>46166.641089039353</v>
      </c>
    </row>
    <row r="271" spans="1:12" x14ac:dyDescent="0.25">
      <c r="A271" t="s">
        <v>1402</v>
      </c>
      <c r="B271" t="str">
        <f>resultado_db_usuario_10[[#This Row],[metodo]]&amp;" "&amp;SUBSTITUTE(resultado_db_usuario_10[[#This Row],[rota]],"/api/v1","")</f>
        <v>GET /etapas/</v>
      </c>
      <c r="C271" t="s">
        <v>12</v>
      </c>
      <c r="D271" t="s">
        <v>18</v>
      </c>
      <c r="E271" t="s">
        <v>19</v>
      </c>
      <c r="F271">
        <v>200</v>
      </c>
      <c r="G271" s="2">
        <v>11.83</v>
      </c>
      <c r="H271" s="1">
        <v>46166.641089502315</v>
      </c>
      <c r="I271" s="1">
        <v>46166.641089641205</v>
      </c>
      <c r="J271" t="s">
        <v>15</v>
      </c>
      <c r="K271" t="s">
        <v>16</v>
      </c>
      <c r="L271" s="1">
        <v>46166.641089652781</v>
      </c>
    </row>
    <row r="272" spans="1:12" x14ac:dyDescent="0.25">
      <c r="A272" t="s">
        <v>1407</v>
      </c>
      <c r="B272" t="str">
        <f>resultado_db_usuario_10[[#This Row],[metodo]]&amp;" "&amp;SUBSTITUTE(resultado_db_usuario_10[[#This Row],[rota]],"/api/v1","")</f>
        <v>GET /etapas/</v>
      </c>
      <c r="C272" t="s">
        <v>12</v>
      </c>
      <c r="D272" t="s">
        <v>18</v>
      </c>
      <c r="E272" t="s">
        <v>19</v>
      </c>
      <c r="F272">
        <v>200</v>
      </c>
      <c r="G272" s="2">
        <v>6.31</v>
      </c>
      <c r="H272" s="1">
        <v>46166.641089756944</v>
      </c>
      <c r="I272" s="1">
        <v>46166.641089826386</v>
      </c>
      <c r="J272" t="s">
        <v>15</v>
      </c>
      <c r="K272" t="s">
        <v>16</v>
      </c>
      <c r="L272" s="1">
        <v>46166.641089849538</v>
      </c>
    </row>
    <row r="273" spans="1:12" x14ac:dyDescent="0.25">
      <c r="A273" t="s">
        <v>1436</v>
      </c>
      <c r="B273" t="str">
        <f>resultado_db_usuario_10[[#This Row],[metodo]]&amp;" "&amp;SUBSTITUTE(resultado_db_usuario_10[[#This Row],[rota]],"/api/v1","")</f>
        <v>GET /etapas/</v>
      </c>
      <c r="C273" t="s">
        <v>12</v>
      </c>
      <c r="D273" t="s">
        <v>18</v>
      </c>
      <c r="E273" t="s">
        <v>19</v>
      </c>
      <c r="F273">
        <v>200</v>
      </c>
      <c r="G273" s="2">
        <v>10.29</v>
      </c>
      <c r="H273" s="1">
        <v>46166.641090393518</v>
      </c>
      <c r="I273" s="1">
        <v>46166.641090509256</v>
      </c>
      <c r="J273" t="s">
        <v>15</v>
      </c>
      <c r="K273" t="s">
        <v>16</v>
      </c>
      <c r="L273" s="1">
        <v>46166.641090520832</v>
      </c>
    </row>
    <row r="274" spans="1:12" x14ac:dyDescent="0.25">
      <c r="A274" t="s">
        <v>1450</v>
      </c>
      <c r="B274" t="str">
        <f>resultado_db_usuario_10[[#This Row],[metodo]]&amp;" "&amp;SUBSTITUTE(resultado_db_usuario_10[[#This Row],[rota]],"/api/v1","")</f>
        <v>GET /etapas/</v>
      </c>
      <c r="C274" t="s">
        <v>12</v>
      </c>
      <c r="D274" t="s">
        <v>18</v>
      </c>
      <c r="E274" t="s">
        <v>19</v>
      </c>
      <c r="F274">
        <v>200</v>
      </c>
      <c r="G274" s="2">
        <v>12.14</v>
      </c>
      <c r="H274" s="1">
        <v>46166.641090868055</v>
      </c>
      <c r="I274" s="1">
        <v>46166.641091006946</v>
      </c>
      <c r="J274" t="s">
        <v>15</v>
      </c>
      <c r="K274" t="s">
        <v>16</v>
      </c>
      <c r="L274" s="1">
        <v>46166.641091018515</v>
      </c>
    </row>
    <row r="275" spans="1:12" x14ac:dyDescent="0.25">
      <c r="A275" t="s">
        <v>1453</v>
      </c>
      <c r="B275" t="str">
        <f>resultado_db_usuario_10[[#This Row],[metodo]]&amp;" "&amp;SUBSTITUTE(resultado_db_usuario_10[[#This Row],[rota]],"/api/v1","")</f>
        <v>GET /etapas/</v>
      </c>
      <c r="C275" t="s">
        <v>12</v>
      </c>
      <c r="D275" t="s">
        <v>18</v>
      </c>
      <c r="E275" t="s">
        <v>19</v>
      </c>
      <c r="F275">
        <v>200</v>
      </c>
      <c r="G275" s="2">
        <v>14.23</v>
      </c>
      <c r="H275" s="1">
        <v>46166.641091018515</v>
      </c>
      <c r="I275" s="1">
        <v>46166.641091180558</v>
      </c>
      <c r="J275" t="s">
        <v>15</v>
      </c>
      <c r="K275" t="s">
        <v>16</v>
      </c>
      <c r="L275" s="1">
        <v>46166.641091203703</v>
      </c>
    </row>
    <row r="276" spans="1:12" x14ac:dyDescent="0.25">
      <c r="A276" t="s">
        <v>1460</v>
      </c>
      <c r="B276" t="str">
        <f>resultado_db_usuario_10[[#This Row],[metodo]]&amp;" "&amp;SUBSTITUTE(resultado_db_usuario_10[[#This Row],[rota]],"/api/v1","")</f>
        <v>GET /etapas/</v>
      </c>
      <c r="C276" t="s">
        <v>12</v>
      </c>
      <c r="D276" t="s">
        <v>18</v>
      </c>
      <c r="E276" t="s">
        <v>19</v>
      </c>
      <c r="F276">
        <v>200</v>
      </c>
      <c r="G276" s="2">
        <v>8.94</v>
      </c>
      <c r="H276" s="1">
        <v>46166.641091261576</v>
      </c>
      <c r="I276" s="1">
        <v>46166.641091365738</v>
      </c>
      <c r="J276" t="s">
        <v>15</v>
      </c>
      <c r="K276" t="s">
        <v>16</v>
      </c>
      <c r="L276" s="1">
        <v>46166.641091377314</v>
      </c>
    </row>
    <row r="277" spans="1:12" x14ac:dyDescent="0.25">
      <c r="A277" t="s">
        <v>1462</v>
      </c>
      <c r="B277" t="str">
        <f>resultado_db_usuario_10[[#This Row],[metodo]]&amp;" "&amp;SUBSTITUTE(resultado_db_usuario_10[[#This Row],[rota]],"/api/v1","")</f>
        <v>GET /etapas/</v>
      </c>
      <c r="C277" t="s">
        <v>12</v>
      </c>
      <c r="D277" t="s">
        <v>18</v>
      </c>
      <c r="E277" t="s">
        <v>19</v>
      </c>
      <c r="F277">
        <v>200</v>
      </c>
      <c r="G277" s="2">
        <v>10.15</v>
      </c>
      <c r="H277" s="1">
        <v>46166.641091296297</v>
      </c>
      <c r="I277" s="1">
        <v>46166.641091412035</v>
      </c>
      <c r="J277" t="s">
        <v>15</v>
      </c>
      <c r="K277" t="s">
        <v>16</v>
      </c>
      <c r="L277" s="1">
        <v>46166.641091435187</v>
      </c>
    </row>
    <row r="278" spans="1:12" x14ac:dyDescent="0.25">
      <c r="A278" t="s">
        <v>1476</v>
      </c>
      <c r="B278" t="str">
        <f>resultado_db_usuario_10[[#This Row],[metodo]]&amp;" "&amp;SUBSTITUTE(resultado_db_usuario_10[[#This Row],[rota]],"/api/v1","")</f>
        <v>GET /etapas/</v>
      </c>
      <c r="C278" t="s">
        <v>12</v>
      </c>
      <c r="D278" t="s">
        <v>18</v>
      </c>
      <c r="E278" t="s">
        <v>19</v>
      </c>
      <c r="F278">
        <v>200</v>
      </c>
      <c r="G278" s="2">
        <v>6.86</v>
      </c>
      <c r="H278" s="1">
        <v>46166.641091701385</v>
      </c>
      <c r="I278" s="1">
        <v>46166.641091782411</v>
      </c>
      <c r="J278" t="s">
        <v>15</v>
      </c>
      <c r="K278" t="s">
        <v>16</v>
      </c>
      <c r="L278" s="1">
        <v>46166.641091793979</v>
      </c>
    </row>
    <row r="279" spans="1:12" x14ac:dyDescent="0.25">
      <c r="A279" t="s">
        <v>1488</v>
      </c>
      <c r="B279" t="str">
        <f>resultado_db_usuario_10[[#This Row],[metodo]]&amp;" "&amp;SUBSTITUTE(resultado_db_usuario_10[[#This Row],[rota]],"/api/v1","")</f>
        <v>GET /etapas/</v>
      </c>
      <c r="C279" t="s">
        <v>12</v>
      </c>
      <c r="D279" t="s">
        <v>18</v>
      </c>
      <c r="E279" t="s">
        <v>19</v>
      </c>
      <c r="F279">
        <v>200</v>
      </c>
      <c r="G279" s="2">
        <v>6.44</v>
      </c>
      <c r="H279" s="1">
        <v>46166.641092071761</v>
      </c>
      <c r="I279" s="1">
        <v>46166.641092152779</v>
      </c>
      <c r="J279" t="s">
        <v>15</v>
      </c>
      <c r="K279" t="s">
        <v>16</v>
      </c>
      <c r="L279" s="1">
        <v>46166.641092164355</v>
      </c>
    </row>
    <row r="280" spans="1:12" x14ac:dyDescent="0.25">
      <c r="A280" t="s">
        <v>1500</v>
      </c>
      <c r="B280" t="str">
        <f>resultado_db_usuario_10[[#This Row],[metodo]]&amp;" "&amp;SUBSTITUTE(resultado_db_usuario_10[[#This Row],[rota]],"/api/v1","")</f>
        <v>GET /etapas/</v>
      </c>
      <c r="C280" t="s">
        <v>12</v>
      </c>
      <c r="D280" t="s">
        <v>18</v>
      </c>
      <c r="E280" t="s">
        <v>19</v>
      </c>
      <c r="F280">
        <v>200</v>
      </c>
      <c r="G280" s="2">
        <v>6.02</v>
      </c>
      <c r="H280" s="1">
        <v>46166.641092430553</v>
      </c>
      <c r="I280" s="1">
        <v>46166.641092500002</v>
      </c>
      <c r="J280" t="s">
        <v>15</v>
      </c>
      <c r="K280" t="s">
        <v>16</v>
      </c>
      <c r="L280" s="1">
        <v>46166.641092511571</v>
      </c>
    </row>
    <row r="281" spans="1:12" x14ac:dyDescent="0.25">
      <c r="A281" t="s">
        <v>1528</v>
      </c>
      <c r="B281" t="str">
        <f>resultado_db_usuario_10[[#This Row],[metodo]]&amp;" "&amp;SUBSTITUTE(resultado_db_usuario_10[[#This Row],[rota]],"/api/v1","")</f>
        <v>GET /etapas/</v>
      </c>
      <c r="C281" t="s">
        <v>12</v>
      </c>
      <c r="D281" t="s">
        <v>18</v>
      </c>
      <c r="E281" t="s">
        <v>19</v>
      </c>
      <c r="F281">
        <v>200</v>
      </c>
      <c r="G281" s="2">
        <v>10.73</v>
      </c>
      <c r="H281" s="1">
        <v>46166.641092997685</v>
      </c>
      <c r="I281" s="1">
        <v>46166.641093113423</v>
      </c>
      <c r="J281" t="s">
        <v>15</v>
      </c>
      <c r="K281" t="s">
        <v>16</v>
      </c>
      <c r="L281" s="1">
        <v>46166.641093136575</v>
      </c>
    </row>
    <row r="282" spans="1:12" x14ac:dyDescent="0.25">
      <c r="A282" t="s">
        <v>1538</v>
      </c>
      <c r="B282" t="str">
        <f>resultado_db_usuario_10[[#This Row],[metodo]]&amp;" "&amp;SUBSTITUTE(resultado_db_usuario_10[[#This Row],[rota]],"/api/v1","")</f>
        <v>GET /etapas/</v>
      </c>
      <c r="C282" t="s">
        <v>12</v>
      </c>
      <c r="D282" t="s">
        <v>18</v>
      </c>
      <c r="E282" t="s">
        <v>19</v>
      </c>
      <c r="F282">
        <v>200</v>
      </c>
      <c r="G282" s="2">
        <v>15.47</v>
      </c>
      <c r="H282" s="1">
        <v>46166.641093298611</v>
      </c>
      <c r="I282" s="1">
        <v>46166.641093483799</v>
      </c>
      <c r="J282" t="s">
        <v>15</v>
      </c>
      <c r="K282" t="s">
        <v>16</v>
      </c>
      <c r="L282" s="1">
        <v>46166.641093495367</v>
      </c>
    </row>
    <row r="283" spans="1:12" x14ac:dyDescent="0.25">
      <c r="A283" t="s">
        <v>1542</v>
      </c>
      <c r="B283" t="str">
        <f>resultado_db_usuario_10[[#This Row],[metodo]]&amp;" "&amp;SUBSTITUTE(resultado_db_usuario_10[[#This Row],[rota]],"/api/v1","")</f>
        <v>GET /etapas/</v>
      </c>
      <c r="C283" t="s">
        <v>12</v>
      </c>
      <c r="D283" t="s">
        <v>18</v>
      </c>
      <c r="E283" t="s">
        <v>19</v>
      </c>
      <c r="F283">
        <v>200</v>
      </c>
      <c r="G283" s="2">
        <v>13.82</v>
      </c>
      <c r="H283" s="1">
        <v>46166.641093495367</v>
      </c>
      <c r="I283" s="1">
        <v>46166.64109365741</v>
      </c>
      <c r="J283" t="s">
        <v>15</v>
      </c>
      <c r="K283" t="s">
        <v>16</v>
      </c>
      <c r="L283" s="1">
        <v>46166.641093668979</v>
      </c>
    </row>
    <row r="284" spans="1:12" x14ac:dyDescent="0.25">
      <c r="A284" t="s">
        <v>1545</v>
      </c>
      <c r="B284" t="str">
        <f>resultado_db_usuario_10[[#This Row],[metodo]]&amp;" "&amp;SUBSTITUTE(resultado_db_usuario_10[[#This Row],[rota]],"/api/v1","")</f>
        <v>GET /etapas/</v>
      </c>
      <c r="C284" t="s">
        <v>12</v>
      </c>
      <c r="D284" t="s">
        <v>18</v>
      </c>
      <c r="E284" t="s">
        <v>19</v>
      </c>
      <c r="F284">
        <v>200</v>
      </c>
      <c r="G284" s="2">
        <v>10.17</v>
      </c>
      <c r="H284" s="1">
        <v>46166.641093680555</v>
      </c>
      <c r="I284" s="1">
        <v>46166.641093796294</v>
      </c>
      <c r="J284" t="s">
        <v>15</v>
      </c>
      <c r="K284" t="s">
        <v>16</v>
      </c>
      <c r="L284" s="1">
        <v>46166.641093819446</v>
      </c>
    </row>
    <row r="285" spans="1:12" x14ac:dyDescent="0.25">
      <c r="A285" t="s">
        <v>1554</v>
      </c>
      <c r="B285" t="str">
        <f>resultado_db_usuario_10[[#This Row],[metodo]]&amp;" "&amp;SUBSTITUTE(resultado_db_usuario_10[[#This Row],[rota]],"/api/v1","")</f>
        <v>GET /etapas/</v>
      </c>
      <c r="C285" t="s">
        <v>12</v>
      </c>
      <c r="D285" t="s">
        <v>18</v>
      </c>
      <c r="E285" t="s">
        <v>19</v>
      </c>
      <c r="F285">
        <v>200</v>
      </c>
      <c r="G285" s="2">
        <v>9.2200000000000006</v>
      </c>
      <c r="H285" s="1">
        <v>46166.641093842591</v>
      </c>
      <c r="I285" s="1">
        <v>46166.641093958337</v>
      </c>
      <c r="J285" t="s">
        <v>15</v>
      </c>
      <c r="K285" t="s">
        <v>16</v>
      </c>
      <c r="L285" s="1">
        <v>46166.641093969905</v>
      </c>
    </row>
    <row r="286" spans="1:12" x14ac:dyDescent="0.25">
      <c r="A286" t="s">
        <v>1569</v>
      </c>
      <c r="B286" t="str">
        <f>resultado_db_usuario_10[[#This Row],[metodo]]&amp;" "&amp;SUBSTITUTE(resultado_db_usuario_10[[#This Row],[rota]],"/api/v1","")</f>
        <v>GET /etapas/</v>
      </c>
      <c r="C286" t="s">
        <v>12</v>
      </c>
      <c r="D286" t="s">
        <v>18</v>
      </c>
      <c r="E286" t="s">
        <v>19</v>
      </c>
      <c r="F286">
        <v>200</v>
      </c>
      <c r="G286" s="2">
        <v>9.2100000000000009</v>
      </c>
      <c r="H286" s="1">
        <v>46166.641094236111</v>
      </c>
      <c r="I286" s="1">
        <v>46166.641094340281</v>
      </c>
      <c r="J286" t="s">
        <v>15</v>
      </c>
      <c r="K286" t="s">
        <v>16</v>
      </c>
      <c r="L286" s="1">
        <v>46166.641094351849</v>
      </c>
    </row>
    <row r="287" spans="1:12" x14ac:dyDescent="0.25">
      <c r="A287" t="s">
        <v>1595</v>
      </c>
      <c r="B287" t="str">
        <f>resultado_db_usuario_10[[#This Row],[metodo]]&amp;" "&amp;SUBSTITUTE(resultado_db_usuario_10[[#This Row],[rota]],"/api/v1","")</f>
        <v>GET /etapas/</v>
      </c>
      <c r="C287" t="s">
        <v>12</v>
      </c>
      <c r="D287" t="s">
        <v>18</v>
      </c>
      <c r="E287" t="s">
        <v>19</v>
      </c>
      <c r="F287">
        <v>200</v>
      </c>
      <c r="G287" s="2">
        <v>6.87</v>
      </c>
      <c r="H287" s="1">
        <v>46166.641094976854</v>
      </c>
      <c r="I287" s="1">
        <v>46166.641095057872</v>
      </c>
      <c r="J287" t="s">
        <v>15</v>
      </c>
      <c r="K287" t="s">
        <v>16</v>
      </c>
      <c r="L287" s="1">
        <v>46166.641095081017</v>
      </c>
    </row>
    <row r="288" spans="1:12" x14ac:dyDescent="0.25">
      <c r="A288" t="s">
        <v>1614</v>
      </c>
      <c r="B288" t="str">
        <f>resultado_db_usuario_10[[#This Row],[metodo]]&amp;" "&amp;SUBSTITUTE(resultado_db_usuario_10[[#This Row],[rota]],"/api/v1","")</f>
        <v>GET /etapas/</v>
      </c>
      <c r="C288" t="s">
        <v>12</v>
      </c>
      <c r="D288" t="s">
        <v>18</v>
      </c>
      <c r="E288" t="s">
        <v>19</v>
      </c>
      <c r="F288">
        <v>200</v>
      </c>
      <c r="G288" s="2">
        <v>12.72</v>
      </c>
      <c r="H288" s="1">
        <v>46166.641095486113</v>
      </c>
      <c r="I288" s="1">
        <v>46166.641095636573</v>
      </c>
      <c r="J288" t="s">
        <v>15</v>
      </c>
      <c r="K288" t="s">
        <v>16</v>
      </c>
      <c r="L288" s="1">
        <v>46166.641095648149</v>
      </c>
    </row>
    <row r="289" spans="1:12" x14ac:dyDescent="0.25">
      <c r="A289" t="s">
        <v>1622</v>
      </c>
      <c r="B289" t="str">
        <f>resultado_db_usuario_10[[#This Row],[metodo]]&amp;" "&amp;SUBSTITUTE(resultado_db_usuario_10[[#This Row],[rota]],"/api/v1","")</f>
        <v>GET /etapas/</v>
      </c>
      <c r="C289" t="s">
        <v>12</v>
      </c>
      <c r="D289" t="s">
        <v>18</v>
      </c>
      <c r="E289" t="s">
        <v>19</v>
      </c>
      <c r="F289">
        <v>200</v>
      </c>
      <c r="G289" s="2">
        <v>11.83</v>
      </c>
      <c r="H289" s="1">
        <v>46166.641095752311</v>
      </c>
      <c r="I289" s="1">
        <v>46166.641095891202</v>
      </c>
      <c r="J289" t="s">
        <v>15</v>
      </c>
      <c r="K289" t="s">
        <v>16</v>
      </c>
      <c r="L289" s="1">
        <v>46166.641095914354</v>
      </c>
    </row>
    <row r="290" spans="1:12" x14ac:dyDescent="0.25">
      <c r="A290" t="s">
        <v>1624</v>
      </c>
      <c r="B290" t="str">
        <f>resultado_db_usuario_10[[#This Row],[metodo]]&amp;" "&amp;SUBSTITUTE(resultado_db_usuario_10[[#This Row],[rota]],"/api/v1","")</f>
        <v>GET /etapas/</v>
      </c>
      <c r="C290" t="s">
        <v>12</v>
      </c>
      <c r="D290" t="s">
        <v>18</v>
      </c>
      <c r="E290" t="s">
        <v>19</v>
      </c>
      <c r="F290">
        <v>200</v>
      </c>
      <c r="G290" s="2">
        <v>14.64</v>
      </c>
      <c r="H290" s="1">
        <v>46166.641095763887</v>
      </c>
      <c r="I290" s="1">
        <v>46166.641095937499</v>
      </c>
      <c r="J290" t="s">
        <v>15</v>
      </c>
      <c r="K290" t="s">
        <v>16</v>
      </c>
      <c r="L290" s="1">
        <v>46166.641095960651</v>
      </c>
    </row>
    <row r="291" spans="1:12" x14ac:dyDescent="0.25">
      <c r="A291" t="s">
        <v>1627</v>
      </c>
      <c r="B291" t="str">
        <f>resultado_db_usuario_10[[#This Row],[metodo]]&amp;" "&amp;SUBSTITUTE(resultado_db_usuario_10[[#This Row],[rota]],"/api/v1","")</f>
        <v>GET /etapas/</v>
      </c>
      <c r="C291" t="s">
        <v>12</v>
      </c>
      <c r="D291" t="s">
        <v>18</v>
      </c>
      <c r="E291" t="s">
        <v>19</v>
      </c>
      <c r="F291">
        <v>200</v>
      </c>
      <c r="G291" s="2">
        <v>7.03</v>
      </c>
      <c r="H291" s="1">
        <v>46166.641095960651</v>
      </c>
      <c r="I291" s="1">
        <v>46166.641096041669</v>
      </c>
      <c r="J291" t="s">
        <v>15</v>
      </c>
      <c r="K291" t="s">
        <v>16</v>
      </c>
      <c r="L291" s="1">
        <v>46166.641096064814</v>
      </c>
    </row>
    <row r="292" spans="1:12" x14ac:dyDescent="0.25">
      <c r="A292" t="s">
        <v>1644</v>
      </c>
      <c r="B292" t="str">
        <f>resultado_db_usuario_10[[#This Row],[metodo]]&amp;" "&amp;SUBSTITUTE(resultado_db_usuario_10[[#This Row],[rota]],"/api/v1","")</f>
        <v>GET /etapas/</v>
      </c>
      <c r="C292" t="s">
        <v>12</v>
      </c>
      <c r="D292" t="s">
        <v>18</v>
      </c>
      <c r="E292" t="s">
        <v>19</v>
      </c>
      <c r="F292">
        <v>200</v>
      </c>
      <c r="G292" s="2">
        <v>8.61</v>
      </c>
      <c r="H292" s="1">
        <v>46166.641096435182</v>
      </c>
      <c r="I292" s="1">
        <v>46166.641096527776</v>
      </c>
      <c r="J292" t="s">
        <v>15</v>
      </c>
      <c r="K292" t="s">
        <v>16</v>
      </c>
      <c r="L292" s="1">
        <v>46166.641096550928</v>
      </c>
    </row>
    <row r="293" spans="1:12" x14ac:dyDescent="0.25">
      <c r="A293" t="s">
        <v>1667</v>
      </c>
      <c r="B293" t="str">
        <f>resultado_db_usuario_10[[#This Row],[metodo]]&amp;" "&amp;SUBSTITUTE(resultado_db_usuario_10[[#This Row],[rota]],"/api/v1","")</f>
        <v>GET /etapas/</v>
      </c>
      <c r="C293" t="s">
        <v>12</v>
      </c>
      <c r="D293" t="s">
        <v>18</v>
      </c>
      <c r="E293" t="s">
        <v>19</v>
      </c>
      <c r="F293">
        <v>200</v>
      </c>
      <c r="G293" s="2">
        <v>4.58</v>
      </c>
      <c r="H293" s="1">
        <v>46166.641097164349</v>
      </c>
      <c r="I293" s="1">
        <v>46166.641097222222</v>
      </c>
      <c r="J293" t="s">
        <v>15</v>
      </c>
      <c r="K293" t="s">
        <v>16</v>
      </c>
      <c r="L293" s="1">
        <v>46166.641097233798</v>
      </c>
    </row>
    <row r="294" spans="1:12" x14ac:dyDescent="0.25">
      <c r="A294" t="s">
        <v>1685</v>
      </c>
      <c r="B294" t="str">
        <f>resultado_db_usuario_10[[#This Row],[metodo]]&amp;" "&amp;SUBSTITUTE(resultado_db_usuario_10[[#This Row],[rota]],"/api/v1","")</f>
        <v>GET /etapas/</v>
      </c>
      <c r="C294" t="s">
        <v>12</v>
      </c>
      <c r="D294" t="s">
        <v>18</v>
      </c>
      <c r="E294" t="s">
        <v>19</v>
      </c>
      <c r="F294">
        <v>200</v>
      </c>
      <c r="G294" s="2">
        <v>9.89</v>
      </c>
      <c r="H294" s="1">
        <v>46166.641097546293</v>
      </c>
      <c r="I294" s="1">
        <v>46166.641097662039</v>
      </c>
      <c r="J294" t="s">
        <v>15</v>
      </c>
      <c r="K294" t="s">
        <v>16</v>
      </c>
      <c r="L294" s="1">
        <v>46166.641097685184</v>
      </c>
    </row>
    <row r="295" spans="1:12" x14ac:dyDescent="0.25">
      <c r="A295" t="s">
        <v>1689</v>
      </c>
      <c r="B295" t="str">
        <f>resultado_db_usuario_10[[#This Row],[metodo]]&amp;" "&amp;SUBSTITUTE(resultado_db_usuario_10[[#This Row],[rota]],"/api/v1","")</f>
        <v>GET /etapas/</v>
      </c>
      <c r="C295" t="s">
        <v>12</v>
      </c>
      <c r="D295" t="s">
        <v>18</v>
      </c>
      <c r="E295" t="s">
        <v>19</v>
      </c>
      <c r="F295">
        <v>200</v>
      </c>
      <c r="G295" s="2">
        <v>10.61</v>
      </c>
      <c r="H295" s="1">
        <v>46166.641097685184</v>
      </c>
      <c r="I295" s="1">
        <v>46166.641097812499</v>
      </c>
      <c r="J295" t="s">
        <v>15</v>
      </c>
      <c r="K295" t="s">
        <v>16</v>
      </c>
      <c r="L295" s="1">
        <v>46166.641097835651</v>
      </c>
    </row>
    <row r="296" spans="1:12" x14ac:dyDescent="0.25">
      <c r="A296" t="s">
        <v>1691</v>
      </c>
      <c r="B296" t="str">
        <f>resultado_db_usuario_10[[#This Row],[metodo]]&amp;" "&amp;SUBSTITUTE(resultado_db_usuario_10[[#This Row],[rota]],"/api/v1","")</f>
        <v>GET /etapas/</v>
      </c>
      <c r="C296" t="s">
        <v>12</v>
      </c>
      <c r="D296" t="s">
        <v>18</v>
      </c>
      <c r="E296" t="s">
        <v>19</v>
      </c>
      <c r="F296">
        <v>200</v>
      </c>
      <c r="G296" s="2">
        <v>3.69</v>
      </c>
      <c r="H296" s="1">
        <v>46166.641097847219</v>
      </c>
      <c r="I296" s="1">
        <v>46166.641097893516</v>
      </c>
      <c r="J296" t="s">
        <v>15</v>
      </c>
      <c r="K296" t="s">
        <v>16</v>
      </c>
      <c r="L296" s="1">
        <v>46166.641097905092</v>
      </c>
    </row>
    <row r="297" spans="1:12" x14ac:dyDescent="0.25">
      <c r="A297" t="s">
        <v>1707</v>
      </c>
      <c r="B297" t="str">
        <f>resultado_db_usuario_10[[#This Row],[metodo]]&amp;" "&amp;SUBSTITUTE(resultado_db_usuario_10[[#This Row],[rota]],"/api/v1","")</f>
        <v>GET /etapas/</v>
      </c>
      <c r="C297" t="s">
        <v>12</v>
      </c>
      <c r="D297" t="s">
        <v>18</v>
      </c>
      <c r="E297" t="s">
        <v>19</v>
      </c>
      <c r="F297">
        <v>200</v>
      </c>
      <c r="G297" s="2">
        <v>6.83</v>
      </c>
      <c r="H297" s="1">
        <v>46166.64109824074</v>
      </c>
      <c r="I297" s="1">
        <v>46166.641098321757</v>
      </c>
      <c r="J297" t="s">
        <v>15</v>
      </c>
      <c r="K297" t="s">
        <v>16</v>
      </c>
      <c r="L297" s="1">
        <v>46166.641098333334</v>
      </c>
    </row>
    <row r="298" spans="1:12" x14ac:dyDescent="0.25">
      <c r="A298" t="s">
        <v>1726</v>
      </c>
      <c r="B298" t="str">
        <f>resultado_db_usuario_10[[#This Row],[metodo]]&amp;" "&amp;SUBSTITUTE(resultado_db_usuario_10[[#This Row],[rota]],"/api/v1","")</f>
        <v>GET /etapas/</v>
      </c>
      <c r="C298" t="s">
        <v>12</v>
      </c>
      <c r="D298" t="s">
        <v>18</v>
      </c>
      <c r="E298" t="s">
        <v>19</v>
      </c>
      <c r="F298">
        <v>200</v>
      </c>
      <c r="G298" s="2">
        <v>7.47</v>
      </c>
      <c r="H298" s="1">
        <v>46166.641098761575</v>
      </c>
      <c r="I298" s="1">
        <v>46166.641098854168</v>
      </c>
      <c r="J298" t="s">
        <v>15</v>
      </c>
      <c r="K298" t="s">
        <v>16</v>
      </c>
      <c r="L298" s="1">
        <v>46166.641098865737</v>
      </c>
    </row>
    <row r="299" spans="1:12" x14ac:dyDescent="0.25">
      <c r="A299" t="s">
        <v>1740</v>
      </c>
      <c r="B299" t="str">
        <f>resultado_db_usuario_10[[#This Row],[metodo]]&amp;" "&amp;SUBSTITUTE(resultado_db_usuario_10[[#This Row],[rota]],"/api/v1","")</f>
        <v>GET /etapas/</v>
      </c>
      <c r="C299" t="s">
        <v>12</v>
      </c>
      <c r="D299" t="s">
        <v>18</v>
      </c>
      <c r="E299" t="s">
        <v>19</v>
      </c>
      <c r="F299">
        <v>200</v>
      </c>
      <c r="G299" s="2">
        <v>6.88</v>
      </c>
      <c r="H299" s="1">
        <v>46166.64109917824</v>
      </c>
      <c r="I299" s="1">
        <v>46166.641099259257</v>
      </c>
      <c r="J299" t="s">
        <v>15</v>
      </c>
      <c r="K299" t="s">
        <v>16</v>
      </c>
      <c r="L299" s="1">
        <v>46166.641099270833</v>
      </c>
    </row>
    <row r="300" spans="1:12" x14ac:dyDescent="0.25">
      <c r="A300" t="s">
        <v>1752</v>
      </c>
      <c r="B300" t="str">
        <f>resultado_db_usuario_10[[#This Row],[metodo]]&amp;" "&amp;SUBSTITUTE(resultado_db_usuario_10[[#This Row],[rota]],"/api/v1","")</f>
        <v>GET /etapas/</v>
      </c>
      <c r="C300" t="s">
        <v>12</v>
      </c>
      <c r="D300" t="s">
        <v>18</v>
      </c>
      <c r="E300" t="s">
        <v>19</v>
      </c>
      <c r="F300">
        <v>200</v>
      </c>
      <c r="G300" s="2">
        <v>4.79</v>
      </c>
      <c r="H300" s="1">
        <v>46166.641099560184</v>
      </c>
      <c r="I300" s="1">
        <v>46166.641099606481</v>
      </c>
      <c r="J300" t="s">
        <v>15</v>
      </c>
      <c r="K300" t="s">
        <v>16</v>
      </c>
      <c r="L300" s="1">
        <v>46166.641099629633</v>
      </c>
    </row>
    <row r="301" spans="1:12" x14ac:dyDescent="0.25">
      <c r="A301" t="s">
        <v>1763</v>
      </c>
      <c r="B301" t="str">
        <f>resultado_db_usuario_10[[#This Row],[metodo]]&amp;" "&amp;SUBSTITUTE(resultado_db_usuario_10[[#This Row],[rota]],"/api/v1","")</f>
        <v>GET /etapas/</v>
      </c>
      <c r="C301" t="s">
        <v>12</v>
      </c>
      <c r="D301" t="s">
        <v>18</v>
      </c>
      <c r="E301" t="s">
        <v>19</v>
      </c>
      <c r="F301">
        <v>200</v>
      </c>
      <c r="G301" s="2">
        <v>4.8</v>
      </c>
      <c r="H301" s="1">
        <v>46166.641099872686</v>
      </c>
      <c r="I301" s="1">
        <v>46166.641099930559</v>
      </c>
      <c r="J301" t="s">
        <v>15</v>
      </c>
      <c r="K301" t="s">
        <v>16</v>
      </c>
      <c r="L301" s="1">
        <v>46166.641099942128</v>
      </c>
    </row>
    <row r="302" spans="1:12" x14ac:dyDescent="0.25">
      <c r="A302" t="s">
        <v>660</v>
      </c>
      <c r="B302" t="str">
        <f>resultado_db_usuario_10[[#This Row],[metodo]]&amp;" "&amp;SUBSTITUTE(resultado_db_usuario_10[[#This Row],[rota]],"/api/v1","")</f>
        <v>GET /funcionarios/</v>
      </c>
      <c r="C302" t="s">
        <v>12</v>
      </c>
      <c r="D302" t="s">
        <v>21</v>
      </c>
      <c r="E302" t="s">
        <v>22</v>
      </c>
      <c r="F302">
        <v>200</v>
      </c>
      <c r="G302" s="2">
        <v>2.82</v>
      </c>
      <c r="H302" s="1">
        <v>46166.641065914351</v>
      </c>
      <c r="I302" s="1">
        <v>46166.641065949072</v>
      </c>
      <c r="J302" t="s">
        <v>15</v>
      </c>
      <c r="K302" t="s">
        <v>16</v>
      </c>
      <c r="L302" s="1">
        <v>46166.641065972224</v>
      </c>
    </row>
    <row r="303" spans="1:12" x14ac:dyDescent="0.25">
      <c r="A303" t="s">
        <v>674</v>
      </c>
      <c r="B303" t="str">
        <f>resultado_db_usuario_10[[#This Row],[metodo]]&amp;" "&amp;SUBSTITUTE(resultado_db_usuario_10[[#This Row],[rota]],"/api/v1","")</f>
        <v>GET /funcionarios/</v>
      </c>
      <c r="C303" t="s">
        <v>12</v>
      </c>
      <c r="D303" t="s">
        <v>21</v>
      </c>
      <c r="E303" t="s">
        <v>22</v>
      </c>
      <c r="F303">
        <v>200</v>
      </c>
      <c r="G303" s="2">
        <v>4.8499999999999996</v>
      </c>
      <c r="H303" s="1">
        <v>46166.641066851851</v>
      </c>
      <c r="I303" s="1">
        <v>46166.641066898148</v>
      </c>
      <c r="J303" t="s">
        <v>15</v>
      </c>
      <c r="K303" t="s">
        <v>16</v>
      </c>
      <c r="L303" s="1">
        <v>46166.641066921293</v>
      </c>
    </row>
    <row r="304" spans="1:12" x14ac:dyDescent="0.25">
      <c r="A304" t="s">
        <v>677</v>
      </c>
      <c r="B304" t="str">
        <f>resultado_db_usuario_10[[#This Row],[metodo]]&amp;" "&amp;SUBSTITUTE(resultado_db_usuario_10[[#This Row],[rota]],"/api/v1","")</f>
        <v>GET /funcionarios/</v>
      </c>
      <c r="C304" t="s">
        <v>12</v>
      </c>
      <c r="D304" t="s">
        <v>21</v>
      </c>
      <c r="E304" t="s">
        <v>22</v>
      </c>
      <c r="F304">
        <v>200</v>
      </c>
      <c r="G304" s="2">
        <v>2.21</v>
      </c>
      <c r="H304" s="1">
        <v>46166.641066990742</v>
      </c>
      <c r="I304" s="1">
        <v>46166.641067013887</v>
      </c>
      <c r="J304" t="s">
        <v>15</v>
      </c>
      <c r="K304" t="s">
        <v>16</v>
      </c>
      <c r="L304" s="1">
        <v>46166.641067037039</v>
      </c>
    </row>
    <row r="305" spans="1:12" x14ac:dyDescent="0.25">
      <c r="A305" t="s">
        <v>697</v>
      </c>
      <c r="B305" t="str">
        <f>resultado_db_usuario_10[[#This Row],[metodo]]&amp;" "&amp;SUBSTITUTE(resultado_db_usuario_10[[#This Row],[rota]],"/api/v1","")</f>
        <v>GET /funcionarios/</v>
      </c>
      <c r="C305" t="s">
        <v>12</v>
      </c>
      <c r="D305" t="s">
        <v>21</v>
      </c>
      <c r="E305" t="s">
        <v>22</v>
      </c>
      <c r="F305">
        <v>200</v>
      </c>
      <c r="G305" s="2">
        <v>4.74</v>
      </c>
      <c r="H305" s="1">
        <v>46166.64106775463</v>
      </c>
      <c r="I305" s="1">
        <v>46166.641067812503</v>
      </c>
      <c r="J305" t="s">
        <v>15</v>
      </c>
      <c r="K305" t="s">
        <v>16</v>
      </c>
      <c r="L305" s="1">
        <v>46166.641067824072</v>
      </c>
    </row>
    <row r="306" spans="1:12" x14ac:dyDescent="0.25">
      <c r="A306" t="s">
        <v>698</v>
      </c>
      <c r="B306" t="str">
        <f>resultado_db_usuario_10[[#This Row],[metodo]]&amp;" "&amp;SUBSTITUTE(resultado_db_usuario_10[[#This Row],[rota]],"/api/v1","")</f>
        <v>GET /funcionarios/</v>
      </c>
      <c r="C306" t="s">
        <v>12</v>
      </c>
      <c r="D306" t="s">
        <v>21</v>
      </c>
      <c r="E306" t="s">
        <v>22</v>
      </c>
      <c r="F306">
        <v>200</v>
      </c>
      <c r="G306" s="2">
        <v>2.2400000000000002</v>
      </c>
      <c r="H306" s="1">
        <v>46166.641067824072</v>
      </c>
      <c r="I306" s="1">
        <v>46166.641067847224</v>
      </c>
      <c r="J306" t="s">
        <v>15</v>
      </c>
      <c r="K306" t="s">
        <v>16</v>
      </c>
      <c r="L306" s="1">
        <v>46166.641067870369</v>
      </c>
    </row>
    <row r="307" spans="1:12" x14ac:dyDescent="0.25">
      <c r="A307" t="s">
        <v>708</v>
      </c>
      <c r="B307" t="str">
        <f>resultado_db_usuario_10[[#This Row],[metodo]]&amp;" "&amp;SUBSTITUTE(resultado_db_usuario_10[[#This Row],[rota]],"/api/v1","")</f>
        <v>GET /funcionarios/</v>
      </c>
      <c r="C307" t="s">
        <v>12</v>
      </c>
      <c r="D307" t="s">
        <v>21</v>
      </c>
      <c r="E307" t="s">
        <v>22</v>
      </c>
      <c r="F307">
        <v>200</v>
      </c>
      <c r="G307" s="2">
        <v>3.12</v>
      </c>
      <c r="H307" s="1">
        <v>46166.641068206016</v>
      </c>
      <c r="I307" s="1">
        <v>46166.641068240744</v>
      </c>
      <c r="J307" t="s">
        <v>15</v>
      </c>
      <c r="K307" t="s">
        <v>16</v>
      </c>
      <c r="L307" s="1">
        <v>46166.641068263889</v>
      </c>
    </row>
    <row r="308" spans="1:12" x14ac:dyDescent="0.25">
      <c r="A308" t="s">
        <v>728</v>
      </c>
      <c r="B308" t="str">
        <f>resultado_db_usuario_10[[#This Row],[metodo]]&amp;" "&amp;SUBSTITUTE(resultado_db_usuario_10[[#This Row],[rota]],"/api/v1","")</f>
        <v>GET /funcionarios/</v>
      </c>
      <c r="C308" t="s">
        <v>12</v>
      </c>
      <c r="D308" t="s">
        <v>21</v>
      </c>
      <c r="E308" t="s">
        <v>22</v>
      </c>
      <c r="F308">
        <v>200</v>
      </c>
      <c r="G308" s="2">
        <v>5.42</v>
      </c>
      <c r="H308" s="1">
        <v>46166.641068819445</v>
      </c>
      <c r="I308" s="1">
        <v>46166.641068877318</v>
      </c>
      <c r="J308" t="s">
        <v>15</v>
      </c>
      <c r="K308" t="s">
        <v>16</v>
      </c>
      <c r="L308" s="1">
        <v>46166.641068900462</v>
      </c>
    </row>
    <row r="309" spans="1:12" x14ac:dyDescent="0.25">
      <c r="A309" t="s">
        <v>733</v>
      </c>
      <c r="B309" t="str">
        <f>resultado_db_usuario_10[[#This Row],[metodo]]&amp;" "&amp;SUBSTITUTE(resultado_db_usuario_10[[#This Row],[rota]],"/api/v1","")</f>
        <v>GET /funcionarios/</v>
      </c>
      <c r="C309" t="s">
        <v>12</v>
      </c>
      <c r="D309" t="s">
        <v>21</v>
      </c>
      <c r="E309" t="s">
        <v>22</v>
      </c>
      <c r="F309">
        <v>200</v>
      </c>
      <c r="G309" s="2">
        <v>2.33</v>
      </c>
      <c r="H309" s="1">
        <v>46166.641069004632</v>
      </c>
      <c r="I309" s="1">
        <v>46166.641069039353</v>
      </c>
      <c r="J309" t="s">
        <v>15</v>
      </c>
      <c r="K309" t="s">
        <v>16</v>
      </c>
      <c r="L309" s="1">
        <v>46166.641069050929</v>
      </c>
    </row>
    <row r="310" spans="1:12" x14ac:dyDescent="0.25">
      <c r="A310" t="s">
        <v>745</v>
      </c>
      <c r="B310" t="str">
        <f>resultado_db_usuario_10[[#This Row],[metodo]]&amp;" "&amp;SUBSTITUTE(resultado_db_usuario_10[[#This Row],[rota]],"/api/v1","")</f>
        <v>GET /funcionarios/</v>
      </c>
      <c r="C310" t="s">
        <v>12</v>
      </c>
      <c r="D310" t="s">
        <v>21</v>
      </c>
      <c r="E310" t="s">
        <v>22</v>
      </c>
      <c r="F310">
        <v>200</v>
      </c>
      <c r="G310" s="2">
        <v>3.07</v>
      </c>
      <c r="H310" s="1">
        <v>46166.641069432873</v>
      </c>
      <c r="I310" s="1">
        <v>46166.641069467594</v>
      </c>
      <c r="J310" t="s">
        <v>15</v>
      </c>
      <c r="K310" t="s">
        <v>16</v>
      </c>
      <c r="L310" s="1">
        <v>46166.64106947917</v>
      </c>
    </row>
    <row r="311" spans="1:12" x14ac:dyDescent="0.25">
      <c r="A311" t="s">
        <v>748</v>
      </c>
      <c r="B311" t="str">
        <f>resultado_db_usuario_10[[#This Row],[metodo]]&amp;" "&amp;SUBSTITUTE(resultado_db_usuario_10[[#This Row],[rota]],"/api/v1","")</f>
        <v>GET /funcionarios/</v>
      </c>
      <c r="C311" t="s">
        <v>12</v>
      </c>
      <c r="D311" t="s">
        <v>21</v>
      </c>
      <c r="E311" t="s">
        <v>22</v>
      </c>
      <c r="F311">
        <v>200</v>
      </c>
      <c r="G311" s="2">
        <v>3.38</v>
      </c>
      <c r="H311" s="1">
        <v>46166.64106952546</v>
      </c>
      <c r="I311" s="1">
        <v>46166.641069560188</v>
      </c>
      <c r="J311" t="s">
        <v>15</v>
      </c>
      <c r="K311" t="s">
        <v>16</v>
      </c>
      <c r="L311" s="1">
        <v>46166.641069583333</v>
      </c>
    </row>
    <row r="312" spans="1:12" x14ac:dyDescent="0.25">
      <c r="A312" t="s">
        <v>768</v>
      </c>
      <c r="B312" t="str">
        <f>resultado_db_usuario_10[[#This Row],[metodo]]&amp;" "&amp;SUBSTITUTE(resultado_db_usuario_10[[#This Row],[rota]],"/api/v1","")</f>
        <v>GET /funcionarios/</v>
      </c>
      <c r="C312" t="s">
        <v>12</v>
      </c>
      <c r="D312" t="s">
        <v>21</v>
      </c>
      <c r="E312" t="s">
        <v>22</v>
      </c>
      <c r="F312">
        <v>200</v>
      </c>
      <c r="G312" s="2">
        <v>5.12</v>
      </c>
      <c r="H312" s="1">
        <v>46166.641070243058</v>
      </c>
      <c r="I312" s="1">
        <v>46166.6410703125</v>
      </c>
      <c r="J312" t="s">
        <v>15</v>
      </c>
      <c r="K312" t="s">
        <v>16</v>
      </c>
      <c r="L312" s="1">
        <v>46166.641070324076</v>
      </c>
    </row>
    <row r="313" spans="1:12" x14ac:dyDescent="0.25">
      <c r="A313" t="s">
        <v>775</v>
      </c>
      <c r="B313" t="str">
        <f>resultado_db_usuario_10[[#This Row],[metodo]]&amp;" "&amp;SUBSTITUTE(resultado_db_usuario_10[[#This Row],[rota]],"/api/v1","")</f>
        <v>GET /funcionarios/</v>
      </c>
      <c r="C313" t="s">
        <v>12</v>
      </c>
      <c r="D313" t="s">
        <v>21</v>
      </c>
      <c r="E313" t="s">
        <v>22</v>
      </c>
      <c r="F313">
        <v>200</v>
      </c>
      <c r="G313" s="2">
        <v>12.44</v>
      </c>
      <c r="H313" s="1">
        <v>46166.641070428239</v>
      </c>
      <c r="I313" s="1">
        <v>46166.64107056713</v>
      </c>
      <c r="J313" t="s">
        <v>15</v>
      </c>
      <c r="K313" t="s">
        <v>16</v>
      </c>
      <c r="L313" s="1">
        <v>46166.641070590274</v>
      </c>
    </row>
    <row r="314" spans="1:12" x14ac:dyDescent="0.25">
      <c r="A314" t="s">
        <v>784</v>
      </c>
      <c r="B314" t="str">
        <f>resultado_db_usuario_10[[#This Row],[metodo]]&amp;" "&amp;SUBSTITUTE(resultado_db_usuario_10[[#This Row],[rota]],"/api/v1","")</f>
        <v>GET /funcionarios/</v>
      </c>
      <c r="C314" t="s">
        <v>12</v>
      </c>
      <c r="D314" t="s">
        <v>21</v>
      </c>
      <c r="E314" t="s">
        <v>22</v>
      </c>
      <c r="F314">
        <v>200</v>
      </c>
      <c r="G314" s="2">
        <v>10.19</v>
      </c>
      <c r="H314" s="1">
        <v>46166.641070787038</v>
      </c>
      <c r="I314" s="1">
        <v>46166.641070902777</v>
      </c>
      <c r="J314" t="s">
        <v>15</v>
      </c>
      <c r="K314" t="s">
        <v>16</v>
      </c>
      <c r="L314" s="1">
        <v>46166.641070914353</v>
      </c>
    </row>
    <row r="315" spans="1:12" x14ac:dyDescent="0.25">
      <c r="A315" t="s">
        <v>790</v>
      </c>
      <c r="B315" t="str">
        <f>resultado_db_usuario_10[[#This Row],[metodo]]&amp;" "&amp;SUBSTITUTE(resultado_db_usuario_10[[#This Row],[rota]],"/api/v1","")</f>
        <v>GET /funcionarios/</v>
      </c>
      <c r="C315" t="s">
        <v>12</v>
      </c>
      <c r="D315" t="s">
        <v>21</v>
      </c>
      <c r="E315" t="s">
        <v>22</v>
      </c>
      <c r="F315">
        <v>200</v>
      </c>
      <c r="G315" s="2">
        <v>5.98</v>
      </c>
      <c r="H315" s="1">
        <v>46166.641071030092</v>
      </c>
      <c r="I315" s="1">
        <v>46166.641071099541</v>
      </c>
      <c r="J315" t="s">
        <v>15</v>
      </c>
      <c r="K315" t="s">
        <v>16</v>
      </c>
      <c r="L315" s="1">
        <v>46166.641071111109</v>
      </c>
    </row>
    <row r="316" spans="1:12" x14ac:dyDescent="0.25">
      <c r="A316" t="s">
        <v>792</v>
      </c>
      <c r="B316" t="str">
        <f>resultado_db_usuario_10[[#This Row],[metodo]]&amp;" "&amp;SUBSTITUTE(resultado_db_usuario_10[[#This Row],[rota]],"/api/v1","")</f>
        <v>GET /funcionarios/</v>
      </c>
      <c r="C316" t="s">
        <v>12</v>
      </c>
      <c r="D316" t="s">
        <v>21</v>
      </c>
      <c r="E316" t="s">
        <v>22</v>
      </c>
      <c r="F316">
        <v>200</v>
      </c>
      <c r="G316" s="2">
        <v>4.3600000000000003</v>
      </c>
      <c r="H316" s="1">
        <v>46166.641071111109</v>
      </c>
      <c r="I316" s="1">
        <v>46166.641071157406</v>
      </c>
      <c r="J316" t="s">
        <v>15</v>
      </c>
      <c r="K316" t="s">
        <v>16</v>
      </c>
      <c r="L316" s="1">
        <v>46166.641071180558</v>
      </c>
    </row>
    <row r="317" spans="1:12" x14ac:dyDescent="0.25">
      <c r="A317" t="s">
        <v>815</v>
      </c>
      <c r="B317" t="str">
        <f>resultado_db_usuario_10[[#This Row],[metodo]]&amp;" "&amp;SUBSTITUTE(resultado_db_usuario_10[[#This Row],[rota]],"/api/v1","")</f>
        <v>GET /funcionarios/</v>
      </c>
      <c r="C317" t="s">
        <v>12</v>
      </c>
      <c r="D317" t="s">
        <v>21</v>
      </c>
      <c r="E317" t="s">
        <v>22</v>
      </c>
      <c r="F317">
        <v>200</v>
      </c>
      <c r="G317" s="2">
        <v>11.27</v>
      </c>
      <c r="H317" s="1">
        <v>46166.641071863429</v>
      </c>
      <c r="I317" s="1">
        <v>46166.641071990744</v>
      </c>
      <c r="J317" t="s">
        <v>15</v>
      </c>
      <c r="K317" t="s">
        <v>16</v>
      </c>
      <c r="L317" s="1">
        <v>46166.641072025464</v>
      </c>
    </row>
    <row r="318" spans="1:12" x14ac:dyDescent="0.25">
      <c r="A318" t="s">
        <v>826</v>
      </c>
      <c r="B318" t="str">
        <f>resultado_db_usuario_10[[#This Row],[metodo]]&amp;" "&amp;SUBSTITUTE(resultado_db_usuario_10[[#This Row],[rota]],"/api/v1","")</f>
        <v>GET /funcionarios/</v>
      </c>
      <c r="C318" t="s">
        <v>12</v>
      </c>
      <c r="D318" t="s">
        <v>21</v>
      </c>
      <c r="E318" t="s">
        <v>22</v>
      </c>
      <c r="F318">
        <v>200</v>
      </c>
      <c r="G318" s="2">
        <v>6.15</v>
      </c>
      <c r="H318" s="1">
        <v>46166.641072268518</v>
      </c>
      <c r="I318" s="1">
        <v>46166.641072337959</v>
      </c>
      <c r="J318" t="s">
        <v>15</v>
      </c>
      <c r="K318" t="s">
        <v>16</v>
      </c>
      <c r="L318" s="1">
        <v>46166.641072349536</v>
      </c>
    </row>
    <row r="319" spans="1:12" x14ac:dyDescent="0.25">
      <c r="A319" t="s">
        <v>833</v>
      </c>
      <c r="B319" t="str">
        <f>resultado_db_usuario_10[[#This Row],[metodo]]&amp;" "&amp;SUBSTITUTE(resultado_db_usuario_10[[#This Row],[rota]],"/api/v1","")</f>
        <v>GET /funcionarios/</v>
      </c>
      <c r="C319" t="s">
        <v>12</v>
      </c>
      <c r="D319" t="s">
        <v>21</v>
      </c>
      <c r="E319" t="s">
        <v>22</v>
      </c>
      <c r="F319">
        <v>200</v>
      </c>
      <c r="G319" s="2">
        <v>11.95</v>
      </c>
      <c r="H319" s="1">
        <v>46166.641072465274</v>
      </c>
      <c r="I319" s="1">
        <v>46166.641072604165</v>
      </c>
      <c r="J319" t="s">
        <v>15</v>
      </c>
      <c r="K319" t="s">
        <v>16</v>
      </c>
      <c r="L319" s="1">
        <v>46166.641072615741</v>
      </c>
    </row>
    <row r="320" spans="1:12" x14ac:dyDescent="0.25">
      <c r="A320" t="s">
        <v>844</v>
      </c>
      <c r="B320" t="str">
        <f>resultado_db_usuario_10[[#This Row],[metodo]]&amp;" "&amp;SUBSTITUTE(resultado_db_usuario_10[[#This Row],[rota]],"/api/v1","")</f>
        <v>GET /funcionarios/</v>
      </c>
      <c r="C320" t="s">
        <v>12</v>
      </c>
      <c r="D320" t="s">
        <v>21</v>
      </c>
      <c r="E320" t="s">
        <v>22</v>
      </c>
      <c r="F320">
        <v>200</v>
      </c>
      <c r="G320" s="2">
        <v>12.23</v>
      </c>
      <c r="H320" s="1">
        <v>46166.641073043982</v>
      </c>
      <c r="I320" s="1">
        <v>46166.641073182873</v>
      </c>
      <c r="J320" t="s">
        <v>15</v>
      </c>
      <c r="K320" t="s">
        <v>16</v>
      </c>
      <c r="L320" s="1">
        <v>46166.641073194442</v>
      </c>
    </row>
    <row r="321" spans="1:12" x14ac:dyDescent="0.25">
      <c r="A321" t="s">
        <v>849</v>
      </c>
      <c r="B321" t="str">
        <f>resultado_db_usuario_10[[#This Row],[metodo]]&amp;" "&amp;SUBSTITUTE(resultado_db_usuario_10[[#This Row],[rota]],"/api/v1","")</f>
        <v>GET /funcionarios/</v>
      </c>
      <c r="C321" t="s">
        <v>12</v>
      </c>
      <c r="D321" t="s">
        <v>21</v>
      </c>
      <c r="E321" t="s">
        <v>22</v>
      </c>
      <c r="F321">
        <v>200</v>
      </c>
      <c r="G321" s="2">
        <v>10.02</v>
      </c>
      <c r="H321" s="1">
        <v>46166.641073194442</v>
      </c>
      <c r="I321" s="1">
        <v>46166.641073310187</v>
      </c>
      <c r="J321" t="s">
        <v>15</v>
      </c>
      <c r="K321" t="s">
        <v>16</v>
      </c>
      <c r="L321" s="1">
        <v>46166.641073321756</v>
      </c>
    </row>
    <row r="322" spans="1:12" x14ac:dyDescent="0.25">
      <c r="A322" t="s">
        <v>852</v>
      </c>
      <c r="B322" t="str">
        <f>resultado_db_usuario_10[[#This Row],[metodo]]&amp;" "&amp;SUBSTITUTE(resultado_db_usuario_10[[#This Row],[rota]],"/api/v1","")</f>
        <v>GET /funcionarios/</v>
      </c>
      <c r="C322" t="s">
        <v>12</v>
      </c>
      <c r="D322" t="s">
        <v>21</v>
      </c>
      <c r="E322" t="s">
        <v>22</v>
      </c>
      <c r="F322">
        <v>200</v>
      </c>
      <c r="G322" s="2">
        <v>5.8</v>
      </c>
      <c r="H322" s="1">
        <v>46166.641073333332</v>
      </c>
      <c r="I322" s="1">
        <v>46166.641073391205</v>
      </c>
      <c r="J322" t="s">
        <v>15</v>
      </c>
      <c r="K322" t="s">
        <v>16</v>
      </c>
      <c r="L322" s="1">
        <v>46166.64107341435</v>
      </c>
    </row>
    <row r="323" spans="1:12" x14ac:dyDescent="0.25">
      <c r="A323" t="s">
        <v>853</v>
      </c>
      <c r="B323" t="str">
        <f>resultado_db_usuario_10[[#This Row],[metodo]]&amp;" "&amp;SUBSTITUTE(resultado_db_usuario_10[[#This Row],[rota]],"/api/v1","")</f>
        <v>GET /funcionarios/</v>
      </c>
      <c r="C323" t="s">
        <v>12</v>
      </c>
      <c r="D323" t="s">
        <v>21</v>
      </c>
      <c r="E323" t="s">
        <v>22</v>
      </c>
      <c r="F323">
        <v>200</v>
      </c>
      <c r="G323" s="2">
        <v>6.6</v>
      </c>
      <c r="H323" s="1">
        <v>46166.641073333332</v>
      </c>
      <c r="I323" s="1">
        <v>46166.64107341435</v>
      </c>
      <c r="J323" t="s">
        <v>15</v>
      </c>
      <c r="K323" t="s">
        <v>16</v>
      </c>
      <c r="L323" s="1">
        <v>46166.641073425926</v>
      </c>
    </row>
    <row r="324" spans="1:12" x14ac:dyDescent="0.25">
      <c r="A324" t="s">
        <v>885</v>
      </c>
      <c r="B324" t="str">
        <f>resultado_db_usuario_10[[#This Row],[metodo]]&amp;" "&amp;SUBSTITUTE(resultado_db_usuario_10[[#This Row],[rota]],"/api/v1","")</f>
        <v>GET /funcionarios/</v>
      </c>
      <c r="C324" t="s">
        <v>12</v>
      </c>
      <c r="D324" t="s">
        <v>21</v>
      </c>
      <c r="E324" t="s">
        <v>22</v>
      </c>
      <c r="F324">
        <v>200</v>
      </c>
      <c r="G324" s="2">
        <v>8.36</v>
      </c>
      <c r="H324" s="1">
        <v>46166.641074270832</v>
      </c>
      <c r="I324" s="1">
        <v>46166.641074363426</v>
      </c>
      <c r="J324" t="s">
        <v>15</v>
      </c>
      <c r="K324" t="s">
        <v>16</v>
      </c>
      <c r="L324" s="1">
        <v>46166.641074386571</v>
      </c>
    </row>
    <row r="325" spans="1:12" x14ac:dyDescent="0.25">
      <c r="A325" t="s">
        <v>896</v>
      </c>
      <c r="B325" t="str">
        <f>resultado_db_usuario_10[[#This Row],[metodo]]&amp;" "&amp;SUBSTITUTE(resultado_db_usuario_10[[#This Row],[rota]],"/api/v1","")</f>
        <v>GET /funcionarios/</v>
      </c>
      <c r="C325" t="s">
        <v>12</v>
      </c>
      <c r="D325" t="s">
        <v>21</v>
      </c>
      <c r="E325" t="s">
        <v>22</v>
      </c>
      <c r="F325">
        <v>200</v>
      </c>
      <c r="G325" s="2">
        <v>12.78</v>
      </c>
      <c r="H325" s="1">
        <v>46166.641074525462</v>
      </c>
      <c r="I325" s="1">
        <v>46166.641074675928</v>
      </c>
      <c r="J325" t="s">
        <v>15</v>
      </c>
      <c r="K325" t="s">
        <v>16</v>
      </c>
      <c r="L325" s="1">
        <v>46166.641074699073</v>
      </c>
    </row>
    <row r="326" spans="1:12" x14ac:dyDescent="0.25">
      <c r="A326" t="s">
        <v>911</v>
      </c>
      <c r="B326" t="str">
        <f>resultado_db_usuario_10[[#This Row],[metodo]]&amp;" "&amp;SUBSTITUTE(resultado_db_usuario_10[[#This Row],[rota]],"/api/v1","")</f>
        <v>GET /funcionarios/</v>
      </c>
      <c r="C326" t="s">
        <v>12</v>
      </c>
      <c r="D326" t="s">
        <v>21</v>
      </c>
      <c r="E326" t="s">
        <v>22</v>
      </c>
      <c r="F326">
        <v>200</v>
      </c>
      <c r="G326" s="2">
        <v>10.26</v>
      </c>
      <c r="H326" s="1">
        <v>46166.641075046296</v>
      </c>
      <c r="I326" s="1">
        <v>46166.641075173611</v>
      </c>
      <c r="J326" t="s">
        <v>15</v>
      </c>
      <c r="K326" t="s">
        <v>16</v>
      </c>
      <c r="L326" s="1">
        <v>46166.641075185187</v>
      </c>
    </row>
    <row r="327" spans="1:12" x14ac:dyDescent="0.25">
      <c r="A327" t="s">
        <v>918</v>
      </c>
      <c r="B327" t="str">
        <f>resultado_db_usuario_10[[#This Row],[metodo]]&amp;" "&amp;SUBSTITUTE(resultado_db_usuario_10[[#This Row],[rota]],"/api/v1","")</f>
        <v>GET /funcionarios/</v>
      </c>
      <c r="C327" t="s">
        <v>12</v>
      </c>
      <c r="D327" t="s">
        <v>21</v>
      </c>
      <c r="E327" t="s">
        <v>22</v>
      </c>
      <c r="F327">
        <v>200</v>
      </c>
      <c r="G327" s="2">
        <v>20.88</v>
      </c>
      <c r="H327" s="1">
        <v>46166.641075347223</v>
      </c>
      <c r="I327" s="1">
        <v>46166.641075590276</v>
      </c>
      <c r="J327" t="s">
        <v>15</v>
      </c>
      <c r="K327" t="s">
        <v>16</v>
      </c>
      <c r="L327" s="1">
        <v>46166.641075601852</v>
      </c>
    </row>
    <row r="328" spans="1:12" x14ac:dyDescent="0.25">
      <c r="A328" t="s">
        <v>930</v>
      </c>
      <c r="B328" t="str">
        <f>resultado_db_usuario_10[[#This Row],[metodo]]&amp;" "&amp;SUBSTITUTE(resultado_db_usuario_10[[#This Row],[rota]],"/api/v1","")</f>
        <v>GET /funcionarios/</v>
      </c>
      <c r="C328" t="s">
        <v>12</v>
      </c>
      <c r="D328" t="s">
        <v>21</v>
      </c>
      <c r="E328" t="s">
        <v>22</v>
      </c>
      <c r="F328">
        <v>200</v>
      </c>
      <c r="G328" s="2">
        <v>14.43</v>
      </c>
      <c r="H328" s="1">
        <v>46166.64107578704</v>
      </c>
      <c r="I328" s="1">
        <v>46166.641075960652</v>
      </c>
      <c r="J328" t="s">
        <v>15</v>
      </c>
      <c r="K328" t="s">
        <v>16</v>
      </c>
      <c r="L328" s="1">
        <v>46166.64107597222</v>
      </c>
    </row>
    <row r="329" spans="1:12" x14ac:dyDescent="0.25">
      <c r="A329" t="s">
        <v>931</v>
      </c>
      <c r="B329" t="str">
        <f>resultado_db_usuario_10[[#This Row],[metodo]]&amp;" "&amp;SUBSTITUTE(resultado_db_usuario_10[[#This Row],[rota]],"/api/v1","")</f>
        <v>GET /funcionarios/</v>
      </c>
      <c r="C329" t="s">
        <v>12</v>
      </c>
      <c r="D329" t="s">
        <v>21</v>
      </c>
      <c r="E329" t="s">
        <v>22</v>
      </c>
      <c r="F329">
        <v>200</v>
      </c>
      <c r="G329" s="2">
        <v>6.85</v>
      </c>
      <c r="H329" s="1">
        <v>46166.641075937499</v>
      </c>
      <c r="I329" s="1">
        <v>46166.641076018517</v>
      </c>
      <c r="J329" t="s">
        <v>15</v>
      </c>
      <c r="K329" t="s">
        <v>16</v>
      </c>
      <c r="L329" s="1">
        <v>46166.641076041669</v>
      </c>
    </row>
    <row r="330" spans="1:12" x14ac:dyDescent="0.25">
      <c r="A330" t="s">
        <v>932</v>
      </c>
      <c r="B330" t="str">
        <f>resultado_db_usuario_10[[#This Row],[metodo]]&amp;" "&amp;SUBSTITUTE(resultado_db_usuario_10[[#This Row],[rota]],"/api/v1","")</f>
        <v>GET /funcionarios/</v>
      </c>
      <c r="C330" t="s">
        <v>12</v>
      </c>
      <c r="D330" t="s">
        <v>21</v>
      </c>
      <c r="E330" t="s">
        <v>22</v>
      </c>
      <c r="F330">
        <v>200</v>
      </c>
      <c r="G330" s="2">
        <v>8.18</v>
      </c>
      <c r="H330" s="1">
        <v>46166.641075949075</v>
      </c>
      <c r="I330" s="1">
        <v>46166.641076041669</v>
      </c>
      <c r="J330" t="s">
        <v>15</v>
      </c>
      <c r="K330" t="s">
        <v>16</v>
      </c>
      <c r="L330" s="1">
        <v>46166.641076064814</v>
      </c>
    </row>
    <row r="331" spans="1:12" x14ac:dyDescent="0.25">
      <c r="A331" t="s">
        <v>933</v>
      </c>
      <c r="B331" t="str">
        <f>resultado_db_usuario_10[[#This Row],[metodo]]&amp;" "&amp;SUBSTITUTE(resultado_db_usuario_10[[#This Row],[rota]],"/api/v1","")</f>
        <v>GET /funcionarios/</v>
      </c>
      <c r="C331" t="s">
        <v>12</v>
      </c>
      <c r="D331" t="s">
        <v>21</v>
      </c>
      <c r="E331" t="s">
        <v>22</v>
      </c>
      <c r="F331">
        <v>200</v>
      </c>
      <c r="G331" s="2">
        <v>9.4</v>
      </c>
      <c r="H331" s="1">
        <v>46166.64107597222</v>
      </c>
      <c r="I331" s="1">
        <v>46166.64107607639</v>
      </c>
      <c r="J331" t="s">
        <v>15</v>
      </c>
      <c r="K331" t="s">
        <v>16</v>
      </c>
      <c r="L331" s="1">
        <v>46166.641076099535</v>
      </c>
    </row>
    <row r="332" spans="1:12" x14ac:dyDescent="0.25">
      <c r="A332" t="s">
        <v>945</v>
      </c>
      <c r="B332" t="str">
        <f>resultado_db_usuario_10[[#This Row],[metodo]]&amp;" "&amp;SUBSTITUTE(resultado_db_usuario_10[[#This Row],[rota]],"/api/v1","")</f>
        <v>GET /funcionarios/</v>
      </c>
      <c r="C332" t="s">
        <v>12</v>
      </c>
      <c r="D332" t="s">
        <v>21</v>
      </c>
      <c r="E332" t="s">
        <v>22</v>
      </c>
      <c r="F332">
        <v>200</v>
      </c>
      <c r="G332" s="2">
        <v>14.72</v>
      </c>
      <c r="H332" s="1">
        <v>46166.641076319444</v>
      </c>
      <c r="I332" s="1">
        <v>46166.641076493055</v>
      </c>
      <c r="J332" t="s">
        <v>15</v>
      </c>
      <c r="K332" t="s">
        <v>16</v>
      </c>
      <c r="L332" s="1">
        <v>46166.641076516207</v>
      </c>
    </row>
    <row r="333" spans="1:12" x14ac:dyDescent="0.25">
      <c r="A333" t="s">
        <v>963</v>
      </c>
      <c r="B333" t="str">
        <f>resultado_db_usuario_10[[#This Row],[metodo]]&amp;" "&amp;SUBSTITUTE(resultado_db_usuario_10[[#This Row],[rota]],"/api/v1","")</f>
        <v>GET /funcionarios/</v>
      </c>
      <c r="C333" t="s">
        <v>12</v>
      </c>
      <c r="D333" t="s">
        <v>21</v>
      </c>
      <c r="E333" t="s">
        <v>22</v>
      </c>
      <c r="F333">
        <v>200</v>
      </c>
      <c r="G333" s="2">
        <v>10.94</v>
      </c>
      <c r="H333" s="1">
        <v>46166.641076851854</v>
      </c>
      <c r="I333" s="1">
        <v>46166.641076979169</v>
      </c>
      <c r="J333" t="s">
        <v>15</v>
      </c>
      <c r="K333" t="s">
        <v>16</v>
      </c>
      <c r="L333" s="1">
        <v>46166.641076990738</v>
      </c>
    </row>
    <row r="334" spans="1:12" x14ac:dyDescent="0.25">
      <c r="A334" t="s">
        <v>987</v>
      </c>
      <c r="B334" t="str">
        <f>resultado_db_usuario_10[[#This Row],[metodo]]&amp;" "&amp;SUBSTITUTE(resultado_db_usuario_10[[#This Row],[rota]],"/api/v1","")</f>
        <v>GET /funcionarios/</v>
      </c>
      <c r="C334" t="s">
        <v>12</v>
      </c>
      <c r="D334" t="s">
        <v>21</v>
      </c>
      <c r="E334" t="s">
        <v>22</v>
      </c>
      <c r="F334">
        <v>200</v>
      </c>
      <c r="G334" s="2">
        <v>11.62</v>
      </c>
      <c r="H334" s="1">
        <v>46166.641077604167</v>
      </c>
      <c r="I334" s="1">
        <v>46166.641077731481</v>
      </c>
      <c r="J334" t="s">
        <v>15</v>
      </c>
      <c r="K334" t="s">
        <v>16</v>
      </c>
      <c r="L334" s="1">
        <v>46166.641077754626</v>
      </c>
    </row>
    <row r="335" spans="1:12" x14ac:dyDescent="0.25">
      <c r="A335" t="s">
        <v>999</v>
      </c>
      <c r="B335" t="str">
        <f>resultado_db_usuario_10[[#This Row],[metodo]]&amp;" "&amp;SUBSTITUTE(resultado_db_usuario_10[[#This Row],[rota]],"/api/v1","")</f>
        <v>GET /funcionarios/</v>
      </c>
      <c r="C335" t="s">
        <v>12</v>
      </c>
      <c r="D335" t="s">
        <v>21</v>
      </c>
      <c r="E335" t="s">
        <v>22</v>
      </c>
      <c r="F335">
        <v>200</v>
      </c>
      <c r="G335" s="2">
        <v>11.48</v>
      </c>
      <c r="H335" s="1">
        <v>46166.641077962966</v>
      </c>
      <c r="I335" s="1">
        <v>46166.641078090281</v>
      </c>
      <c r="J335" t="s">
        <v>15</v>
      </c>
      <c r="K335" t="s">
        <v>16</v>
      </c>
      <c r="L335" s="1">
        <v>46166.641078101849</v>
      </c>
    </row>
    <row r="336" spans="1:12" x14ac:dyDescent="0.25">
      <c r="A336" t="s">
        <v>1017</v>
      </c>
      <c r="B336" t="str">
        <f>resultado_db_usuario_10[[#This Row],[metodo]]&amp;" "&amp;SUBSTITUTE(resultado_db_usuario_10[[#This Row],[rota]],"/api/v1","")</f>
        <v>GET /funcionarios/</v>
      </c>
      <c r="C336" t="s">
        <v>12</v>
      </c>
      <c r="D336" t="s">
        <v>21</v>
      </c>
      <c r="E336" t="s">
        <v>22</v>
      </c>
      <c r="F336">
        <v>200</v>
      </c>
      <c r="G336" s="2">
        <v>22.66</v>
      </c>
      <c r="H336" s="1">
        <v>46166.641078506946</v>
      </c>
      <c r="I336" s="1">
        <v>46166.641078773151</v>
      </c>
      <c r="J336" t="s">
        <v>15</v>
      </c>
      <c r="K336" t="s">
        <v>16</v>
      </c>
      <c r="L336" s="1">
        <v>46166.64107878472</v>
      </c>
    </row>
    <row r="337" spans="1:12" x14ac:dyDescent="0.25">
      <c r="A337" t="s">
        <v>1027</v>
      </c>
      <c r="B337" t="str">
        <f>resultado_db_usuario_10[[#This Row],[metodo]]&amp;" "&amp;SUBSTITUTE(resultado_db_usuario_10[[#This Row],[rota]],"/api/v1","")</f>
        <v>GET /funcionarios/</v>
      </c>
      <c r="C337" t="s">
        <v>12</v>
      </c>
      <c r="D337" t="s">
        <v>21</v>
      </c>
      <c r="E337" t="s">
        <v>22</v>
      </c>
      <c r="F337">
        <v>200</v>
      </c>
      <c r="G337" s="2">
        <v>7.17</v>
      </c>
      <c r="H337" s="1">
        <v>46166.641079074077</v>
      </c>
      <c r="I337" s="1">
        <v>46166.641079155095</v>
      </c>
      <c r="J337" t="s">
        <v>15</v>
      </c>
      <c r="K337" t="s">
        <v>16</v>
      </c>
      <c r="L337" s="1">
        <v>46166.641079166664</v>
      </c>
    </row>
    <row r="338" spans="1:12" x14ac:dyDescent="0.25">
      <c r="A338" t="s">
        <v>1036</v>
      </c>
      <c r="B338" t="str">
        <f>resultado_db_usuario_10[[#This Row],[metodo]]&amp;" "&amp;SUBSTITUTE(resultado_db_usuario_10[[#This Row],[rota]],"/api/v1","")</f>
        <v>GET /funcionarios/</v>
      </c>
      <c r="C338" t="s">
        <v>12</v>
      </c>
      <c r="D338" t="s">
        <v>21</v>
      </c>
      <c r="E338" t="s">
        <v>22</v>
      </c>
      <c r="F338">
        <v>200</v>
      </c>
      <c r="G338" s="2">
        <v>7.33</v>
      </c>
      <c r="H338" s="1">
        <v>46166.64107928241</v>
      </c>
      <c r="I338" s="1">
        <v>46166.641079374996</v>
      </c>
      <c r="J338" t="s">
        <v>15</v>
      </c>
      <c r="K338" t="s">
        <v>16</v>
      </c>
      <c r="L338" s="1">
        <v>46166.641079386573</v>
      </c>
    </row>
    <row r="339" spans="1:12" x14ac:dyDescent="0.25">
      <c r="A339" t="s">
        <v>1039</v>
      </c>
      <c r="B339" t="str">
        <f>resultado_db_usuario_10[[#This Row],[metodo]]&amp;" "&amp;SUBSTITUTE(resultado_db_usuario_10[[#This Row],[rota]],"/api/v1","")</f>
        <v>GET /funcionarios/</v>
      </c>
      <c r="C339" t="s">
        <v>12</v>
      </c>
      <c r="D339" t="s">
        <v>21</v>
      </c>
      <c r="E339" t="s">
        <v>22</v>
      </c>
      <c r="F339">
        <v>200</v>
      </c>
      <c r="G339" s="2">
        <v>9.66</v>
      </c>
      <c r="H339" s="1">
        <v>46166.641079328707</v>
      </c>
      <c r="I339" s="1">
        <v>46166.641079432869</v>
      </c>
      <c r="J339" t="s">
        <v>15</v>
      </c>
      <c r="K339" t="s">
        <v>16</v>
      </c>
      <c r="L339" s="1">
        <v>46166.641079456022</v>
      </c>
    </row>
    <row r="340" spans="1:12" x14ac:dyDescent="0.25">
      <c r="A340" t="s">
        <v>1040</v>
      </c>
      <c r="B340" t="str">
        <f>resultado_db_usuario_10[[#This Row],[metodo]]&amp;" "&amp;SUBSTITUTE(resultado_db_usuario_10[[#This Row],[rota]],"/api/v1","")</f>
        <v>GET /funcionarios/</v>
      </c>
      <c r="C340" t="s">
        <v>12</v>
      </c>
      <c r="D340" t="s">
        <v>21</v>
      </c>
      <c r="E340" t="s">
        <v>22</v>
      </c>
      <c r="F340">
        <v>200</v>
      </c>
      <c r="G340" s="2">
        <v>10.4</v>
      </c>
      <c r="H340" s="1">
        <v>46166.641079340276</v>
      </c>
      <c r="I340" s="1">
        <v>46166.64107946759</v>
      </c>
      <c r="J340" t="s">
        <v>15</v>
      </c>
      <c r="K340" t="s">
        <v>16</v>
      </c>
      <c r="L340" s="1">
        <v>46166.641079479166</v>
      </c>
    </row>
    <row r="341" spans="1:12" x14ac:dyDescent="0.25">
      <c r="A341" t="s">
        <v>1042</v>
      </c>
      <c r="B341" t="str">
        <f>resultado_db_usuario_10[[#This Row],[metodo]]&amp;" "&amp;SUBSTITUTE(resultado_db_usuario_10[[#This Row],[rota]],"/api/v1","")</f>
        <v>GET /funcionarios/</v>
      </c>
      <c r="C341" t="s">
        <v>12</v>
      </c>
      <c r="D341" t="s">
        <v>21</v>
      </c>
      <c r="E341" t="s">
        <v>22</v>
      </c>
      <c r="F341">
        <v>200</v>
      </c>
      <c r="G341" s="2">
        <v>10.27</v>
      </c>
      <c r="H341" s="1">
        <v>46166.641079351852</v>
      </c>
      <c r="I341" s="1">
        <v>46166.641079479166</v>
      </c>
      <c r="J341" t="s">
        <v>15</v>
      </c>
      <c r="K341" t="s">
        <v>16</v>
      </c>
      <c r="L341" s="1">
        <v>46166.641079490742</v>
      </c>
    </row>
    <row r="342" spans="1:12" x14ac:dyDescent="0.25">
      <c r="A342" t="s">
        <v>1064</v>
      </c>
      <c r="B342" t="str">
        <f>resultado_db_usuario_10[[#This Row],[metodo]]&amp;" "&amp;SUBSTITUTE(resultado_db_usuario_10[[#This Row],[rota]],"/api/v1","")</f>
        <v>GET /funcionarios/</v>
      </c>
      <c r="C342" t="s">
        <v>12</v>
      </c>
      <c r="D342" t="s">
        <v>21</v>
      </c>
      <c r="E342" t="s">
        <v>22</v>
      </c>
      <c r="F342">
        <v>200</v>
      </c>
      <c r="G342" s="2">
        <v>7.55</v>
      </c>
      <c r="H342" s="1">
        <v>46166.641080000001</v>
      </c>
      <c r="I342" s="1">
        <v>46166.641080092595</v>
      </c>
      <c r="J342" t="s">
        <v>15</v>
      </c>
      <c r="K342" t="s">
        <v>16</v>
      </c>
      <c r="L342" s="1">
        <v>46166.641080104164</v>
      </c>
    </row>
    <row r="343" spans="1:12" x14ac:dyDescent="0.25">
      <c r="A343" t="s">
        <v>1077</v>
      </c>
      <c r="B343" t="str">
        <f>resultado_db_usuario_10[[#This Row],[metodo]]&amp;" "&amp;SUBSTITUTE(resultado_db_usuario_10[[#This Row],[rota]],"/api/v1","")</f>
        <v>GET /funcionarios/</v>
      </c>
      <c r="C343" t="s">
        <v>12</v>
      </c>
      <c r="D343" t="s">
        <v>21</v>
      </c>
      <c r="E343" t="s">
        <v>22</v>
      </c>
      <c r="F343">
        <v>200</v>
      </c>
      <c r="G343" s="2">
        <v>7.94</v>
      </c>
      <c r="H343" s="1">
        <v>46166.641080289352</v>
      </c>
      <c r="I343" s="1">
        <v>46166.641080381945</v>
      </c>
      <c r="J343" t="s">
        <v>15</v>
      </c>
      <c r="K343" t="s">
        <v>16</v>
      </c>
      <c r="L343" s="1">
        <v>46166.641080393521</v>
      </c>
    </row>
    <row r="344" spans="1:12" x14ac:dyDescent="0.25">
      <c r="A344" t="s">
        <v>1109</v>
      </c>
      <c r="B344" t="str">
        <f>resultado_db_usuario_10[[#This Row],[metodo]]&amp;" "&amp;SUBSTITUTE(resultado_db_usuario_10[[#This Row],[rota]],"/api/v1","")</f>
        <v>GET /funcionarios/</v>
      </c>
      <c r="C344" t="s">
        <v>12</v>
      </c>
      <c r="D344" t="s">
        <v>21</v>
      </c>
      <c r="E344" t="s">
        <v>22</v>
      </c>
      <c r="F344">
        <v>200</v>
      </c>
      <c r="G344" s="2">
        <v>10.34</v>
      </c>
      <c r="H344" s="1">
        <v>46166.641081018519</v>
      </c>
      <c r="I344" s="1">
        <v>46166.641081134258</v>
      </c>
      <c r="J344" t="s">
        <v>15</v>
      </c>
      <c r="K344" t="s">
        <v>16</v>
      </c>
      <c r="L344" s="1">
        <v>46166.64108115741</v>
      </c>
    </row>
    <row r="345" spans="1:12" x14ac:dyDescent="0.25">
      <c r="A345" t="s">
        <v>1128</v>
      </c>
      <c r="B345" t="str">
        <f>resultado_db_usuario_10[[#This Row],[metodo]]&amp;" "&amp;SUBSTITUTE(resultado_db_usuario_10[[#This Row],[rota]],"/api/v1","")</f>
        <v>GET /funcionarios/</v>
      </c>
      <c r="C345" t="s">
        <v>12</v>
      </c>
      <c r="D345" t="s">
        <v>21</v>
      </c>
      <c r="E345" t="s">
        <v>22</v>
      </c>
      <c r="F345">
        <v>200</v>
      </c>
      <c r="G345" s="2">
        <v>13.57</v>
      </c>
      <c r="H345" s="1">
        <v>46166.641081377318</v>
      </c>
      <c r="I345" s="1">
        <v>46166.641081539354</v>
      </c>
      <c r="J345" t="s">
        <v>15</v>
      </c>
      <c r="K345" t="s">
        <v>16</v>
      </c>
      <c r="L345" s="1">
        <v>46166.641081550923</v>
      </c>
    </row>
    <row r="346" spans="1:12" x14ac:dyDescent="0.25">
      <c r="A346" t="s">
        <v>1143</v>
      </c>
      <c r="B346" t="str">
        <f>resultado_db_usuario_10[[#This Row],[metodo]]&amp;" "&amp;SUBSTITUTE(resultado_db_usuario_10[[#This Row],[rota]],"/api/v1","")</f>
        <v>GET /funcionarios/</v>
      </c>
      <c r="C346" t="s">
        <v>12</v>
      </c>
      <c r="D346" t="s">
        <v>21</v>
      </c>
      <c r="E346" t="s">
        <v>22</v>
      </c>
      <c r="F346">
        <v>200</v>
      </c>
      <c r="G346" s="2">
        <v>15.58</v>
      </c>
      <c r="H346" s="1">
        <v>46166.64108209491</v>
      </c>
      <c r="I346" s="1">
        <v>46166.64108228009</v>
      </c>
      <c r="J346" t="s">
        <v>15</v>
      </c>
      <c r="K346" t="s">
        <v>16</v>
      </c>
      <c r="L346" s="1">
        <v>46166.641082291666</v>
      </c>
    </row>
    <row r="347" spans="1:12" x14ac:dyDescent="0.25">
      <c r="A347" t="s">
        <v>1151</v>
      </c>
      <c r="B347" t="str">
        <f>resultado_db_usuario_10[[#This Row],[metodo]]&amp;" "&amp;SUBSTITUTE(resultado_db_usuario_10[[#This Row],[rota]],"/api/v1","")</f>
        <v>GET /funcionarios/</v>
      </c>
      <c r="C347" t="s">
        <v>12</v>
      </c>
      <c r="D347" t="s">
        <v>21</v>
      </c>
      <c r="E347" t="s">
        <v>22</v>
      </c>
      <c r="F347">
        <v>200</v>
      </c>
      <c r="G347" s="2">
        <v>4.8099999999999996</v>
      </c>
      <c r="H347" s="1">
        <v>46166.641082407405</v>
      </c>
      <c r="I347" s="1">
        <v>46166.641082465278</v>
      </c>
      <c r="J347" t="s">
        <v>15</v>
      </c>
      <c r="K347" t="s">
        <v>16</v>
      </c>
      <c r="L347" s="1">
        <v>46166.641082476854</v>
      </c>
    </row>
    <row r="348" spans="1:12" x14ac:dyDescent="0.25">
      <c r="A348" t="s">
        <v>1156</v>
      </c>
      <c r="B348" t="str">
        <f>resultado_db_usuario_10[[#This Row],[metodo]]&amp;" "&amp;SUBSTITUTE(resultado_db_usuario_10[[#This Row],[rota]],"/api/v1","")</f>
        <v>GET /funcionarios/</v>
      </c>
      <c r="C348" t="s">
        <v>12</v>
      </c>
      <c r="D348" t="s">
        <v>21</v>
      </c>
      <c r="E348" t="s">
        <v>22</v>
      </c>
      <c r="F348">
        <v>200</v>
      </c>
      <c r="G348" s="2">
        <v>10.38</v>
      </c>
      <c r="H348" s="1">
        <v>46166.641082430557</v>
      </c>
      <c r="I348" s="1">
        <v>46166.641082546295</v>
      </c>
      <c r="J348" t="s">
        <v>15</v>
      </c>
      <c r="K348" t="s">
        <v>16</v>
      </c>
      <c r="L348" s="1">
        <v>46166.641082569447</v>
      </c>
    </row>
    <row r="349" spans="1:12" x14ac:dyDescent="0.25">
      <c r="A349" t="s">
        <v>1157</v>
      </c>
      <c r="B349" t="str">
        <f>resultado_db_usuario_10[[#This Row],[metodo]]&amp;" "&amp;SUBSTITUTE(resultado_db_usuario_10[[#This Row],[rota]],"/api/v1","")</f>
        <v>GET /funcionarios/</v>
      </c>
      <c r="C349" t="s">
        <v>12</v>
      </c>
      <c r="D349" t="s">
        <v>21</v>
      </c>
      <c r="E349" t="s">
        <v>22</v>
      </c>
      <c r="F349">
        <v>200</v>
      </c>
      <c r="G349" s="2">
        <v>10.62</v>
      </c>
      <c r="H349" s="1">
        <v>46166.641082442133</v>
      </c>
      <c r="I349" s="1">
        <v>46166.641082569447</v>
      </c>
      <c r="J349" t="s">
        <v>15</v>
      </c>
      <c r="K349" t="s">
        <v>16</v>
      </c>
      <c r="L349" s="1">
        <v>46166.641082581016</v>
      </c>
    </row>
    <row r="350" spans="1:12" x14ac:dyDescent="0.25">
      <c r="A350" t="s">
        <v>1158</v>
      </c>
      <c r="B350" t="str">
        <f>resultado_db_usuario_10[[#This Row],[metodo]]&amp;" "&amp;SUBSTITUTE(resultado_db_usuario_10[[#This Row],[rota]],"/api/v1","")</f>
        <v>GET /funcionarios/</v>
      </c>
      <c r="C350" t="s">
        <v>12</v>
      </c>
      <c r="D350" t="s">
        <v>21</v>
      </c>
      <c r="E350" t="s">
        <v>22</v>
      </c>
      <c r="F350">
        <v>200</v>
      </c>
      <c r="G350" s="2">
        <v>11.7</v>
      </c>
      <c r="H350" s="1">
        <v>46166.641082442133</v>
      </c>
      <c r="I350" s="1">
        <v>46166.641082581016</v>
      </c>
      <c r="J350" t="s">
        <v>15</v>
      </c>
      <c r="K350" t="s">
        <v>16</v>
      </c>
      <c r="L350" s="1">
        <v>46166.641082592592</v>
      </c>
    </row>
    <row r="351" spans="1:12" x14ac:dyDescent="0.25">
      <c r="A351" t="s">
        <v>1162</v>
      </c>
      <c r="B351" t="str">
        <f>resultado_db_usuario_10[[#This Row],[metodo]]&amp;" "&amp;SUBSTITUTE(resultado_db_usuario_10[[#This Row],[rota]],"/api/v1","")</f>
        <v>GET /funcionarios/</v>
      </c>
      <c r="C351" t="s">
        <v>12</v>
      </c>
      <c r="D351" t="s">
        <v>21</v>
      </c>
      <c r="E351" t="s">
        <v>22</v>
      </c>
      <c r="F351">
        <v>200</v>
      </c>
      <c r="G351" s="2">
        <v>7.59</v>
      </c>
      <c r="H351" s="1">
        <v>46166.641082604168</v>
      </c>
      <c r="I351" s="1">
        <v>46166.641082696762</v>
      </c>
      <c r="J351" t="s">
        <v>15</v>
      </c>
      <c r="K351" t="s">
        <v>16</v>
      </c>
      <c r="L351" s="1">
        <v>46166.641082708331</v>
      </c>
    </row>
    <row r="352" spans="1:12" x14ac:dyDescent="0.25">
      <c r="A352" t="s">
        <v>1187</v>
      </c>
      <c r="B352" t="str">
        <f>resultado_db_usuario_10[[#This Row],[metodo]]&amp;" "&amp;SUBSTITUTE(resultado_db_usuario_10[[#This Row],[rota]],"/api/v1","")</f>
        <v>GET /funcionarios/</v>
      </c>
      <c r="C352" t="s">
        <v>12</v>
      </c>
      <c r="D352" t="s">
        <v>21</v>
      </c>
      <c r="E352" t="s">
        <v>22</v>
      </c>
      <c r="F352">
        <v>200</v>
      </c>
      <c r="G352" s="2">
        <v>8.16</v>
      </c>
      <c r="H352" s="1">
        <v>46166.641083599534</v>
      </c>
      <c r="I352" s="1">
        <v>46166.641083692128</v>
      </c>
      <c r="J352" t="s">
        <v>15</v>
      </c>
      <c r="K352" t="s">
        <v>16</v>
      </c>
      <c r="L352" s="1">
        <v>46166.641083703704</v>
      </c>
    </row>
    <row r="353" spans="1:12" x14ac:dyDescent="0.25">
      <c r="A353" t="s">
        <v>1193</v>
      </c>
      <c r="B353" t="str">
        <f>resultado_db_usuario_10[[#This Row],[metodo]]&amp;" "&amp;SUBSTITUTE(resultado_db_usuario_10[[#This Row],[rota]],"/api/v1","")</f>
        <v>GET /funcionarios/</v>
      </c>
      <c r="C353" t="s">
        <v>12</v>
      </c>
      <c r="D353" t="s">
        <v>21</v>
      </c>
      <c r="E353" t="s">
        <v>22</v>
      </c>
      <c r="F353">
        <v>200</v>
      </c>
      <c r="G353" s="2">
        <v>8.9</v>
      </c>
      <c r="H353" s="1">
        <v>46166.641083761577</v>
      </c>
      <c r="I353" s="1">
        <v>46166.641083865739</v>
      </c>
      <c r="J353" t="s">
        <v>15</v>
      </c>
      <c r="K353" t="s">
        <v>16</v>
      </c>
      <c r="L353" s="1">
        <v>46166.641083877315</v>
      </c>
    </row>
    <row r="354" spans="1:12" x14ac:dyDescent="0.25">
      <c r="A354" t="s">
        <v>1228</v>
      </c>
      <c r="B354" t="str">
        <f>resultado_db_usuario_10[[#This Row],[metodo]]&amp;" "&amp;SUBSTITUTE(resultado_db_usuario_10[[#This Row],[rota]],"/api/v1","")</f>
        <v>GET /funcionarios/</v>
      </c>
      <c r="C354" t="s">
        <v>12</v>
      </c>
      <c r="D354" t="s">
        <v>21</v>
      </c>
      <c r="E354" t="s">
        <v>22</v>
      </c>
      <c r="F354">
        <v>200</v>
      </c>
      <c r="G354" s="2">
        <v>11.63</v>
      </c>
      <c r="H354" s="1">
        <v>46166.641084560186</v>
      </c>
      <c r="I354" s="1">
        <v>46166.641084699077</v>
      </c>
      <c r="J354" t="s">
        <v>15</v>
      </c>
      <c r="K354" t="s">
        <v>16</v>
      </c>
      <c r="L354" s="1">
        <v>46166.641084722221</v>
      </c>
    </row>
    <row r="355" spans="1:12" x14ac:dyDescent="0.25">
      <c r="A355" t="s">
        <v>1239</v>
      </c>
      <c r="B355" t="str">
        <f>resultado_db_usuario_10[[#This Row],[metodo]]&amp;" "&amp;SUBSTITUTE(resultado_db_usuario_10[[#This Row],[rota]],"/api/v1","")</f>
        <v>GET /funcionarios/</v>
      </c>
      <c r="C355" t="s">
        <v>12</v>
      </c>
      <c r="D355" t="s">
        <v>21</v>
      </c>
      <c r="E355" t="s">
        <v>22</v>
      </c>
      <c r="F355">
        <v>200</v>
      </c>
      <c r="G355" s="2">
        <v>8.26</v>
      </c>
      <c r="H355" s="1">
        <v>46166.64108494213</v>
      </c>
      <c r="I355" s="1">
        <v>46166.6410850463</v>
      </c>
      <c r="J355" t="s">
        <v>15</v>
      </c>
      <c r="K355" t="s">
        <v>16</v>
      </c>
      <c r="L355" s="1">
        <v>46166.641085057869</v>
      </c>
    </row>
    <row r="356" spans="1:12" x14ac:dyDescent="0.25">
      <c r="A356" t="s">
        <v>1262</v>
      </c>
      <c r="B356" t="str">
        <f>resultado_db_usuario_10[[#This Row],[metodo]]&amp;" "&amp;SUBSTITUTE(resultado_db_usuario_10[[#This Row],[rota]],"/api/v1","")</f>
        <v>GET /funcionarios/</v>
      </c>
      <c r="C356" t="s">
        <v>12</v>
      </c>
      <c r="D356" t="s">
        <v>21</v>
      </c>
      <c r="E356" t="s">
        <v>22</v>
      </c>
      <c r="F356">
        <v>200</v>
      </c>
      <c r="G356" s="2">
        <v>6.93</v>
      </c>
      <c r="H356" s="1">
        <v>46166.641085740739</v>
      </c>
      <c r="I356" s="1">
        <v>46166.641085821757</v>
      </c>
      <c r="J356" t="s">
        <v>15</v>
      </c>
      <c r="K356" t="s">
        <v>16</v>
      </c>
      <c r="L356" s="1">
        <v>46166.641085844909</v>
      </c>
    </row>
    <row r="357" spans="1:12" x14ac:dyDescent="0.25">
      <c r="A357" t="s">
        <v>1263</v>
      </c>
      <c r="B357" t="str">
        <f>resultado_db_usuario_10[[#This Row],[metodo]]&amp;" "&amp;SUBSTITUTE(resultado_db_usuario_10[[#This Row],[rota]],"/api/v1","")</f>
        <v>GET /funcionarios/</v>
      </c>
      <c r="C357" t="s">
        <v>12</v>
      </c>
      <c r="D357" t="s">
        <v>21</v>
      </c>
      <c r="E357" t="s">
        <v>22</v>
      </c>
      <c r="F357">
        <v>200</v>
      </c>
      <c r="G357" s="2">
        <v>8.11</v>
      </c>
      <c r="H357" s="1">
        <v>46166.641085752315</v>
      </c>
      <c r="I357" s="1">
        <v>46166.641085844909</v>
      </c>
      <c r="J357" t="s">
        <v>15</v>
      </c>
      <c r="K357" t="s">
        <v>16</v>
      </c>
      <c r="L357" s="1">
        <v>46166.641085856485</v>
      </c>
    </row>
    <row r="358" spans="1:12" x14ac:dyDescent="0.25">
      <c r="A358" t="s">
        <v>1264</v>
      </c>
      <c r="B358" t="str">
        <f>resultado_db_usuario_10[[#This Row],[metodo]]&amp;" "&amp;SUBSTITUTE(resultado_db_usuario_10[[#This Row],[rota]],"/api/v1","")</f>
        <v>GET /funcionarios/</v>
      </c>
      <c r="C358" t="s">
        <v>12</v>
      </c>
      <c r="D358" t="s">
        <v>21</v>
      </c>
      <c r="E358" t="s">
        <v>22</v>
      </c>
      <c r="F358">
        <v>200</v>
      </c>
      <c r="G358" s="2">
        <v>8.89</v>
      </c>
      <c r="H358" s="1">
        <v>46166.641085752315</v>
      </c>
      <c r="I358" s="1">
        <v>46166.641085856485</v>
      </c>
      <c r="J358" t="s">
        <v>15</v>
      </c>
      <c r="K358" t="s">
        <v>16</v>
      </c>
      <c r="L358" s="1">
        <v>46166.641085868054</v>
      </c>
    </row>
    <row r="359" spans="1:12" x14ac:dyDescent="0.25">
      <c r="A359" t="s">
        <v>1265</v>
      </c>
      <c r="B359" t="str">
        <f>resultado_db_usuario_10[[#This Row],[metodo]]&amp;" "&amp;SUBSTITUTE(resultado_db_usuario_10[[#This Row],[rota]],"/api/v1","")</f>
        <v>GET /funcionarios/</v>
      </c>
      <c r="C359" t="s">
        <v>12</v>
      </c>
      <c r="D359" t="s">
        <v>21</v>
      </c>
      <c r="E359" t="s">
        <v>22</v>
      </c>
      <c r="F359">
        <v>200</v>
      </c>
      <c r="G359" s="2">
        <v>9.7100000000000009</v>
      </c>
      <c r="H359" s="1">
        <v>46166.641085763891</v>
      </c>
      <c r="I359" s="1">
        <v>46166.641085868054</v>
      </c>
      <c r="J359" t="s">
        <v>15</v>
      </c>
      <c r="K359" t="s">
        <v>16</v>
      </c>
      <c r="L359" s="1">
        <v>46166.641085891206</v>
      </c>
    </row>
    <row r="360" spans="1:12" x14ac:dyDescent="0.25">
      <c r="A360" t="s">
        <v>1268</v>
      </c>
      <c r="B360" t="str">
        <f>resultado_db_usuario_10[[#This Row],[metodo]]&amp;" "&amp;SUBSTITUTE(resultado_db_usuario_10[[#This Row],[rota]],"/api/v1","")</f>
        <v>GET /funcionarios/</v>
      </c>
      <c r="C360" t="s">
        <v>12</v>
      </c>
      <c r="D360" t="s">
        <v>21</v>
      </c>
      <c r="E360" t="s">
        <v>22</v>
      </c>
      <c r="F360">
        <v>200</v>
      </c>
      <c r="G360" s="2">
        <v>9.76</v>
      </c>
      <c r="H360" s="1">
        <v>46166.641085810188</v>
      </c>
      <c r="I360" s="1">
        <v>46166.641085914351</v>
      </c>
      <c r="J360" t="s">
        <v>15</v>
      </c>
      <c r="K360" t="s">
        <v>16</v>
      </c>
      <c r="L360" s="1">
        <v>46166.641085937503</v>
      </c>
    </row>
    <row r="361" spans="1:12" x14ac:dyDescent="0.25">
      <c r="A361" t="s">
        <v>1278</v>
      </c>
      <c r="B361" t="str">
        <f>resultado_db_usuario_10[[#This Row],[metodo]]&amp;" "&amp;SUBSTITUTE(resultado_db_usuario_10[[#This Row],[rota]],"/api/v1","")</f>
        <v>GET /funcionarios/</v>
      </c>
      <c r="C361" t="s">
        <v>12</v>
      </c>
      <c r="D361" t="s">
        <v>21</v>
      </c>
      <c r="E361" t="s">
        <v>22</v>
      </c>
      <c r="F361">
        <v>200</v>
      </c>
      <c r="G361" s="2">
        <v>10.94</v>
      </c>
      <c r="H361" s="1">
        <v>46166.641086064818</v>
      </c>
      <c r="I361" s="1">
        <v>46166.641086180556</v>
      </c>
      <c r="J361" t="s">
        <v>15</v>
      </c>
      <c r="K361" t="s">
        <v>16</v>
      </c>
      <c r="L361" s="1">
        <v>46166.641086203701</v>
      </c>
    </row>
    <row r="362" spans="1:12" x14ac:dyDescent="0.25">
      <c r="A362" t="s">
        <v>1298</v>
      </c>
      <c r="B362" t="str">
        <f>resultado_db_usuario_10[[#This Row],[metodo]]&amp;" "&amp;SUBSTITUTE(resultado_db_usuario_10[[#This Row],[rota]],"/api/v1","")</f>
        <v>GET /funcionarios/</v>
      </c>
      <c r="C362" t="s">
        <v>12</v>
      </c>
      <c r="D362" t="s">
        <v>21</v>
      </c>
      <c r="E362" t="s">
        <v>22</v>
      </c>
      <c r="F362">
        <v>200</v>
      </c>
      <c r="G362" s="2">
        <v>7.76</v>
      </c>
      <c r="H362" s="1">
        <v>46166.64108666667</v>
      </c>
      <c r="I362" s="1">
        <v>46166.641086759257</v>
      </c>
      <c r="J362" t="s">
        <v>15</v>
      </c>
      <c r="K362" t="s">
        <v>16</v>
      </c>
      <c r="L362" s="1">
        <v>46166.641086782409</v>
      </c>
    </row>
    <row r="363" spans="1:12" x14ac:dyDescent="0.25">
      <c r="A363" t="s">
        <v>1308</v>
      </c>
      <c r="B363" t="str">
        <f>resultado_db_usuario_10[[#This Row],[metodo]]&amp;" "&amp;SUBSTITUTE(resultado_db_usuario_10[[#This Row],[rota]],"/api/v1","")</f>
        <v>GET /funcionarios/</v>
      </c>
      <c r="C363" t="s">
        <v>12</v>
      </c>
      <c r="D363" t="s">
        <v>21</v>
      </c>
      <c r="E363" t="s">
        <v>22</v>
      </c>
      <c r="F363">
        <v>200</v>
      </c>
      <c r="G363" s="2">
        <v>8.32</v>
      </c>
      <c r="H363" s="1">
        <v>46166.641086875003</v>
      </c>
      <c r="I363" s="1">
        <v>46166.641086967589</v>
      </c>
      <c r="J363" t="s">
        <v>15</v>
      </c>
      <c r="K363" t="s">
        <v>16</v>
      </c>
      <c r="L363" s="1">
        <v>46166.641086979165</v>
      </c>
    </row>
    <row r="364" spans="1:12" x14ac:dyDescent="0.25">
      <c r="A364" t="s">
        <v>1338</v>
      </c>
      <c r="B364" t="str">
        <f>resultado_db_usuario_10[[#This Row],[metodo]]&amp;" "&amp;SUBSTITUTE(resultado_db_usuario_10[[#This Row],[rota]],"/api/v1","")</f>
        <v>GET /funcionarios/</v>
      </c>
      <c r="C364" t="s">
        <v>12</v>
      </c>
      <c r="D364" t="s">
        <v>21</v>
      </c>
      <c r="E364" t="s">
        <v>22</v>
      </c>
      <c r="F364">
        <v>200</v>
      </c>
      <c r="G364" s="2">
        <v>11.32</v>
      </c>
      <c r="H364" s="1">
        <v>46166.641087592594</v>
      </c>
      <c r="I364" s="1">
        <v>46166.641087719909</v>
      </c>
      <c r="J364" t="s">
        <v>15</v>
      </c>
      <c r="K364" t="s">
        <v>16</v>
      </c>
      <c r="L364" s="1">
        <v>46166.641087743054</v>
      </c>
    </row>
    <row r="365" spans="1:12" x14ac:dyDescent="0.25">
      <c r="A365" t="s">
        <v>1356</v>
      </c>
      <c r="B365" t="str">
        <f>resultado_db_usuario_10[[#This Row],[metodo]]&amp;" "&amp;SUBSTITUTE(resultado_db_usuario_10[[#This Row],[rota]],"/api/v1","")</f>
        <v>GET /funcionarios/</v>
      </c>
      <c r="C365" t="s">
        <v>12</v>
      </c>
      <c r="D365" t="s">
        <v>21</v>
      </c>
      <c r="E365" t="s">
        <v>22</v>
      </c>
      <c r="F365">
        <v>200</v>
      </c>
      <c r="G365" s="2">
        <v>20.29</v>
      </c>
      <c r="H365" s="1">
        <v>46166.641088159726</v>
      </c>
      <c r="I365" s="1">
        <v>46166.641088391203</v>
      </c>
      <c r="J365" t="s">
        <v>15</v>
      </c>
      <c r="K365" t="s">
        <v>16</v>
      </c>
      <c r="L365" s="1">
        <v>46166.641088402779</v>
      </c>
    </row>
    <row r="366" spans="1:12" x14ac:dyDescent="0.25">
      <c r="A366" t="s">
        <v>1368</v>
      </c>
      <c r="B366" t="str">
        <f>resultado_db_usuario_10[[#This Row],[metodo]]&amp;" "&amp;SUBSTITUTE(resultado_db_usuario_10[[#This Row],[rota]],"/api/v1","")</f>
        <v>GET /funcionarios/</v>
      </c>
      <c r="C366" t="s">
        <v>12</v>
      </c>
      <c r="D366" t="s">
        <v>21</v>
      </c>
      <c r="E366" t="s">
        <v>22</v>
      </c>
      <c r="F366">
        <v>200</v>
      </c>
      <c r="G366" s="2">
        <v>6.14</v>
      </c>
      <c r="H366" s="1">
        <v>46166.641088657409</v>
      </c>
      <c r="I366" s="1">
        <v>46166.64108872685</v>
      </c>
      <c r="J366" t="s">
        <v>15</v>
      </c>
      <c r="K366" t="s">
        <v>16</v>
      </c>
      <c r="L366" s="1">
        <v>46166.641088738426</v>
      </c>
    </row>
    <row r="367" spans="1:12" x14ac:dyDescent="0.25">
      <c r="A367" t="s">
        <v>1373</v>
      </c>
      <c r="B367" t="str">
        <f>resultado_db_usuario_10[[#This Row],[metodo]]&amp;" "&amp;SUBSTITUTE(resultado_db_usuario_10[[#This Row],[rota]],"/api/v1","")</f>
        <v>GET /funcionarios/</v>
      </c>
      <c r="C367" t="s">
        <v>12</v>
      </c>
      <c r="D367" t="s">
        <v>21</v>
      </c>
      <c r="E367" t="s">
        <v>22</v>
      </c>
      <c r="F367">
        <v>200</v>
      </c>
      <c r="G367" s="2">
        <v>9.91</v>
      </c>
      <c r="H367" s="1">
        <v>46166.641088692129</v>
      </c>
      <c r="I367" s="1">
        <v>46166.641088807868</v>
      </c>
      <c r="J367" t="s">
        <v>15</v>
      </c>
      <c r="K367" t="s">
        <v>16</v>
      </c>
      <c r="L367" s="1">
        <v>46166.64108883102</v>
      </c>
    </row>
    <row r="368" spans="1:12" x14ac:dyDescent="0.25">
      <c r="A368" t="s">
        <v>1375</v>
      </c>
      <c r="B368" t="str">
        <f>resultado_db_usuario_10[[#This Row],[metodo]]&amp;" "&amp;SUBSTITUTE(resultado_db_usuario_10[[#This Row],[rota]],"/api/v1","")</f>
        <v>GET /funcionarios/</v>
      </c>
      <c r="C368" t="s">
        <v>12</v>
      </c>
      <c r="D368" t="s">
        <v>21</v>
      </c>
      <c r="E368" t="s">
        <v>22</v>
      </c>
      <c r="F368">
        <v>200</v>
      </c>
      <c r="G368" s="2">
        <v>11.99</v>
      </c>
      <c r="H368" s="1">
        <v>46166.641088715274</v>
      </c>
      <c r="I368" s="1">
        <v>46166.641088854165</v>
      </c>
      <c r="J368" t="s">
        <v>15</v>
      </c>
      <c r="K368" t="s">
        <v>16</v>
      </c>
      <c r="L368" s="1">
        <v>46166.641088865741</v>
      </c>
    </row>
    <row r="369" spans="1:12" x14ac:dyDescent="0.25">
      <c r="A369" t="s">
        <v>1376</v>
      </c>
      <c r="B369" t="str">
        <f>resultado_db_usuario_10[[#This Row],[metodo]]&amp;" "&amp;SUBSTITUTE(resultado_db_usuario_10[[#This Row],[rota]],"/api/v1","")</f>
        <v>GET /funcionarios/</v>
      </c>
      <c r="C369" t="s">
        <v>12</v>
      </c>
      <c r="D369" t="s">
        <v>21</v>
      </c>
      <c r="E369" t="s">
        <v>22</v>
      </c>
      <c r="F369">
        <v>200</v>
      </c>
      <c r="G369" s="2">
        <v>13.33</v>
      </c>
      <c r="H369" s="1">
        <v>46166.641088715274</v>
      </c>
      <c r="I369" s="1">
        <v>46166.641088865741</v>
      </c>
      <c r="J369" t="s">
        <v>15</v>
      </c>
      <c r="K369" t="s">
        <v>16</v>
      </c>
      <c r="L369" s="1">
        <v>46166.641088888886</v>
      </c>
    </row>
    <row r="370" spans="1:12" x14ac:dyDescent="0.25">
      <c r="A370" t="s">
        <v>1388</v>
      </c>
      <c r="B370" t="str">
        <f>resultado_db_usuario_10[[#This Row],[metodo]]&amp;" "&amp;SUBSTITUTE(resultado_db_usuario_10[[#This Row],[rota]],"/api/v1","")</f>
        <v>GET /funcionarios/</v>
      </c>
      <c r="C370" t="s">
        <v>12</v>
      </c>
      <c r="D370" t="s">
        <v>21</v>
      </c>
      <c r="E370" t="s">
        <v>22</v>
      </c>
      <c r="F370">
        <v>200</v>
      </c>
      <c r="G370" s="2">
        <v>9.14</v>
      </c>
      <c r="H370" s="1">
        <v>46166.641089131947</v>
      </c>
      <c r="I370" s="1">
        <v>46166.641089236109</v>
      </c>
      <c r="J370" t="s">
        <v>15</v>
      </c>
      <c r="K370" t="s">
        <v>16</v>
      </c>
      <c r="L370" s="1">
        <v>46166.641089247685</v>
      </c>
    </row>
    <row r="371" spans="1:12" x14ac:dyDescent="0.25">
      <c r="A371" t="s">
        <v>1406</v>
      </c>
      <c r="B371" t="str">
        <f>resultado_db_usuario_10[[#This Row],[metodo]]&amp;" "&amp;SUBSTITUTE(resultado_db_usuario_10[[#This Row],[rota]],"/api/v1","")</f>
        <v>GET /funcionarios/</v>
      </c>
      <c r="C371" t="s">
        <v>12</v>
      </c>
      <c r="D371" t="s">
        <v>21</v>
      </c>
      <c r="E371" t="s">
        <v>22</v>
      </c>
      <c r="F371">
        <v>200</v>
      </c>
      <c r="G371" s="2">
        <v>4.74</v>
      </c>
      <c r="H371" s="1">
        <v>46166.641089745368</v>
      </c>
      <c r="I371" s="1">
        <v>46166.641089803241</v>
      </c>
      <c r="J371" t="s">
        <v>15</v>
      </c>
      <c r="K371" t="s">
        <v>16</v>
      </c>
      <c r="L371" s="1">
        <v>46166.641089814817</v>
      </c>
    </row>
    <row r="372" spans="1:12" x14ac:dyDescent="0.25">
      <c r="A372" t="s">
        <v>1417</v>
      </c>
      <c r="B372" t="str">
        <f>resultado_db_usuario_10[[#This Row],[metodo]]&amp;" "&amp;SUBSTITUTE(resultado_db_usuario_10[[#This Row],[rota]],"/api/v1","")</f>
        <v>GET /funcionarios/</v>
      </c>
      <c r="C372" t="s">
        <v>12</v>
      </c>
      <c r="D372" t="s">
        <v>21</v>
      </c>
      <c r="E372" t="s">
        <v>22</v>
      </c>
      <c r="F372">
        <v>200</v>
      </c>
      <c r="G372" s="2">
        <v>6.96</v>
      </c>
      <c r="H372" s="1">
        <v>46166.641089976853</v>
      </c>
      <c r="I372" s="1">
        <v>46166.64109005787</v>
      </c>
      <c r="J372" t="s">
        <v>15</v>
      </c>
      <c r="K372" t="s">
        <v>16</v>
      </c>
      <c r="L372" s="1">
        <v>46166.641090081015</v>
      </c>
    </row>
    <row r="373" spans="1:12" x14ac:dyDescent="0.25">
      <c r="A373" t="s">
        <v>1445</v>
      </c>
      <c r="B373" t="str">
        <f>resultado_db_usuario_10[[#This Row],[metodo]]&amp;" "&amp;SUBSTITUTE(resultado_db_usuario_10[[#This Row],[rota]],"/api/v1","")</f>
        <v>GET /funcionarios/</v>
      </c>
      <c r="C373" t="s">
        <v>12</v>
      </c>
      <c r="D373" t="s">
        <v>21</v>
      </c>
      <c r="E373" t="s">
        <v>22</v>
      </c>
      <c r="F373">
        <v>200</v>
      </c>
      <c r="G373" s="2">
        <v>9.99</v>
      </c>
      <c r="H373" s="1">
        <v>46166.641090648147</v>
      </c>
      <c r="I373" s="1">
        <v>46166.641090763886</v>
      </c>
      <c r="J373" t="s">
        <v>15</v>
      </c>
      <c r="K373" t="s">
        <v>16</v>
      </c>
      <c r="L373" s="1">
        <v>46166.641090787038</v>
      </c>
    </row>
    <row r="374" spans="1:12" x14ac:dyDescent="0.25">
      <c r="A374" t="s">
        <v>1457</v>
      </c>
      <c r="B374" t="str">
        <f>resultado_db_usuario_10[[#This Row],[metodo]]&amp;" "&amp;SUBSTITUTE(resultado_db_usuario_10[[#This Row],[rota]],"/api/v1","")</f>
        <v>GET /funcionarios/</v>
      </c>
      <c r="C374" t="s">
        <v>12</v>
      </c>
      <c r="D374" t="s">
        <v>21</v>
      </c>
      <c r="E374" t="s">
        <v>22</v>
      </c>
      <c r="F374">
        <v>200</v>
      </c>
      <c r="G374" s="2">
        <v>12.44</v>
      </c>
      <c r="H374" s="1">
        <v>46166.641091134261</v>
      </c>
      <c r="I374" s="1">
        <v>46166.641091273152</v>
      </c>
      <c r="J374" t="s">
        <v>15</v>
      </c>
      <c r="K374" t="s">
        <v>16</v>
      </c>
      <c r="L374" s="1">
        <v>46166.641091296297</v>
      </c>
    </row>
    <row r="375" spans="1:12" x14ac:dyDescent="0.25">
      <c r="A375" t="s">
        <v>1461</v>
      </c>
      <c r="B375" t="str">
        <f>resultado_db_usuario_10[[#This Row],[metodo]]&amp;" "&amp;SUBSTITUTE(resultado_db_usuario_10[[#This Row],[rota]],"/api/v1","")</f>
        <v>GET /funcionarios/</v>
      </c>
      <c r="C375" t="s">
        <v>12</v>
      </c>
      <c r="D375" t="s">
        <v>21</v>
      </c>
      <c r="E375" t="s">
        <v>22</v>
      </c>
      <c r="F375">
        <v>200</v>
      </c>
      <c r="G375" s="2">
        <v>6.84</v>
      </c>
      <c r="H375" s="1">
        <v>46166.641091296297</v>
      </c>
      <c r="I375" s="1">
        <v>46166.641091377314</v>
      </c>
      <c r="J375" t="s">
        <v>15</v>
      </c>
      <c r="K375" t="s">
        <v>16</v>
      </c>
      <c r="L375" s="1">
        <v>46166.641091400466</v>
      </c>
    </row>
    <row r="376" spans="1:12" x14ac:dyDescent="0.25">
      <c r="A376" t="s">
        <v>1466</v>
      </c>
      <c r="B376" t="str">
        <f>resultado_db_usuario_10[[#This Row],[metodo]]&amp;" "&amp;SUBSTITUTE(resultado_db_usuario_10[[#This Row],[rota]],"/api/v1","")</f>
        <v>GET /funcionarios/</v>
      </c>
      <c r="C376" t="s">
        <v>12</v>
      </c>
      <c r="D376" t="s">
        <v>21</v>
      </c>
      <c r="E376" t="s">
        <v>22</v>
      </c>
      <c r="F376">
        <v>200</v>
      </c>
      <c r="G376" s="2">
        <v>8.4</v>
      </c>
      <c r="H376" s="1">
        <v>46166.641091481484</v>
      </c>
      <c r="I376" s="1">
        <v>46166.641091585647</v>
      </c>
      <c r="J376" t="s">
        <v>15</v>
      </c>
      <c r="K376" t="s">
        <v>16</v>
      </c>
      <c r="L376" s="1">
        <v>46166.641091597223</v>
      </c>
    </row>
    <row r="377" spans="1:12" x14ac:dyDescent="0.25">
      <c r="A377" t="s">
        <v>1469</v>
      </c>
      <c r="B377" t="str">
        <f>resultado_db_usuario_10[[#This Row],[metodo]]&amp;" "&amp;SUBSTITUTE(resultado_db_usuario_10[[#This Row],[rota]],"/api/v1","")</f>
        <v>GET /funcionarios/</v>
      </c>
      <c r="C377" t="s">
        <v>12</v>
      </c>
      <c r="D377" t="s">
        <v>21</v>
      </c>
      <c r="E377" t="s">
        <v>22</v>
      </c>
      <c r="F377">
        <v>200</v>
      </c>
      <c r="G377" s="2">
        <v>10.54</v>
      </c>
      <c r="H377" s="1">
        <v>46166.641091516205</v>
      </c>
      <c r="I377" s="1">
        <v>46166.64109164352</v>
      </c>
      <c r="J377" t="s">
        <v>15</v>
      </c>
      <c r="K377" t="s">
        <v>16</v>
      </c>
      <c r="L377" s="1">
        <v>46166.641091655096</v>
      </c>
    </row>
    <row r="378" spans="1:12" x14ac:dyDescent="0.25">
      <c r="A378" t="s">
        <v>1484</v>
      </c>
      <c r="B378" t="str">
        <f>resultado_db_usuario_10[[#This Row],[metodo]]&amp;" "&amp;SUBSTITUTE(resultado_db_usuario_10[[#This Row],[rota]],"/api/v1","")</f>
        <v>GET /funcionarios/</v>
      </c>
      <c r="C378" t="s">
        <v>12</v>
      </c>
      <c r="D378" t="s">
        <v>21</v>
      </c>
      <c r="E378" t="s">
        <v>22</v>
      </c>
      <c r="F378">
        <v>200</v>
      </c>
      <c r="G378" s="2">
        <v>11.33</v>
      </c>
      <c r="H378" s="1">
        <v>46166.641091886573</v>
      </c>
      <c r="I378" s="1">
        <v>46166.641092025464</v>
      </c>
      <c r="J378" t="s">
        <v>15</v>
      </c>
      <c r="K378" t="s">
        <v>16</v>
      </c>
      <c r="L378" s="1">
        <v>46166.64109203704</v>
      </c>
    </row>
    <row r="379" spans="1:12" x14ac:dyDescent="0.25">
      <c r="A379" t="s">
        <v>1496</v>
      </c>
      <c r="B379" t="str">
        <f>resultado_db_usuario_10[[#This Row],[metodo]]&amp;" "&amp;SUBSTITUTE(resultado_db_usuario_10[[#This Row],[rota]],"/api/v1","")</f>
        <v>GET /funcionarios/</v>
      </c>
      <c r="C379" t="s">
        <v>12</v>
      </c>
      <c r="D379" t="s">
        <v>21</v>
      </c>
      <c r="E379" t="s">
        <v>22</v>
      </c>
      <c r="F379">
        <v>200</v>
      </c>
      <c r="G379" s="2">
        <v>10.26</v>
      </c>
      <c r="H379" s="1">
        <v>46166.641092256941</v>
      </c>
      <c r="I379" s="1">
        <v>46166.641092372687</v>
      </c>
      <c r="J379" t="s">
        <v>15</v>
      </c>
      <c r="K379" t="s">
        <v>16</v>
      </c>
      <c r="L379" s="1">
        <v>46166.641092395832</v>
      </c>
    </row>
    <row r="380" spans="1:12" x14ac:dyDescent="0.25">
      <c r="A380" t="s">
        <v>1510</v>
      </c>
      <c r="B380" t="str">
        <f>resultado_db_usuario_10[[#This Row],[metodo]]&amp;" "&amp;SUBSTITUTE(resultado_db_usuario_10[[#This Row],[rota]],"/api/v1","")</f>
        <v>GET /funcionarios/</v>
      </c>
      <c r="C380" t="s">
        <v>12</v>
      </c>
      <c r="D380" t="s">
        <v>21</v>
      </c>
      <c r="E380" t="s">
        <v>22</v>
      </c>
      <c r="F380">
        <v>200</v>
      </c>
      <c r="G380" s="2">
        <v>7.43</v>
      </c>
      <c r="H380" s="1">
        <v>46166.641092592596</v>
      </c>
      <c r="I380" s="1">
        <v>46166.641092685182</v>
      </c>
      <c r="J380" t="s">
        <v>15</v>
      </c>
      <c r="K380" t="s">
        <v>16</v>
      </c>
      <c r="L380" s="1">
        <v>46166.641092696758</v>
      </c>
    </row>
    <row r="381" spans="1:12" x14ac:dyDescent="0.25">
      <c r="A381" t="s">
        <v>1534</v>
      </c>
      <c r="B381" t="str">
        <f>resultado_db_usuario_10[[#This Row],[metodo]]&amp;" "&amp;SUBSTITUTE(resultado_db_usuario_10[[#This Row],[rota]],"/api/v1","")</f>
        <v>GET /funcionarios/</v>
      </c>
      <c r="C381" t="s">
        <v>12</v>
      </c>
      <c r="D381" t="s">
        <v>21</v>
      </c>
      <c r="E381" t="s">
        <v>22</v>
      </c>
      <c r="F381">
        <v>200</v>
      </c>
      <c r="G381" s="2">
        <v>9.07</v>
      </c>
      <c r="H381" s="1">
        <v>46166.64109326389</v>
      </c>
      <c r="I381" s="1">
        <v>46166.641093368053</v>
      </c>
      <c r="J381" t="s">
        <v>15</v>
      </c>
      <c r="K381" t="s">
        <v>16</v>
      </c>
      <c r="L381" s="1">
        <v>46166.641093379629</v>
      </c>
    </row>
    <row r="382" spans="1:12" x14ac:dyDescent="0.25">
      <c r="A382" t="s">
        <v>1543</v>
      </c>
      <c r="B382" t="str">
        <f>resultado_db_usuario_10[[#This Row],[metodo]]&amp;" "&amp;SUBSTITUTE(resultado_db_usuario_10[[#This Row],[rota]],"/api/v1","")</f>
        <v>GET /funcionarios/</v>
      </c>
      <c r="C382" t="s">
        <v>12</v>
      </c>
      <c r="D382" t="s">
        <v>21</v>
      </c>
      <c r="E382" t="s">
        <v>22</v>
      </c>
      <c r="F382">
        <v>200</v>
      </c>
      <c r="G382" s="2">
        <v>10.33</v>
      </c>
      <c r="H382" s="1">
        <v>46166.641093611113</v>
      </c>
      <c r="I382" s="1">
        <v>46166.641093726852</v>
      </c>
      <c r="J382" t="s">
        <v>15</v>
      </c>
      <c r="K382" t="s">
        <v>16</v>
      </c>
      <c r="L382" s="1">
        <v>46166.641093738428</v>
      </c>
    </row>
    <row r="383" spans="1:12" x14ac:dyDescent="0.25">
      <c r="A383" t="s">
        <v>1551</v>
      </c>
      <c r="B383" t="str">
        <f>resultado_db_usuario_10[[#This Row],[metodo]]&amp;" "&amp;SUBSTITUTE(resultado_db_usuario_10[[#This Row],[rota]],"/api/v1","")</f>
        <v>GET /funcionarios/</v>
      </c>
      <c r="C383" t="s">
        <v>12</v>
      </c>
      <c r="D383" t="s">
        <v>21</v>
      </c>
      <c r="E383" t="s">
        <v>22</v>
      </c>
      <c r="F383">
        <v>200</v>
      </c>
      <c r="G383" s="2">
        <v>8.41</v>
      </c>
      <c r="H383" s="1">
        <v>46166.641093784725</v>
      </c>
      <c r="I383" s="1">
        <v>46166.641093877312</v>
      </c>
      <c r="J383" t="s">
        <v>15</v>
      </c>
      <c r="K383" t="s">
        <v>16</v>
      </c>
      <c r="L383" s="1">
        <v>46166.641093888888</v>
      </c>
    </row>
    <row r="384" spans="1:12" x14ac:dyDescent="0.25">
      <c r="A384" t="s">
        <v>1555</v>
      </c>
      <c r="B384" t="str">
        <f>resultado_db_usuario_10[[#This Row],[metodo]]&amp;" "&amp;SUBSTITUTE(resultado_db_usuario_10[[#This Row],[rota]],"/api/v1","")</f>
        <v>GET /funcionarios/</v>
      </c>
      <c r="C384" t="s">
        <v>12</v>
      </c>
      <c r="D384" t="s">
        <v>21</v>
      </c>
      <c r="E384" t="s">
        <v>22</v>
      </c>
      <c r="F384">
        <v>200</v>
      </c>
      <c r="G384" s="2">
        <v>7.55</v>
      </c>
      <c r="H384" s="1">
        <v>46166.641093888888</v>
      </c>
      <c r="I384" s="1">
        <v>46166.641093969905</v>
      </c>
      <c r="J384" t="s">
        <v>15</v>
      </c>
      <c r="K384" t="s">
        <v>16</v>
      </c>
      <c r="L384" s="1">
        <v>46166.641093993057</v>
      </c>
    </row>
    <row r="385" spans="1:12" x14ac:dyDescent="0.25">
      <c r="A385" t="s">
        <v>1561</v>
      </c>
      <c r="B385" t="str">
        <f>resultado_db_usuario_10[[#This Row],[metodo]]&amp;" "&amp;SUBSTITUTE(resultado_db_usuario_10[[#This Row],[rota]],"/api/v1","")</f>
        <v>GET /funcionarios/</v>
      </c>
      <c r="C385" t="s">
        <v>12</v>
      </c>
      <c r="D385" t="s">
        <v>21</v>
      </c>
      <c r="E385" t="s">
        <v>22</v>
      </c>
      <c r="F385">
        <v>200</v>
      </c>
      <c r="G385" s="2">
        <v>11.44</v>
      </c>
      <c r="H385" s="1">
        <v>46166.641094062499</v>
      </c>
      <c r="I385" s="1">
        <v>46166.641094189814</v>
      </c>
      <c r="J385" t="s">
        <v>15</v>
      </c>
      <c r="K385" t="s">
        <v>16</v>
      </c>
      <c r="L385" s="1">
        <v>46166.641094212966</v>
      </c>
    </row>
    <row r="386" spans="1:12" x14ac:dyDescent="0.25">
      <c r="A386" t="s">
        <v>1575</v>
      </c>
      <c r="B386" t="str">
        <f>resultado_db_usuario_10[[#This Row],[metodo]]&amp;" "&amp;SUBSTITUTE(resultado_db_usuario_10[[#This Row],[rota]],"/api/v1","")</f>
        <v>GET /funcionarios/</v>
      </c>
      <c r="C386" t="s">
        <v>12</v>
      </c>
      <c r="D386" t="s">
        <v>21</v>
      </c>
      <c r="E386" t="s">
        <v>22</v>
      </c>
      <c r="F386">
        <v>200</v>
      </c>
      <c r="G386" s="2">
        <v>6.15</v>
      </c>
      <c r="H386" s="1">
        <v>46166.641094421298</v>
      </c>
      <c r="I386" s="1">
        <v>46166.64109449074</v>
      </c>
      <c r="J386" t="s">
        <v>15</v>
      </c>
      <c r="K386" t="s">
        <v>16</v>
      </c>
      <c r="L386" s="1">
        <v>46166.641094502316</v>
      </c>
    </row>
    <row r="387" spans="1:12" x14ac:dyDescent="0.25">
      <c r="A387" t="s">
        <v>1601</v>
      </c>
      <c r="B387" t="str">
        <f>resultado_db_usuario_10[[#This Row],[metodo]]&amp;" "&amp;SUBSTITUTE(resultado_db_usuario_10[[#This Row],[rota]],"/api/v1","")</f>
        <v>GET /funcionarios/</v>
      </c>
      <c r="C387" t="s">
        <v>12</v>
      </c>
      <c r="D387" t="s">
        <v>21</v>
      </c>
      <c r="E387" t="s">
        <v>22</v>
      </c>
      <c r="F387">
        <v>200</v>
      </c>
      <c r="G387" s="2">
        <v>4.71</v>
      </c>
      <c r="H387" s="1">
        <v>46166.641095127314</v>
      </c>
      <c r="I387" s="1">
        <v>46166.641095185187</v>
      </c>
      <c r="J387" t="s">
        <v>15</v>
      </c>
      <c r="K387" t="s">
        <v>16</v>
      </c>
      <c r="L387" s="1">
        <v>46166.641095208332</v>
      </c>
    </row>
    <row r="388" spans="1:12" x14ac:dyDescent="0.25">
      <c r="A388" t="s">
        <v>1621</v>
      </c>
      <c r="B388" t="str">
        <f>resultado_db_usuario_10[[#This Row],[metodo]]&amp;" "&amp;SUBSTITUTE(resultado_db_usuario_10[[#This Row],[rota]],"/api/v1","")</f>
        <v>GET /funcionarios/</v>
      </c>
      <c r="C388" t="s">
        <v>12</v>
      </c>
      <c r="D388" t="s">
        <v>21</v>
      </c>
      <c r="E388" t="s">
        <v>22</v>
      </c>
      <c r="F388">
        <v>200</v>
      </c>
      <c r="G388" s="2">
        <v>9.19</v>
      </c>
      <c r="H388" s="1">
        <v>46166.641095763887</v>
      </c>
      <c r="I388" s="1">
        <v>46166.641095868057</v>
      </c>
      <c r="J388" t="s">
        <v>15</v>
      </c>
      <c r="K388" t="s">
        <v>16</v>
      </c>
      <c r="L388" s="1">
        <v>46166.641095891202</v>
      </c>
    </row>
    <row r="389" spans="1:12" x14ac:dyDescent="0.25">
      <c r="A389" t="s">
        <v>1625</v>
      </c>
      <c r="B389" t="str">
        <f>resultado_db_usuario_10[[#This Row],[metodo]]&amp;" "&amp;SUBSTITUTE(resultado_db_usuario_10[[#This Row],[rota]],"/api/v1","")</f>
        <v>GET /funcionarios/</v>
      </c>
      <c r="C389" t="s">
        <v>12</v>
      </c>
      <c r="D389" t="s">
        <v>21</v>
      </c>
      <c r="E389" t="s">
        <v>22</v>
      </c>
      <c r="F389">
        <v>200</v>
      </c>
      <c r="G389" s="2">
        <v>2.79</v>
      </c>
      <c r="H389" s="1">
        <v>46166.64109597222</v>
      </c>
      <c r="I389" s="1">
        <v>46166.641096006948</v>
      </c>
      <c r="J389" t="s">
        <v>15</v>
      </c>
      <c r="K389" t="s">
        <v>16</v>
      </c>
      <c r="L389" s="1">
        <v>46166.641096018517</v>
      </c>
    </row>
    <row r="390" spans="1:12" x14ac:dyDescent="0.25">
      <c r="A390" t="s">
        <v>1628</v>
      </c>
      <c r="B390" t="str">
        <f>resultado_db_usuario_10[[#This Row],[metodo]]&amp;" "&amp;SUBSTITUTE(resultado_db_usuario_10[[#This Row],[rota]],"/api/v1","")</f>
        <v>GET /funcionarios/</v>
      </c>
      <c r="C390" t="s">
        <v>12</v>
      </c>
      <c r="D390" t="s">
        <v>21</v>
      </c>
      <c r="E390" t="s">
        <v>22</v>
      </c>
      <c r="F390">
        <v>200</v>
      </c>
      <c r="G390" s="2">
        <v>6.2</v>
      </c>
      <c r="H390" s="1">
        <v>46166.641095983796</v>
      </c>
      <c r="I390" s="1">
        <v>46166.641096053238</v>
      </c>
      <c r="J390" t="s">
        <v>15</v>
      </c>
      <c r="K390" t="s">
        <v>16</v>
      </c>
      <c r="L390" s="1">
        <v>46166.64109607639</v>
      </c>
    </row>
    <row r="391" spans="1:12" x14ac:dyDescent="0.25">
      <c r="A391" t="s">
        <v>1631</v>
      </c>
      <c r="B391" t="str">
        <f>resultado_db_usuario_10[[#This Row],[metodo]]&amp;" "&amp;SUBSTITUTE(resultado_db_usuario_10[[#This Row],[rota]],"/api/v1","")</f>
        <v>GET /funcionarios/</v>
      </c>
      <c r="C391" t="s">
        <v>12</v>
      </c>
      <c r="D391" t="s">
        <v>21</v>
      </c>
      <c r="E391" t="s">
        <v>22</v>
      </c>
      <c r="F391">
        <v>200</v>
      </c>
      <c r="G391" s="2">
        <v>3.09</v>
      </c>
      <c r="H391" s="1">
        <v>46166.641096099534</v>
      </c>
      <c r="I391" s="1">
        <v>46166.641096134263</v>
      </c>
      <c r="J391" t="s">
        <v>15</v>
      </c>
      <c r="K391" t="s">
        <v>16</v>
      </c>
      <c r="L391" s="1">
        <v>46166.641096145831</v>
      </c>
    </row>
    <row r="392" spans="1:12" x14ac:dyDescent="0.25">
      <c r="A392" t="s">
        <v>1648</v>
      </c>
      <c r="B392" t="str">
        <f>resultado_db_usuario_10[[#This Row],[metodo]]&amp;" "&amp;SUBSTITUTE(resultado_db_usuario_10[[#This Row],[rota]],"/api/v1","")</f>
        <v>GET /funcionarios/</v>
      </c>
      <c r="C392" t="s">
        <v>12</v>
      </c>
      <c r="D392" t="s">
        <v>21</v>
      </c>
      <c r="E392" t="s">
        <v>22</v>
      </c>
      <c r="F392">
        <v>200</v>
      </c>
      <c r="G392" s="2">
        <v>4.59</v>
      </c>
      <c r="H392" s="1">
        <v>46166.641096585648</v>
      </c>
      <c r="I392" s="1">
        <v>46166.641096643521</v>
      </c>
      <c r="J392" t="s">
        <v>15</v>
      </c>
      <c r="K392" t="s">
        <v>16</v>
      </c>
      <c r="L392" s="1">
        <v>46166.64109665509</v>
      </c>
    </row>
    <row r="393" spans="1:12" x14ac:dyDescent="0.25">
      <c r="A393" t="s">
        <v>1674</v>
      </c>
      <c r="B393" t="str">
        <f>resultado_db_usuario_10[[#This Row],[metodo]]&amp;" "&amp;SUBSTITUTE(resultado_db_usuario_10[[#This Row],[rota]],"/api/v1","")</f>
        <v>GET /funcionarios/</v>
      </c>
      <c r="C393" t="s">
        <v>12</v>
      </c>
      <c r="D393" t="s">
        <v>21</v>
      </c>
      <c r="E393" t="s">
        <v>22</v>
      </c>
      <c r="F393">
        <v>200</v>
      </c>
      <c r="G393" s="2">
        <v>4.0599999999999996</v>
      </c>
      <c r="H393" s="1">
        <v>46166.641097268519</v>
      </c>
      <c r="I393" s="1">
        <v>46166.641097314816</v>
      </c>
      <c r="J393" t="s">
        <v>15</v>
      </c>
      <c r="K393" t="s">
        <v>16</v>
      </c>
      <c r="L393" s="1">
        <v>46166.641097337961</v>
      </c>
    </row>
    <row r="394" spans="1:12" x14ac:dyDescent="0.25">
      <c r="A394" t="s">
        <v>1690</v>
      </c>
      <c r="B394" t="str">
        <f>resultado_db_usuario_10[[#This Row],[metodo]]&amp;" "&amp;SUBSTITUTE(resultado_db_usuario_10[[#This Row],[rota]],"/api/v1","")</f>
        <v>GET /funcionarios/</v>
      </c>
      <c r="C394" t="s">
        <v>12</v>
      </c>
      <c r="D394" t="s">
        <v>21</v>
      </c>
      <c r="E394" t="s">
        <v>22</v>
      </c>
      <c r="F394">
        <v>200</v>
      </c>
      <c r="G394" s="2">
        <v>10.1</v>
      </c>
      <c r="H394" s="1">
        <v>46166.641097719905</v>
      </c>
      <c r="I394" s="1">
        <v>46166.641097835651</v>
      </c>
      <c r="J394" t="s">
        <v>15</v>
      </c>
      <c r="K394" t="s">
        <v>16</v>
      </c>
      <c r="L394" s="1">
        <v>46166.641097847219</v>
      </c>
    </row>
    <row r="395" spans="1:12" x14ac:dyDescent="0.25">
      <c r="A395" t="s">
        <v>1692</v>
      </c>
      <c r="B395" t="str">
        <f>resultado_db_usuario_10[[#This Row],[metodo]]&amp;" "&amp;SUBSTITUTE(resultado_db_usuario_10[[#This Row],[rota]],"/api/v1","")</f>
        <v>GET /funcionarios/</v>
      </c>
      <c r="C395" t="s">
        <v>12</v>
      </c>
      <c r="D395" t="s">
        <v>21</v>
      </c>
      <c r="E395" t="s">
        <v>22</v>
      </c>
      <c r="F395">
        <v>200</v>
      </c>
      <c r="G395" s="2">
        <v>3.14</v>
      </c>
      <c r="H395" s="1">
        <v>46166.641097870372</v>
      </c>
      <c r="I395" s="1">
        <v>46166.641097905092</v>
      </c>
      <c r="J395" t="s">
        <v>15</v>
      </c>
      <c r="K395" t="s">
        <v>16</v>
      </c>
      <c r="L395" s="1">
        <v>46166.641097916669</v>
      </c>
    </row>
    <row r="396" spans="1:12" x14ac:dyDescent="0.25">
      <c r="A396" t="s">
        <v>1696</v>
      </c>
      <c r="B396" t="str">
        <f>resultado_db_usuario_10[[#This Row],[metodo]]&amp;" "&amp;SUBSTITUTE(resultado_db_usuario_10[[#This Row],[rota]],"/api/v1","")</f>
        <v>GET /funcionarios/</v>
      </c>
      <c r="C396" t="s">
        <v>12</v>
      </c>
      <c r="D396" t="s">
        <v>21</v>
      </c>
      <c r="E396" t="s">
        <v>22</v>
      </c>
      <c r="F396">
        <v>200</v>
      </c>
      <c r="G396" s="2">
        <v>5.12</v>
      </c>
      <c r="H396" s="1">
        <v>46166.641097939813</v>
      </c>
      <c r="I396" s="1">
        <v>46166.641097997686</v>
      </c>
      <c r="J396" t="s">
        <v>15</v>
      </c>
      <c r="K396" t="s">
        <v>16</v>
      </c>
      <c r="L396" s="1">
        <v>46166.641098020831</v>
      </c>
    </row>
    <row r="397" spans="1:12" x14ac:dyDescent="0.25">
      <c r="A397" t="s">
        <v>1710</v>
      </c>
      <c r="B397" t="str">
        <f>resultado_db_usuario_10[[#This Row],[metodo]]&amp;" "&amp;SUBSTITUTE(resultado_db_usuario_10[[#This Row],[rota]],"/api/v1","")</f>
        <v>GET /funcionarios/</v>
      </c>
      <c r="C397" t="s">
        <v>12</v>
      </c>
      <c r="D397" t="s">
        <v>21</v>
      </c>
      <c r="E397" t="s">
        <v>22</v>
      </c>
      <c r="F397">
        <v>200</v>
      </c>
      <c r="G397" s="2">
        <v>4.74</v>
      </c>
      <c r="H397" s="1">
        <v>46166.641098368054</v>
      </c>
      <c r="I397" s="1">
        <v>46166.641098425927</v>
      </c>
      <c r="J397" t="s">
        <v>15</v>
      </c>
      <c r="K397" t="s">
        <v>16</v>
      </c>
      <c r="L397" s="1">
        <v>46166.641098437503</v>
      </c>
    </row>
    <row r="398" spans="1:12" x14ac:dyDescent="0.25">
      <c r="A398" t="s">
        <v>1729</v>
      </c>
      <c r="B398" t="str">
        <f>resultado_db_usuario_10[[#This Row],[metodo]]&amp;" "&amp;SUBSTITUTE(resultado_db_usuario_10[[#This Row],[rota]],"/api/v1","")</f>
        <v>GET /funcionarios/</v>
      </c>
      <c r="C398" t="s">
        <v>12</v>
      </c>
      <c r="D398" t="s">
        <v>21</v>
      </c>
      <c r="E398" t="s">
        <v>22</v>
      </c>
      <c r="F398">
        <v>200</v>
      </c>
      <c r="G398" s="2">
        <v>2.4</v>
      </c>
      <c r="H398" s="1">
        <v>46166.641098900465</v>
      </c>
      <c r="I398" s="1">
        <v>46166.64109892361</v>
      </c>
      <c r="J398" t="s">
        <v>15</v>
      </c>
      <c r="K398" t="s">
        <v>16</v>
      </c>
      <c r="L398" s="1">
        <v>46166.641098946762</v>
      </c>
    </row>
    <row r="399" spans="1:12" x14ac:dyDescent="0.25">
      <c r="A399" t="s">
        <v>1742</v>
      </c>
      <c r="B399" t="str">
        <f>resultado_db_usuario_10[[#This Row],[metodo]]&amp;" "&amp;SUBSTITUTE(resultado_db_usuario_10[[#This Row],[rota]],"/api/v1","")</f>
        <v>GET /funcionarios/</v>
      </c>
      <c r="C399" t="s">
        <v>12</v>
      </c>
      <c r="D399" t="s">
        <v>21</v>
      </c>
      <c r="E399" t="s">
        <v>22</v>
      </c>
      <c r="F399">
        <v>200</v>
      </c>
      <c r="G399" s="2">
        <v>2.65</v>
      </c>
      <c r="H399" s="1">
        <v>46166.641099282409</v>
      </c>
      <c r="I399" s="1">
        <v>46166.64109931713</v>
      </c>
      <c r="J399" t="s">
        <v>15</v>
      </c>
      <c r="K399" t="s">
        <v>16</v>
      </c>
      <c r="L399" s="1">
        <v>46166.641099328706</v>
      </c>
    </row>
    <row r="400" spans="1:12" x14ac:dyDescent="0.25">
      <c r="A400" t="s">
        <v>1754</v>
      </c>
      <c r="B400" t="str">
        <f>resultado_db_usuario_10[[#This Row],[metodo]]&amp;" "&amp;SUBSTITUTE(resultado_db_usuario_10[[#This Row],[rota]],"/api/v1","")</f>
        <v>GET /funcionarios/</v>
      </c>
      <c r="C400" t="s">
        <v>12</v>
      </c>
      <c r="D400" t="s">
        <v>21</v>
      </c>
      <c r="E400" t="s">
        <v>22</v>
      </c>
      <c r="F400">
        <v>200</v>
      </c>
      <c r="G400" s="2">
        <v>2.37</v>
      </c>
      <c r="H400" s="1">
        <v>46166.641099629633</v>
      </c>
      <c r="I400" s="1">
        <v>46166.641099652777</v>
      </c>
      <c r="J400" t="s">
        <v>15</v>
      </c>
      <c r="K400" t="s">
        <v>16</v>
      </c>
      <c r="L400" s="1">
        <v>46166.641099675922</v>
      </c>
    </row>
    <row r="401" spans="1:12" x14ac:dyDescent="0.25">
      <c r="A401" t="s">
        <v>1765</v>
      </c>
      <c r="B401" t="str">
        <f>resultado_db_usuario_10[[#This Row],[metodo]]&amp;" "&amp;SUBSTITUTE(resultado_db_usuario_10[[#This Row],[rota]],"/api/v1","")</f>
        <v>GET /funcionarios/</v>
      </c>
      <c r="C401" t="s">
        <v>12</v>
      </c>
      <c r="D401" t="s">
        <v>21</v>
      </c>
      <c r="E401" t="s">
        <v>22</v>
      </c>
      <c r="F401">
        <v>200</v>
      </c>
      <c r="G401" s="2">
        <v>2.71</v>
      </c>
      <c r="H401" s="1">
        <v>46166.641099953704</v>
      </c>
      <c r="I401" s="1">
        <v>46166.641099988425</v>
      </c>
      <c r="J401" t="s">
        <v>15</v>
      </c>
      <c r="K401" t="s">
        <v>16</v>
      </c>
      <c r="L401" s="1">
        <v>46166.641100000001</v>
      </c>
    </row>
    <row r="402" spans="1:12" x14ac:dyDescent="0.25">
      <c r="A402" t="s">
        <v>661</v>
      </c>
      <c r="B402" t="str">
        <f>resultado_db_usuario_10[[#This Row],[metodo]]&amp;" "&amp;SUBSTITUTE(resultado_db_usuario_10[[#This Row],[rota]],"/api/v1","")</f>
        <v>GET /pecas/</v>
      </c>
      <c r="C402" t="s">
        <v>12</v>
      </c>
      <c r="D402" t="s">
        <v>24</v>
      </c>
      <c r="E402" t="s">
        <v>25</v>
      </c>
      <c r="F402">
        <v>200</v>
      </c>
      <c r="G402" s="2">
        <v>2.93</v>
      </c>
      <c r="H402" s="1">
        <v>46166.641065960648</v>
      </c>
      <c r="I402" s="1">
        <v>46166.641065995369</v>
      </c>
      <c r="J402" t="s">
        <v>15</v>
      </c>
      <c r="K402" t="s">
        <v>16</v>
      </c>
      <c r="L402" s="1">
        <v>46166.641066018521</v>
      </c>
    </row>
    <row r="403" spans="1:12" x14ac:dyDescent="0.25">
      <c r="A403" t="s">
        <v>676</v>
      </c>
      <c r="B403" t="str">
        <f>resultado_db_usuario_10[[#This Row],[metodo]]&amp;" "&amp;SUBSTITUTE(resultado_db_usuario_10[[#This Row],[rota]],"/api/v1","")</f>
        <v>GET /pecas/</v>
      </c>
      <c r="C403" t="s">
        <v>12</v>
      </c>
      <c r="D403" t="s">
        <v>24</v>
      </c>
      <c r="E403" t="s">
        <v>25</v>
      </c>
      <c r="F403">
        <v>200</v>
      </c>
      <c r="G403" s="2">
        <v>5.01</v>
      </c>
      <c r="H403" s="1">
        <v>46166.641066921293</v>
      </c>
      <c r="I403" s="1">
        <v>46166.641066979166</v>
      </c>
      <c r="J403" t="s">
        <v>15</v>
      </c>
      <c r="K403" t="s">
        <v>16</v>
      </c>
      <c r="L403" s="1">
        <v>46166.641066990742</v>
      </c>
    </row>
    <row r="404" spans="1:12" x14ac:dyDescent="0.25">
      <c r="A404" t="s">
        <v>679</v>
      </c>
      <c r="B404" t="str">
        <f>resultado_db_usuario_10[[#This Row],[metodo]]&amp;" "&amp;SUBSTITUTE(resultado_db_usuario_10[[#This Row],[rota]],"/api/v1","")</f>
        <v>GET /pecas/</v>
      </c>
      <c r="C404" t="s">
        <v>12</v>
      </c>
      <c r="D404" t="s">
        <v>24</v>
      </c>
      <c r="E404" t="s">
        <v>25</v>
      </c>
      <c r="F404">
        <v>200</v>
      </c>
      <c r="G404" s="2">
        <v>3.75</v>
      </c>
      <c r="H404" s="1">
        <v>46166.641067060184</v>
      </c>
      <c r="I404" s="1">
        <v>46166.64106710648</v>
      </c>
      <c r="J404" t="s">
        <v>15</v>
      </c>
      <c r="K404" t="s">
        <v>16</v>
      </c>
      <c r="L404" s="1">
        <v>46166.641067118057</v>
      </c>
    </row>
    <row r="405" spans="1:12" x14ac:dyDescent="0.25">
      <c r="A405" t="s">
        <v>699</v>
      </c>
      <c r="B405" t="str">
        <f>resultado_db_usuario_10[[#This Row],[metodo]]&amp;" "&amp;SUBSTITUTE(resultado_db_usuario_10[[#This Row],[rota]],"/api/v1","")</f>
        <v>GET /pecas/</v>
      </c>
      <c r="C405" t="s">
        <v>12</v>
      </c>
      <c r="D405" t="s">
        <v>24</v>
      </c>
      <c r="E405" t="s">
        <v>25</v>
      </c>
      <c r="F405">
        <v>200</v>
      </c>
      <c r="G405" s="2">
        <v>3.39</v>
      </c>
      <c r="H405" s="1">
        <v>46166.641067824072</v>
      </c>
      <c r="I405" s="1">
        <v>46166.641067870369</v>
      </c>
      <c r="J405" t="s">
        <v>15</v>
      </c>
      <c r="K405" t="s">
        <v>16</v>
      </c>
      <c r="L405" s="1">
        <v>46166.641067893521</v>
      </c>
    </row>
    <row r="406" spans="1:12" x14ac:dyDescent="0.25">
      <c r="A406" t="s">
        <v>700</v>
      </c>
      <c r="B406" t="str">
        <f>resultado_db_usuario_10[[#This Row],[metodo]]&amp;" "&amp;SUBSTITUTE(resultado_db_usuario_10[[#This Row],[rota]],"/api/v1","")</f>
        <v>GET /pecas/</v>
      </c>
      <c r="C406" t="s">
        <v>12</v>
      </c>
      <c r="D406" t="s">
        <v>24</v>
      </c>
      <c r="E406" t="s">
        <v>25</v>
      </c>
      <c r="F406">
        <v>200</v>
      </c>
      <c r="G406" s="2">
        <v>3.69</v>
      </c>
      <c r="H406" s="1">
        <v>46166.641067881945</v>
      </c>
      <c r="I406" s="1">
        <v>46166.641067928242</v>
      </c>
      <c r="J406" t="s">
        <v>15</v>
      </c>
      <c r="K406" t="s">
        <v>16</v>
      </c>
      <c r="L406" s="1">
        <v>46166.641067939818</v>
      </c>
    </row>
    <row r="407" spans="1:12" x14ac:dyDescent="0.25">
      <c r="A407" t="s">
        <v>710</v>
      </c>
      <c r="B407" t="str">
        <f>resultado_db_usuario_10[[#This Row],[metodo]]&amp;" "&amp;SUBSTITUTE(resultado_db_usuario_10[[#This Row],[rota]],"/api/v1","")</f>
        <v>GET /pecas/</v>
      </c>
      <c r="C407" t="s">
        <v>12</v>
      </c>
      <c r="D407" t="s">
        <v>24</v>
      </c>
      <c r="E407" t="s">
        <v>25</v>
      </c>
      <c r="F407">
        <v>200</v>
      </c>
      <c r="G407" s="2">
        <v>2.72</v>
      </c>
      <c r="H407" s="1">
        <v>46166.64106829861</v>
      </c>
      <c r="I407" s="1">
        <v>46166.641068333331</v>
      </c>
      <c r="J407" t="s">
        <v>15</v>
      </c>
      <c r="K407" t="s">
        <v>16</v>
      </c>
      <c r="L407" s="1">
        <v>46166.641068344907</v>
      </c>
    </row>
    <row r="408" spans="1:12" x14ac:dyDescent="0.25">
      <c r="A408" t="s">
        <v>731</v>
      </c>
      <c r="B408" t="str">
        <f>resultado_db_usuario_10[[#This Row],[metodo]]&amp;" "&amp;SUBSTITUTE(resultado_db_usuario_10[[#This Row],[rota]],"/api/v1","")</f>
        <v>GET /pecas/</v>
      </c>
      <c r="C408" t="s">
        <v>12</v>
      </c>
      <c r="D408" t="s">
        <v>24</v>
      </c>
      <c r="E408" t="s">
        <v>25</v>
      </c>
      <c r="F408">
        <v>200</v>
      </c>
      <c r="G408" s="2">
        <v>5.2</v>
      </c>
      <c r="H408" s="1">
        <v>46166.641068923615</v>
      </c>
      <c r="I408" s="1">
        <v>46166.64106898148</v>
      </c>
      <c r="J408" t="s">
        <v>15</v>
      </c>
      <c r="K408" t="s">
        <v>16</v>
      </c>
      <c r="L408" s="1">
        <v>46166.641068993056</v>
      </c>
    </row>
    <row r="409" spans="1:12" x14ac:dyDescent="0.25">
      <c r="A409" t="s">
        <v>736</v>
      </c>
      <c r="B409" t="str">
        <f>resultado_db_usuario_10[[#This Row],[metodo]]&amp;" "&amp;SUBSTITUTE(resultado_db_usuario_10[[#This Row],[rota]],"/api/v1","")</f>
        <v>GET /pecas/</v>
      </c>
      <c r="C409" t="s">
        <v>12</v>
      </c>
      <c r="D409" t="s">
        <v>24</v>
      </c>
      <c r="E409" t="s">
        <v>25</v>
      </c>
      <c r="F409">
        <v>200</v>
      </c>
      <c r="G409" s="2">
        <v>4.17</v>
      </c>
      <c r="H409" s="1">
        <v>46166.641069074074</v>
      </c>
      <c r="I409" s="1">
        <v>46166.641069120371</v>
      </c>
      <c r="J409" t="s">
        <v>15</v>
      </c>
      <c r="K409" t="s">
        <v>16</v>
      </c>
      <c r="L409" s="1">
        <v>46166.641069131947</v>
      </c>
    </row>
    <row r="410" spans="1:12" x14ac:dyDescent="0.25">
      <c r="A410" t="s">
        <v>747</v>
      </c>
      <c r="B410" t="str">
        <f>resultado_db_usuario_10[[#This Row],[metodo]]&amp;" "&amp;SUBSTITUTE(resultado_db_usuario_10[[#This Row],[rota]],"/api/v1","")</f>
        <v>GET /pecas/</v>
      </c>
      <c r="C410" t="s">
        <v>12</v>
      </c>
      <c r="D410" t="s">
        <v>24</v>
      </c>
      <c r="E410" t="s">
        <v>25</v>
      </c>
      <c r="F410">
        <v>200</v>
      </c>
      <c r="G410" s="2">
        <v>2.82</v>
      </c>
      <c r="H410" s="1">
        <v>46166.641069513891</v>
      </c>
      <c r="I410" s="1">
        <v>46166.641069548612</v>
      </c>
      <c r="J410" t="s">
        <v>15</v>
      </c>
      <c r="K410" t="s">
        <v>16</v>
      </c>
      <c r="L410" s="1">
        <v>46166.641069571757</v>
      </c>
    </row>
    <row r="411" spans="1:12" x14ac:dyDescent="0.25">
      <c r="A411" t="s">
        <v>751</v>
      </c>
      <c r="B411" t="str">
        <f>resultado_db_usuario_10[[#This Row],[metodo]]&amp;" "&amp;SUBSTITUTE(resultado_db_usuario_10[[#This Row],[rota]],"/api/v1","")</f>
        <v>GET /pecas/</v>
      </c>
      <c r="C411" t="s">
        <v>12</v>
      </c>
      <c r="D411" t="s">
        <v>24</v>
      </c>
      <c r="E411" t="s">
        <v>25</v>
      </c>
      <c r="F411">
        <v>200</v>
      </c>
      <c r="G411" s="2">
        <v>6.16</v>
      </c>
      <c r="H411" s="1">
        <v>46166.641069583333</v>
      </c>
      <c r="I411" s="1">
        <v>46166.641069652775</v>
      </c>
      <c r="J411" t="s">
        <v>15</v>
      </c>
      <c r="K411" t="s">
        <v>16</v>
      </c>
      <c r="L411" s="1">
        <v>46166.641069664351</v>
      </c>
    </row>
    <row r="412" spans="1:12" x14ac:dyDescent="0.25">
      <c r="A412" t="s">
        <v>773</v>
      </c>
      <c r="B412" t="str">
        <f>resultado_db_usuario_10[[#This Row],[metodo]]&amp;" "&amp;SUBSTITUTE(resultado_db_usuario_10[[#This Row],[rota]],"/api/v1","")</f>
        <v>GET /pecas/</v>
      </c>
      <c r="C412" t="s">
        <v>12</v>
      </c>
      <c r="D412" t="s">
        <v>24</v>
      </c>
      <c r="E412" t="s">
        <v>25</v>
      </c>
      <c r="F412">
        <v>200</v>
      </c>
      <c r="G412" s="2">
        <v>9.33</v>
      </c>
      <c r="H412" s="1">
        <v>46166.641070393518</v>
      </c>
      <c r="I412" s="1">
        <v>46166.641070497688</v>
      </c>
      <c r="J412" t="s">
        <v>15</v>
      </c>
      <c r="K412" t="s">
        <v>16</v>
      </c>
      <c r="L412" s="1">
        <v>46166.641070520833</v>
      </c>
    </row>
    <row r="413" spans="1:12" x14ac:dyDescent="0.25">
      <c r="A413" t="s">
        <v>779</v>
      </c>
      <c r="B413" t="str">
        <f>resultado_db_usuario_10[[#This Row],[metodo]]&amp;" "&amp;SUBSTITUTE(resultado_db_usuario_10[[#This Row],[rota]],"/api/v1","")</f>
        <v>GET /pecas/</v>
      </c>
      <c r="C413" t="s">
        <v>12</v>
      </c>
      <c r="D413" t="s">
        <v>24</v>
      </c>
      <c r="E413" t="s">
        <v>25</v>
      </c>
      <c r="F413">
        <v>200</v>
      </c>
      <c r="G413" s="2">
        <v>8.06</v>
      </c>
      <c r="H413" s="1">
        <v>46166.641070613427</v>
      </c>
      <c r="I413" s="1">
        <v>46166.64107070602</v>
      </c>
      <c r="J413" t="s">
        <v>15</v>
      </c>
      <c r="K413" t="s">
        <v>16</v>
      </c>
      <c r="L413" s="1">
        <v>46166.641070717589</v>
      </c>
    </row>
    <row r="414" spans="1:12" x14ac:dyDescent="0.25">
      <c r="A414" t="s">
        <v>787</v>
      </c>
      <c r="B414" t="str">
        <f>resultado_db_usuario_10[[#This Row],[metodo]]&amp;" "&amp;SUBSTITUTE(resultado_db_usuario_10[[#This Row],[rota]],"/api/v1","")</f>
        <v>GET /pecas/</v>
      </c>
      <c r="C414" t="s">
        <v>12</v>
      </c>
      <c r="D414" t="s">
        <v>24</v>
      </c>
      <c r="E414" t="s">
        <v>25</v>
      </c>
      <c r="F414">
        <v>200</v>
      </c>
      <c r="G414" s="2">
        <v>5.65</v>
      </c>
      <c r="H414" s="1">
        <v>46166.641070949074</v>
      </c>
      <c r="I414" s="1">
        <v>46166.641071018516</v>
      </c>
      <c r="J414" t="s">
        <v>15</v>
      </c>
      <c r="K414" t="s">
        <v>16</v>
      </c>
      <c r="L414" s="1">
        <v>46166.641071041668</v>
      </c>
    </row>
    <row r="415" spans="1:12" x14ac:dyDescent="0.25">
      <c r="A415" t="s">
        <v>794</v>
      </c>
      <c r="B415" t="str">
        <f>resultado_db_usuario_10[[#This Row],[metodo]]&amp;" "&amp;SUBSTITUTE(resultado_db_usuario_10[[#This Row],[rota]],"/api/v1","")</f>
        <v>GET /pecas/</v>
      </c>
      <c r="C415" t="s">
        <v>12</v>
      </c>
      <c r="D415" t="s">
        <v>24</v>
      </c>
      <c r="E415" t="s">
        <v>25</v>
      </c>
      <c r="F415">
        <v>200</v>
      </c>
      <c r="G415" s="2">
        <v>5.4</v>
      </c>
      <c r="H415" s="1">
        <v>46166.641071134261</v>
      </c>
      <c r="I415" s="1">
        <v>46166.641071192127</v>
      </c>
      <c r="J415" t="s">
        <v>15</v>
      </c>
      <c r="K415" t="s">
        <v>16</v>
      </c>
      <c r="L415" s="1">
        <v>46166.641071215279</v>
      </c>
    </row>
    <row r="416" spans="1:12" x14ac:dyDescent="0.25">
      <c r="A416" t="s">
        <v>796</v>
      </c>
      <c r="B416" t="str">
        <f>resultado_db_usuario_10[[#This Row],[metodo]]&amp;" "&amp;SUBSTITUTE(resultado_db_usuario_10[[#This Row],[rota]],"/api/v1","")</f>
        <v>GET /pecas/</v>
      </c>
      <c r="C416" t="s">
        <v>12</v>
      </c>
      <c r="D416" t="s">
        <v>24</v>
      </c>
      <c r="E416" t="s">
        <v>25</v>
      </c>
      <c r="F416">
        <v>200</v>
      </c>
      <c r="G416" s="2">
        <v>4.63</v>
      </c>
      <c r="H416" s="1">
        <v>46166.641071215279</v>
      </c>
      <c r="I416" s="1">
        <v>46166.641071273145</v>
      </c>
      <c r="J416" t="s">
        <v>15</v>
      </c>
      <c r="K416" t="s">
        <v>16</v>
      </c>
      <c r="L416" s="1">
        <v>46166.641071284721</v>
      </c>
    </row>
    <row r="417" spans="1:12" x14ac:dyDescent="0.25">
      <c r="A417" t="s">
        <v>823</v>
      </c>
      <c r="B417" t="str">
        <f>resultado_db_usuario_10[[#This Row],[metodo]]&amp;" "&amp;SUBSTITUTE(resultado_db_usuario_10[[#This Row],[rota]],"/api/v1","")</f>
        <v>GET /pecas/</v>
      </c>
      <c r="C417" t="s">
        <v>12</v>
      </c>
      <c r="D417" t="s">
        <v>24</v>
      </c>
      <c r="E417" t="s">
        <v>25</v>
      </c>
      <c r="F417">
        <v>200</v>
      </c>
      <c r="G417" s="2">
        <v>15.3</v>
      </c>
      <c r="H417" s="1">
        <v>46166.64107208333</v>
      </c>
      <c r="I417" s="1">
        <v>46166.641072256942</v>
      </c>
      <c r="J417" t="s">
        <v>15</v>
      </c>
      <c r="K417" t="s">
        <v>16</v>
      </c>
      <c r="L417" s="1">
        <v>46166.641072268518</v>
      </c>
    </row>
    <row r="418" spans="1:12" x14ac:dyDescent="0.25">
      <c r="A418" t="s">
        <v>832</v>
      </c>
      <c r="B418" t="str">
        <f>resultado_db_usuario_10[[#This Row],[metodo]]&amp;" "&amp;SUBSTITUTE(resultado_db_usuario_10[[#This Row],[rota]],"/api/v1","")</f>
        <v>GET /pecas/</v>
      </c>
      <c r="C418" t="s">
        <v>12</v>
      </c>
      <c r="D418" t="s">
        <v>24</v>
      </c>
      <c r="E418" t="s">
        <v>25</v>
      </c>
      <c r="F418">
        <v>200</v>
      </c>
      <c r="G418" s="2">
        <v>8.74</v>
      </c>
      <c r="H418" s="1">
        <v>46166.641072453705</v>
      </c>
      <c r="I418" s="1">
        <v>46166.641072557868</v>
      </c>
      <c r="J418" t="s">
        <v>15</v>
      </c>
      <c r="K418" t="s">
        <v>16</v>
      </c>
      <c r="L418" s="1">
        <v>46166.641072569444</v>
      </c>
    </row>
    <row r="419" spans="1:12" x14ac:dyDescent="0.25">
      <c r="A419" t="s">
        <v>838</v>
      </c>
      <c r="B419" t="str">
        <f>resultado_db_usuario_10[[#This Row],[metodo]]&amp;" "&amp;SUBSTITUTE(resultado_db_usuario_10[[#This Row],[rota]],"/api/v1","")</f>
        <v>GET /pecas/</v>
      </c>
      <c r="C419" t="s">
        <v>12</v>
      </c>
      <c r="D419" t="s">
        <v>24</v>
      </c>
      <c r="E419" t="s">
        <v>25</v>
      </c>
      <c r="F419">
        <v>200</v>
      </c>
      <c r="G419" s="2">
        <v>12.18</v>
      </c>
      <c r="H419" s="1">
        <v>46166.641072696759</v>
      </c>
      <c r="I419" s="1">
        <v>46166.64107283565</v>
      </c>
      <c r="J419" t="s">
        <v>15</v>
      </c>
      <c r="K419" t="s">
        <v>16</v>
      </c>
      <c r="L419" s="1">
        <v>46166.641072847226</v>
      </c>
    </row>
    <row r="420" spans="1:12" x14ac:dyDescent="0.25">
      <c r="A420" t="s">
        <v>850</v>
      </c>
      <c r="B420" t="str">
        <f>resultado_db_usuario_10[[#This Row],[metodo]]&amp;" "&amp;SUBSTITUTE(resultado_db_usuario_10[[#This Row],[rota]],"/api/v1","")</f>
        <v>GET /pecas/</v>
      </c>
      <c r="C420" t="s">
        <v>12</v>
      </c>
      <c r="D420" t="s">
        <v>24</v>
      </c>
      <c r="E420" t="s">
        <v>25</v>
      </c>
      <c r="F420">
        <v>200</v>
      </c>
      <c r="G420" s="2">
        <v>5.57</v>
      </c>
      <c r="H420" s="1">
        <v>46166.641073298611</v>
      </c>
      <c r="I420" s="1">
        <v>46166.641073368053</v>
      </c>
      <c r="J420" t="s">
        <v>15</v>
      </c>
      <c r="K420" t="s">
        <v>16</v>
      </c>
      <c r="L420" s="1">
        <v>46166.641073379629</v>
      </c>
    </row>
    <row r="421" spans="1:12" x14ac:dyDescent="0.25">
      <c r="A421" t="s">
        <v>854</v>
      </c>
      <c r="B421" t="str">
        <f>resultado_db_usuario_10[[#This Row],[metodo]]&amp;" "&amp;SUBSTITUTE(resultado_db_usuario_10[[#This Row],[rota]],"/api/v1","")</f>
        <v>GET /pecas/</v>
      </c>
      <c r="C421" t="s">
        <v>12</v>
      </c>
      <c r="D421" t="s">
        <v>24</v>
      </c>
      <c r="E421" t="s">
        <v>25</v>
      </c>
      <c r="F421">
        <v>200</v>
      </c>
      <c r="G421" s="2">
        <v>6.24</v>
      </c>
      <c r="H421" s="1">
        <v>46166.641073368053</v>
      </c>
      <c r="I421" s="1">
        <v>46166.641073449071</v>
      </c>
      <c r="J421" t="s">
        <v>15</v>
      </c>
      <c r="K421" t="s">
        <v>16</v>
      </c>
      <c r="L421" s="1">
        <v>46166.641073460647</v>
      </c>
    </row>
    <row r="422" spans="1:12" x14ac:dyDescent="0.25">
      <c r="A422" t="s">
        <v>858</v>
      </c>
      <c r="B422" t="str">
        <f>resultado_db_usuario_10[[#This Row],[metodo]]&amp;" "&amp;SUBSTITUTE(resultado_db_usuario_10[[#This Row],[rota]],"/api/v1","")</f>
        <v>GET /pecas/</v>
      </c>
      <c r="C422" t="s">
        <v>12</v>
      </c>
      <c r="D422" t="s">
        <v>24</v>
      </c>
      <c r="E422" t="s">
        <v>25</v>
      </c>
      <c r="F422">
        <v>200</v>
      </c>
      <c r="G422" s="2">
        <v>6.55</v>
      </c>
      <c r="H422" s="1">
        <v>46166.641073472223</v>
      </c>
      <c r="I422" s="1">
        <v>46166.641073541665</v>
      </c>
      <c r="J422" t="s">
        <v>15</v>
      </c>
      <c r="K422" t="s">
        <v>16</v>
      </c>
      <c r="L422" s="1">
        <v>46166.641073553241</v>
      </c>
    </row>
    <row r="423" spans="1:12" x14ac:dyDescent="0.25">
      <c r="A423" t="s">
        <v>859</v>
      </c>
      <c r="B423" t="str">
        <f>resultado_db_usuario_10[[#This Row],[metodo]]&amp;" "&amp;SUBSTITUTE(resultado_db_usuario_10[[#This Row],[rota]],"/api/v1","")</f>
        <v>GET /pecas/</v>
      </c>
      <c r="C423" t="s">
        <v>12</v>
      </c>
      <c r="D423" t="s">
        <v>24</v>
      </c>
      <c r="E423" t="s">
        <v>25</v>
      </c>
      <c r="F423">
        <v>200</v>
      </c>
      <c r="G423" s="2">
        <v>7.44</v>
      </c>
      <c r="H423" s="1">
        <v>46166.641073472223</v>
      </c>
      <c r="I423" s="1">
        <v>46166.641073564817</v>
      </c>
      <c r="J423" t="s">
        <v>15</v>
      </c>
      <c r="K423" t="s">
        <v>16</v>
      </c>
      <c r="L423" s="1">
        <v>46166.641073576386</v>
      </c>
    </row>
    <row r="424" spans="1:12" x14ac:dyDescent="0.25">
      <c r="A424" t="s">
        <v>891</v>
      </c>
      <c r="B424" t="str">
        <f>resultado_db_usuario_10[[#This Row],[metodo]]&amp;" "&amp;SUBSTITUTE(resultado_db_usuario_10[[#This Row],[rota]],"/api/v1","")</f>
        <v>GET /pecas/</v>
      </c>
      <c r="C424" t="s">
        <v>12</v>
      </c>
      <c r="D424" t="s">
        <v>24</v>
      </c>
      <c r="E424" t="s">
        <v>25</v>
      </c>
      <c r="F424">
        <v>200</v>
      </c>
      <c r="G424" s="2">
        <v>9.1</v>
      </c>
      <c r="H424" s="1">
        <v>46166.641074467596</v>
      </c>
      <c r="I424" s="1">
        <v>46166.641074571759</v>
      </c>
      <c r="J424" t="s">
        <v>15</v>
      </c>
      <c r="K424" t="s">
        <v>16</v>
      </c>
      <c r="L424" s="1">
        <v>46166.641074583335</v>
      </c>
    </row>
    <row r="425" spans="1:12" x14ac:dyDescent="0.25">
      <c r="A425" t="s">
        <v>906</v>
      </c>
      <c r="B425" t="str">
        <f>resultado_db_usuario_10[[#This Row],[metodo]]&amp;" "&amp;SUBSTITUTE(resultado_db_usuario_10[[#This Row],[rota]],"/api/v1","")</f>
        <v>GET /pecas/</v>
      </c>
      <c r="C425" t="s">
        <v>12</v>
      </c>
      <c r="D425" t="s">
        <v>24</v>
      </c>
      <c r="E425" t="s">
        <v>25</v>
      </c>
      <c r="F425">
        <v>200</v>
      </c>
      <c r="G425" s="2">
        <v>16.62</v>
      </c>
      <c r="H425" s="1">
        <v>46166.641074803243</v>
      </c>
      <c r="I425" s="1">
        <v>46166.641074988423</v>
      </c>
      <c r="J425" t="s">
        <v>15</v>
      </c>
      <c r="K425" t="s">
        <v>16</v>
      </c>
      <c r="L425" s="1">
        <v>46166.641075011576</v>
      </c>
    </row>
    <row r="426" spans="1:12" x14ac:dyDescent="0.25">
      <c r="A426" t="s">
        <v>920</v>
      </c>
      <c r="B426" t="str">
        <f>resultado_db_usuario_10[[#This Row],[metodo]]&amp;" "&amp;SUBSTITUTE(resultado_db_usuario_10[[#This Row],[rota]],"/api/v1","")</f>
        <v>GET /pecas/</v>
      </c>
      <c r="C426" t="s">
        <v>12</v>
      </c>
      <c r="D426" t="s">
        <v>24</v>
      </c>
      <c r="E426" t="s">
        <v>25</v>
      </c>
      <c r="F426">
        <v>200</v>
      </c>
      <c r="G426" s="2">
        <v>20.04</v>
      </c>
      <c r="H426" s="1">
        <v>46166.641075381944</v>
      </c>
      <c r="I426" s="1">
        <v>46166.641075613428</v>
      </c>
      <c r="J426" t="s">
        <v>15</v>
      </c>
      <c r="K426" t="s">
        <v>16</v>
      </c>
      <c r="L426" s="1">
        <v>46166.641075624997</v>
      </c>
    </row>
    <row r="427" spans="1:12" x14ac:dyDescent="0.25">
      <c r="A427" t="s">
        <v>927</v>
      </c>
      <c r="B427" t="str">
        <f>resultado_db_usuario_10[[#This Row],[metodo]]&amp;" "&amp;SUBSTITUTE(resultado_db_usuario_10[[#This Row],[rota]],"/api/v1","")</f>
        <v>GET /pecas/</v>
      </c>
      <c r="C427" t="s">
        <v>12</v>
      </c>
      <c r="D427" t="s">
        <v>24</v>
      </c>
      <c r="E427" t="s">
        <v>25</v>
      </c>
      <c r="F427">
        <v>200</v>
      </c>
      <c r="G427" s="2">
        <v>13.89</v>
      </c>
      <c r="H427" s="1">
        <v>46166.641075717591</v>
      </c>
      <c r="I427" s="1">
        <v>46166.641075879626</v>
      </c>
      <c r="J427" t="s">
        <v>15</v>
      </c>
      <c r="K427" t="s">
        <v>16</v>
      </c>
      <c r="L427" s="1">
        <v>46166.641075902779</v>
      </c>
    </row>
    <row r="428" spans="1:12" x14ac:dyDescent="0.25">
      <c r="A428" t="s">
        <v>938</v>
      </c>
      <c r="B428" t="str">
        <f>resultado_db_usuario_10[[#This Row],[metodo]]&amp;" "&amp;SUBSTITUTE(resultado_db_usuario_10[[#This Row],[rota]],"/api/v1","")</f>
        <v>GET /pecas/</v>
      </c>
      <c r="C428" t="s">
        <v>12</v>
      </c>
      <c r="D428" t="s">
        <v>24</v>
      </c>
      <c r="E428" t="s">
        <v>25</v>
      </c>
      <c r="F428">
        <v>200</v>
      </c>
      <c r="G428" s="2">
        <v>14.15</v>
      </c>
      <c r="H428" s="1">
        <v>46166.641076053238</v>
      </c>
      <c r="I428" s="1">
        <v>46166.641076215281</v>
      </c>
      <c r="J428" t="s">
        <v>15</v>
      </c>
      <c r="K428" t="s">
        <v>16</v>
      </c>
      <c r="L428" s="1">
        <v>46166.641076238426</v>
      </c>
    </row>
    <row r="429" spans="1:12" x14ac:dyDescent="0.25">
      <c r="A429" t="s">
        <v>940</v>
      </c>
      <c r="B429" t="str">
        <f>resultado_db_usuario_10[[#This Row],[metodo]]&amp;" "&amp;SUBSTITUTE(resultado_db_usuario_10[[#This Row],[rota]],"/api/v1","")</f>
        <v>GET /pecas/</v>
      </c>
      <c r="C429" t="s">
        <v>12</v>
      </c>
      <c r="D429" t="s">
        <v>24</v>
      </c>
      <c r="E429" t="s">
        <v>25</v>
      </c>
      <c r="F429">
        <v>200</v>
      </c>
      <c r="G429" s="2">
        <v>13.23</v>
      </c>
      <c r="H429" s="1">
        <v>46166.641076157408</v>
      </c>
      <c r="I429" s="1">
        <v>46166.641076319444</v>
      </c>
      <c r="J429" t="s">
        <v>15</v>
      </c>
      <c r="K429" t="s">
        <v>16</v>
      </c>
      <c r="L429" s="1">
        <v>46166.64107633102</v>
      </c>
    </row>
    <row r="430" spans="1:12" x14ac:dyDescent="0.25">
      <c r="A430" t="s">
        <v>941</v>
      </c>
      <c r="B430" t="str">
        <f>resultado_db_usuario_10[[#This Row],[metodo]]&amp;" "&amp;SUBSTITUTE(resultado_db_usuario_10[[#This Row],[rota]],"/api/v1","")</f>
        <v>GET /pecas/</v>
      </c>
      <c r="C430" t="s">
        <v>12</v>
      </c>
      <c r="D430" t="s">
        <v>24</v>
      </c>
      <c r="E430" t="s">
        <v>25</v>
      </c>
      <c r="F430">
        <v>200</v>
      </c>
      <c r="G430" s="2">
        <v>13.82</v>
      </c>
      <c r="H430" s="1">
        <v>46166.641076192129</v>
      </c>
      <c r="I430" s="1">
        <v>46166.641076354164</v>
      </c>
      <c r="J430" t="s">
        <v>15</v>
      </c>
      <c r="K430" t="s">
        <v>16</v>
      </c>
      <c r="L430" s="1">
        <v>46166.64107636574</v>
      </c>
    </row>
    <row r="431" spans="1:12" x14ac:dyDescent="0.25">
      <c r="A431" t="s">
        <v>942</v>
      </c>
      <c r="B431" t="str">
        <f>resultado_db_usuario_10[[#This Row],[metodo]]&amp;" "&amp;SUBSTITUTE(resultado_db_usuario_10[[#This Row],[rota]],"/api/v1","")</f>
        <v>GET /pecas/</v>
      </c>
      <c r="C431" t="s">
        <v>12</v>
      </c>
      <c r="D431" t="s">
        <v>24</v>
      </c>
      <c r="E431" t="s">
        <v>25</v>
      </c>
      <c r="F431">
        <v>200</v>
      </c>
      <c r="G431" s="2">
        <v>12.25</v>
      </c>
      <c r="H431" s="1">
        <v>46166.641076238426</v>
      </c>
      <c r="I431" s="1">
        <v>46166.641076377316</v>
      </c>
      <c r="J431" t="s">
        <v>15</v>
      </c>
      <c r="K431" t="s">
        <v>16</v>
      </c>
      <c r="L431" s="1">
        <v>46166.641076388885</v>
      </c>
    </row>
    <row r="432" spans="1:12" x14ac:dyDescent="0.25">
      <c r="A432" t="s">
        <v>953</v>
      </c>
      <c r="B432" t="str">
        <f>resultado_db_usuario_10[[#This Row],[metodo]]&amp;" "&amp;SUBSTITUTE(resultado_db_usuario_10[[#This Row],[rota]],"/api/v1","")</f>
        <v>GET /pecas/</v>
      </c>
      <c r="C432" t="s">
        <v>12</v>
      </c>
      <c r="D432" t="s">
        <v>24</v>
      </c>
      <c r="E432" t="s">
        <v>25</v>
      </c>
      <c r="F432">
        <v>200</v>
      </c>
      <c r="G432" s="2">
        <v>11.03</v>
      </c>
      <c r="H432" s="1">
        <v>46166.641076585649</v>
      </c>
      <c r="I432" s="1">
        <v>46166.641076712964</v>
      </c>
      <c r="J432" t="s">
        <v>15</v>
      </c>
      <c r="K432" t="s">
        <v>16</v>
      </c>
      <c r="L432" s="1">
        <v>46166.641076736109</v>
      </c>
    </row>
    <row r="433" spans="1:12" x14ac:dyDescent="0.25">
      <c r="A433" t="s">
        <v>968</v>
      </c>
      <c r="B433" t="str">
        <f>resultado_db_usuario_10[[#This Row],[metodo]]&amp;" "&amp;SUBSTITUTE(resultado_db_usuario_10[[#This Row],[rota]],"/api/v1","")</f>
        <v>GET /pecas/</v>
      </c>
      <c r="C433" t="s">
        <v>12</v>
      </c>
      <c r="D433" t="s">
        <v>24</v>
      </c>
      <c r="E433" t="s">
        <v>25</v>
      </c>
      <c r="F433">
        <v>200</v>
      </c>
      <c r="G433" s="2">
        <v>12.29</v>
      </c>
      <c r="H433" s="1">
        <v>46166.641077083332</v>
      </c>
      <c r="I433" s="1">
        <v>46166.641077233799</v>
      </c>
      <c r="J433" t="s">
        <v>15</v>
      </c>
      <c r="K433" t="s">
        <v>16</v>
      </c>
      <c r="L433" s="1">
        <v>46166.641077245367</v>
      </c>
    </row>
    <row r="434" spans="1:12" x14ac:dyDescent="0.25">
      <c r="A434" t="s">
        <v>997</v>
      </c>
      <c r="B434" t="str">
        <f>resultado_db_usuario_10[[#This Row],[metodo]]&amp;" "&amp;SUBSTITUTE(resultado_db_usuario_10[[#This Row],[rota]],"/api/v1","")</f>
        <v>GET /pecas/</v>
      </c>
      <c r="C434" t="s">
        <v>12</v>
      </c>
      <c r="D434" t="s">
        <v>24</v>
      </c>
      <c r="E434" t="s">
        <v>25</v>
      </c>
      <c r="F434">
        <v>200</v>
      </c>
      <c r="G434" s="2">
        <v>12.99</v>
      </c>
      <c r="H434" s="1">
        <v>46166.641077824075</v>
      </c>
      <c r="I434" s="1">
        <v>46166.641077974535</v>
      </c>
      <c r="J434" t="s">
        <v>15</v>
      </c>
      <c r="K434" t="s">
        <v>16</v>
      </c>
      <c r="L434" s="1">
        <v>46166.641077986111</v>
      </c>
    </row>
    <row r="435" spans="1:12" x14ac:dyDescent="0.25">
      <c r="A435" t="s">
        <v>1013</v>
      </c>
      <c r="B435" t="str">
        <f>resultado_db_usuario_10[[#This Row],[metodo]]&amp;" "&amp;SUBSTITUTE(resultado_db_usuario_10[[#This Row],[rota]],"/api/v1","")</f>
        <v>GET /pecas/</v>
      </c>
      <c r="C435" t="s">
        <v>12</v>
      </c>
      <c r="D435" t="s">
        <v>24</v>
      </c>
      <c r="E435" t="s">
        <v>25</v>
      </c>
      <c r="F435">
        <v>200</v>
      </c>
      <c r="G435" s="2">
        <v>18.260000000000002</v>
      </c>
      <c r="H435" s="1">
        <v>46166.64107824074</v>
      </c>
      <c r="I435" s="1">
        <v>46166.641078460649</v>
      </c>
      <c r="J435" t="s">
        <v>15</v>
      </c>
      <c r="K435" t="s">
        <v>16</v>
      </c>
      <c r="L435" s="1">
        <v>46166.641078472225</v>
      </c>
    </row>
    <row r="436" spans="1:12" x14ac:dyDescent="0.25">
      <c r="A436" t="s">
        <v>1026</v>
      </c>
      <c r="B436" t="str">
        <f>resultado_db_usuario_10[[#This Row],[metodo]]&amp;" "&amp;SUBSTITUTE(resultado_db_usuario_10[[#This Row],[rota]],"/api/v1","")</f>
        <v>GET /pecas/</v>
      </c>
      <c r="C436" t="s">
        <v>12</v>
      </c>
      <c r="D436" t="s">
        <v>24</v>
      </c>
      <c r="E436" t="s">
        <v>25</v>
      </c>
      <c r="F436">
        <v>200</v>
      </c>
      <c r="G436" s="2">
        <v>6.47</v>
      </c>
      <c r="H436" s="1">
        <v>46166.641079062501</v>
      </c>
      <c r="I436" s="1">
        <v>46166.641079143519</v>
      </c>
      <c r="J436" t="s">
        <v>15</v>
      </c>
      <c r="K436" t="s">
        <v>16</v>
      </c>
      <c r="L436" s="1">
        <v>46166.641079155095</v>
      </c>
    </row>
    <row r="437" spans="1:12" x14ac:dyDescent="0.25">
      <c r="A437" t="s">
        <v>1038</v>
      </c>
      <c r="B437" t="str">
        <f>resultado_db_usuario_10[[#This Row],[metodo]]&amp;" "&amp;SUBSTITUTE(resultado_db_usuario_10[[#This Row],[rota]],"/api/v1","")</f>
        <v>GET /pecas/</v>
      </c>
      <c r="C437" t="s">
        <v>12</v>
      </c>
      <c r="D437" t="s">
        <v>24</v>
      </c>
      <c r="E437" t="s">
        <v>25</v>
      </c>
      <c r="F437">
        <v>200</v>
      </c>
      <c r="G437" s="2">
        <v>9.25</v>
      </c>
      <c r="H437" s="1">
        <v>46166.641079293979</v>
      </c>
      <c r="I437" s="1">
        <v>46166.641079409725</v>
      </c>
      <c r="J437" t="s">
        <v>15</v>
      </c>
      <c r="K437" t="s">
        <v>16</v>
      </c>
      <c r="L437" s="1">
        <v>46166.641079421293</v>
      </c>
    </row>
    <row r="438" spans="1:12" x14ac:dyDescent="0.25">
      <c r="A438" t="s">
        <v>1046</v>
      </c>
      <c r="B438" t="str">
        <f>resultado_db_usuario_10[[#This Row],[metodo]]&amp;" "&amp;SUBSTITUTE(resultado_db_usuario_10[[#This Row],[rota]],"/api/v1","")</f>
        <v>GET /pecas/</v>
      </c>
      <c r="C438" t="s">
        <v>12</v>
      </c>
      <c r="D438" t="s">
        <v>24</v>
      </c>
      <c r="E438" t="s">
        <v>25</v>
      </c>
      <c r="F438">
        <v>200</v>
      </c>
      <c r="G438" s="2">
        <v>11.6</v>
      </c>
      <c r="H438" s="1">
        <v>46166.641079490742</v>
      </c>
      <c r="I438" s="1">
        <v>46166.641079618057</v>
      </c>
      <c r="J438" t="s">
        <v>15</v>
      </c>
      <c r="K438" t="s">
        <v>16</v>
      </c>
      <c r="L438" s="1">
        <v>46166.641079641202</v>
      </c>
    </row>
    <row r="439" spans="1:12" x14ac:dyDescent="0.25">
      <c r="A439" t="s">
        <v>1050</v>
      </c>
      <c r="B439" t="str">
        <f>resultado_db_usuario_10[[#This Row],[metodo]]&amp;" "&amp;SUBSTITUTE(resultado_db_usuario_10[[#This Row],[rota]],"/api/v1","")</f>
        <v>GET /pecas/</v>
      </c>
      <c r="C439" t="s">
        <v>12</v>
      </c>
      <c r="D439" t="s">
        <v>24</v>
      </c>
      <c r="E439" t="s">
        <v>25</v>
      </c>
      <c r="F439">
        <v>200</v>
      </c>
      <c r="G439" s="2">
        <v>12.8</v>
      </c>
      <c r="H439" s="1">
        <v>46166.641079548608</v>
      </c>
      <c r="I439" s="1">
        <v>46166.641079699075</v>
      </c>
      <c r="J439" t="s">
        <v>15</v>
      </c>
      <c r="K439" t="s">
        <v>16</v>
      </c>
      <c r="L439" s="1">
        <v>46166.641079710651</v>
      </c>
    </row>
    <row r="440" spans="1:12" x14ac:dyDescent="0.25">
      <c r="A440" t="s">
        <v>1051</v>
      </c>
      <c r="B440" t="str">
        <f>resultado_db_usuario_10[[#This Row],[metodo]]&amp;" "&amp;SUBSTITUTE(resultado_db_usuario_10[[#This Row],[rota]],"/api/v1","")</f>
        <v>GET /pecas/</v>
      </c>
      <c r="C440" t="s">
        <v>12</v>
      </c>
      <c r="D440" t="s">
        <v>24</v>
      </c>
      <c r="E440" t="s">
        <v>25</v>
      </c>
      <c r="F440">
        <v>200</v>
      </c>
      <c r="G440" s="2">
        <v>11.59</v>
      </c>
      <c r="H440" s="1">
        <v>46166.641079594905</v>
      </c>
      <c r="I440" s="1">
        <v>46166.64107972222</v>
      </c>
      <c r="J440" t="s">
        <v>15</v>
      </c>
      <c r="K440" t="s">
        <v>16</v>
      </c>
      <c r="L440" s="1">
        <v>46166.641079745372</v>
      </c>
    </row>
    <row r="441" spans="1:12" x14ac:dyDescent="0.25">
      <c r="A441" t="s">
        <v>1052</v>
      </c>
      <c r="B441" t="str">
        <f>resultado_db_usuario_10[[#This Row],[metodo]]&amp;" "&amp;SUBSTITUTE(resultado_db_usuario_10[[#This Row],[rota]],"/api/v1","")</f>
        <v>GET /pecas/</v>
      </c>
      <c r="C441" t="s">
        <v>12</v>
      </c>
      <c r="D441" t="s">
        <v>24</v>
      </c>
      <c r="E441" t="s">
        <v>25</v>
      </c>
      <c r="F441">
        <v>200</v>
      </c>
      <c r="G441" s="2">
        <v>12.55</v>
      </c>
      <c r="H441" s="1">
        <v>46166.641079594905</v>
      </c>
      <c r="I441" s="1">
        <v>46166.641079745372</v>
      </c>
      <c r="J441" t="s">
        <v>15</v>
      </c>
      <c r="K441" t="s">
        <v>16</v>
      </c>
      <c r="L441" s="1">
        <v>46166.641079756948</v>
      </c>
    </row>
    <row r="442" spans="1:12" x14ac:dyDescent="0.25">
      <c r="A442" t="s">
        <v>1075</v>
      </c>
      <c r="B442" t="str">
        <f>resultado_db_usuario_10[[#This Row],[metodo]]&amp;" "&amp;SUBSTITUTE(resultado_db_usuario_10[[#This Row],[rota]],"/api/v1","")</f>
        <v>GET /pecas/</v>
      </c>
      <c r="C442" t="s">
        <v>12</v>
      </c>
      <c r="D442" t="s">
        <v>24</v>
      </c>
      <c r="E442" t="s">
        <v>25</v>
      </c>
      <c r="F442">
        <v>200</v>
      </c>
      <c r="G442" s="2">
        <v>9.39</v>
      </c>
      <c r="H442" s="1">
        <v>46166.641080208334</v>
      </c>
      <c r="I442" s="1">
        <v>46166.641080324072</v>
      </c>
      <c r="J442" t="s">
        <v>15</v>
      </c>
      <c r="K442" t="s">
        <v>16</v>
      </c>
      <c r="L442" s="1">
        <v>46166.641080335648</v>
      </c>
    </row>
    <row r="443" spans="1:12" x14ac:dyDescent="0.25">
      <c r="A443" t="s">
        <v>1083</v>
      </c>
      <c r="B443" t="str">
        <f>resultado_db_usuario_10[[#This Row],[metodo]]&amp;" "&amp;SUBSTITUTE(resultado_db_usuario_10[[#This Row],[rota]],"/api/v1","")</f>
        <v>GET /pecas/</v>
      </c>
      <c r="C443" t="s">
        <v>12</v>
      </c>
      <c r="D443" t="s">
        <v>24</v>
      </c>
      <c r="E443" t="s">
        <v>25</v>
      </c>
      <c r="F443">
        <v>200</v>
      </c>
      <c r="G443" s="2">
        <v>10.84</v>
      </c>
      <c r="H443" s="1">
        <v>46166.641080462963</v>
      </c>
      <c r="I443" s="1">
        <v>46166.641080590278</v>
      </c>
      <c r="J443" t="s">
        <v>15</v>
      </c>
      <c r="K443" t="s">
        <v>16</v>
      </c>
      <c r="L443" s="1">
        <v>46166.641080613423</v>
      </c>
    </row>
    <row r="444" spans="1:12" x14ac:dyDescent="0.25">
      <c r="A444" t="s">
        <v>1119</v>
      </c>
      <c r="B444" t="str">
        <f>resultado_db_usuario_10[[#This Row],[metodo]]&amp;" "&amp;SUBSTITUTE(resultado_db_usuario_10[[#This Row],[rota]],"/api/v1","")</f>
        <v>GET /pecas/</v>
      </c>
      <c r="C444" t="s">
        <v>12</v>
      </c>
      <c r="D444" t="s">
        <v>24</v>
      </c>
      <c r="E444" t="s">
        <v>25</v>
      </c>
      <c r="F444">
        <v>200</v>
      </c>
      <c r="G444" s="2">
        <v>8.1999999999999993</v>
      </c>
      <c r="H444" s="1">
        <v>46166.641081238427</v>
      </c>
      <c r="I444" s="1">
        <v>46166.641081331021</v>
      </c>
      <c r="J444" t="s">
        <v>15</v>
      </c>
      <c r="K444" t="s">
        <v>16</v>
      </c>
      <c r="L444" s="1">
        <v>46166.64108134259</v>
      </c>
    </row>
    <row r="445" spans="1:12" x14ac:dyDescent="0.25">
      <c r="A445" t="s">
        <v>1135</v>
      </c>
      <c r="B445" t="str">
        <f>resultado_db_usuario_10[[#This Row],[metodo]]&amp;" "&amp;SUBSTITUTE(resultado_db_usuario_10[[#This Row],[rota]],"/api/v1","")</f>
        <v>GET /pecas/</v>
      </c>
      <c r="C445" t="s">
        <v>12</v>
      </c>
      <c r="D445" t="s">
        <v>24</v>
      </c>
      <c r="E445" t="s">
        <v>25</v>
      </c>
      <c r="F445">
        <v>200</v>
      </c>
      <c r="G445" s="2">
        <v>19.04</v>
      </c>
      <c r="H445" s="1">
        <v>46166.641081666668</v>
      </c>
      <c r="I445" s="1">
        <v>46166.641081886577</v>
      </c>
      <c r="J445" t="s">
        <v>15</v>
      </c>
      <c r="K445" t="s">
        <v>16</v>
      </c>
      <c r="L445" s="1">
        <v>46166.641081898146</v>
      </c>
    </row>
    <row r="446" spans="1:12" x14ac:dyDescent="0.25">
      <c r="A446" t="s">
        <v>1153</v>
      </c>
      <c r="B446" t="str">
        <f>resultado_db_usuario_10[[#This Row],[metodo]]&amp;" "&amp;SUBSTITUTE(resultado_db_usuario_10[[#This Row],[rota]],"/api/v1","")</f>
        <v>GET /pecas/</v>
      </c>
      <c r="C446" t="s">
        <v>12</v>
      </c>
      <c r="D446" t="s">
        <v>24</v>
      </c>
      <c r="E446" t="s">
        <v>25</v>
      </c>
      <c r="F446">
        <v>200</v>
      </c>
      <c r="G446" s="2">
        <v>7.81</v>
      </c>
      <c r="H446" s="1">
        <v>46166.641082407405</v>
      </c>
      <c r="I446" s="1">
        <v>46166.641082499998</v>
      </c>
      <c r="J446" t="s">
        <v>15</v>
      </c>
      <c r="K446" t="s">
        <v>16</v>
      </c>
      <c r="L446" s="1">
        <v>46166.641082511574</v>
      </c>
    </row>
    <row r="447" spans="1:12" x14ac:dyDescent="0.25">
      <c r="A447" t="s">
        <v>1161</v>
      </c>
      <c r="B447" t="str">
        <f>resultado_db_usuario_10[[#This Row],[metodo]]&amp;" "&amp;SUBSTITUTE(resultado_db_usuario_10[[#This Row],[rota]],"/api/v1","")</f>
        <v>GET /pecas/</v>
      </c>
      <c r="C447" t="s">
        <v>12</v>
      </c>
      <c r="D447" t="s">
        <v>24</v>
      </c>
      <c r="E447" t="s">
        <v>25</v>
      </c>
      <c r="F447">
        <v>200</v>
      </c>
      <c r="G447" s="2">
        <v>7.95</v>
      </c>
      <c r="H447" s="1">
        <v>46166.641082592592</v>
      </c>
      <c r="I447" s="1">
        <v>46166.641082685186</v>
      </c>
      <c r="J447" t="s">
        <v>15</v>
      </c>
      <c r="K447" t="s">
        <v>16</v>
      </c>
      <c r="L447" s="1">
        <v>46166.641082696762</v>
      </c>
    </row>
    <row r="448" spans="1:12" x14ac:dyDescent="0.25">
      <c r="A448" t="s">
        <v>1164</v>
      </c>
      <c r="B448" t="str">
        <f>resultado_db_usuario_10[[#This Row],[metodo]]&amp;" "&amp;SUBSTITUTE(resultado_db_usuario_10[[#This Row],[rota]],"/api/v1","")</f>
        <v>GET /pecas/</v>
      </c>
      <c r="C448" t="s">
        <v>12</v>
      </c>
      <c r="D448" t="s">
        <v>24</v>
      </c>
      <c r="E448" t="s">
        <v>25</v>
      </c>
      <c r="F448">
        <v>200</v>
      </c>
      <c r="G448" s="2">
        <v>7.75</v>
      </c>
      <c r="H448" s="1">
        <v>46166.641082650465</v>
      </c>
      <c r="I448" s="1">
        <v>46166.641082743059</v>
      </c>
      <c r="J448" t="s">
        <v>15</v>
      </c>
      <c r="K448" t="s">
        <v>16</v>
      </c>
      <c r="L448" s="1">
        <v>46166.641082766204</v>
      </c>
    </row>
    <row r="449" spans="1:12" x14ac:dyDescent="0.25">
      <c r="A449" t="s">
        <v>1166</v>
      </c>
      <c r="B449" t="str">
        <f>resultado_db_usuario_10[[#This Row],[metodo]]&amp;" "&amp;SUBSTITUTE(resultado_db_usuario_10[[#This Row],[rota]],"/api/v1","")</f>
        <v>GET /pecas/</v>
      </c>
      <c r="C449" t="s">
        <v>12</v>
      </c>
      <c r="D449" t="s">
        <v>24</v>
      </c>
      <c r="E449" t="s">
        <v>25</v>
      </c>
      <c r="F449">
        <v>200</v>
      </c>
      <c r="G449" s="2">
        <v>9.93</v>
      </c>
      <c r="H449" s="1">
        <v>46166.641082662034</v>
      </c>
      <c r="I449" s="1">
        <v>46166.64108277778</v>
      </c>
      <c r="J449" t="s">
        <v>15</v>
      </c>
      <c r="K449" t="s">
        <v>16</v>
      </c>
      <c r="L449" s="1">
        <v>46166.641082789349</v>
      </c>
    </row>
    <row r="450" spans="1:12" x14ac:dyDescent="0.25">
      <c r="A450" t="s">
        <v>1167</v>
      </c>
      <c r="B450" t="str">
        <f>resultado_db_usuario_10[[#This Row],[metodo]]&amp;" "&amp;SUBSTITUTE(resultado_db_usuario_10[[#This Row],[rota]],"/api/v1","")</f>
        <v>GET /pecas/</v>
      </c>
      <c r="C450" t="s">
        <v>12</v>
      </c>
      <c r="D450" t="s">
        <v>24</v>
      </c>
      <c r="E450" t="s">
        <v>25</v>
      </c>
      <c r="F450">
        <v>200</v>
      </c>
      <c r="G450" s="2">
        <v>12.71</v>
      </c>
      <c r="H450" s="1">
        <v>46166.641082662034</v>
      </c>
      <c r="I450" s="1">
        <v>46166.641082812501</v>
      </c>
      <c r="J450" t="s">
        <v>15</v>
      </c>
      <c r="K450" t="s">
        <v>16</v>
      </c>
      <c r="L450" s="1">
        <v>46166.641082824077</v>
      </c>
    </row>
    <row r="451" spans="1:12" x14ac:dyDescent="0.25">
      <c r="A451" t="s">
        <v>1170</v>
      </c>
      <c r="B451" t="str">
        <f>resultado_db_usuario_10[[#This Row],[metodo]]&amp;" "&amp;SUBSTITUTE(resultado_db_usuario_10[[#This Row],[rota]],"/api/v1","")</f>
        <v>GET /pecas/</v>
      </c>
      <c r="C451" t="s">
        <v>12</v>
      </c>
      <c r="D451" t="s">
        <v>24</v>
      </c>
      <c r="E451" t="s">
        <v>25</v>
      </c>
      <c r="F451">
        <v>200</v>
      </c>
      <c r="G451" s="2">
        <v>16.68</v>
      </c>
      <c r="H451" s="1">
        <v>46166.641082824077</v>
      </c>
      <c r="I451" s="1">
        <v>46166.641083020833</v>
      </c>
      <c r="J451" t="s">
        <v>15</v>
      </c>
      <c r="K451" t="s">
        <v>16</v>
      </c>
      <c r="L451" s="1">
        <v>46166.641083043978</v>
      </c>
    </row>
    <row r="452" spans="1:12" x14ac:dyDescent="0.25">
      <c r="A452" t="s">
        <v>1194</v>
      </c>
      <c r="B452" t="str">
        <f>resultado_db_usuario_10[[#This Row],[metodo]]&amp;" "&amp;SUBSTITUTE(resultado_db_usuario_10[[#This Row],[rota]],"/api/v1","")</f>
        <v>GET /pecas/</v>
      </c>
      <c r="C452" t="s">
        <v>12</v>
      </c>
      <c r="D452" t="s">
        <v>24</v>
      </c>
      <c r="E452" t="s">
        <v>25</v>
      </c>
      <c r="F452">
        <v>200</v>
      </c>
      <c r="G452" s="2">
        <v>7.84</v>
      </c>
      <c r="H452" s="1">
        <v>46166.641083807874</v>
      </c>
      <c r="I452" s="1">
        <v>46166.64108390046</v>
      </c>
      <c r="J452" t="s">
        <v>15</v>
      </c>
      <c r="K452" t="s">
        <v>16</v>
      </c>
      <c r="L452" s="1">
        <v>46166.641083923612</v>
      </c>
    </row>
    <row r="453" spans="1:12" x14ac:dyDescent="0.25">
      <c r="A453" t="s">
        <v>1200</v>
      </c>
      <c r="B453" t="str">
        <f>resultado_db_usuario_10[[#This Row],[metodo]]&amp;" "&amp;SUBSTITUTE(resultado_db_usuario_10[[#This Row],[rota]],"/api/v1","")</f>
        <v>GET /pecas/</v>
      </c>
      <c r="C453" t="s">
        <v>12</v>
      </c>
      <c r="D453" t="s">
        <v>24</v>
      </c>
      <c r="E453" t="s">
        <v>25</v>
      </c>
      <c r="F453">
        <v>200</v>
      </c>
      <c r="G453" s="2">
        <v>12.68</v>
      </c>
      <c r="H453" s="1">
        <v>46166.641083946757</v>
      </c>
      <c r="I453" s="1">
        <v>46166.641084097224</v>
      </c>
      <c r="J453" t="s">
        <v>15</v>
      </c>
      <c r="K453" t="s">
        <v>16</v>
      </c>
      <c r="L453" s="1">
        <v>46166.641084108793</v>
      </c>
    </row>
    <row r="454" spans="1:12" x14ac:dyDescent="0.25">
      <c r="A454" t="s">
        <v>1237</v>
      </c>
      <c r="B454" t="str">
        <f>resultado_db_usuario_10[[#This Row],[metodo]]&amp;" "&amp;SUBSTITUTE(resultado_db_usuario_10[[#This Row],[rota]],"/api/v1","")</f>
        <v>GET /pecas/</v>
      </c>
      <c r="C454" t="s">
        <v>12</v>
      </c>
      <c r="D454" t="s">
        <v>24</v>
      </c>
      <c r="E454" t="s">
        <v>25</v>
      </c>
      <c r="F454">
        <v>200</v>
      </c>
      <c r="G454" s="2">
        <v>6.1</v>
      </c>
      <c r="H454" s="1">
        <v>46166.641084826391</v>
      </c>
      <c r="I454" s="1">
        <v>46166.641084895833</v>
      </c>
      <c r="J454" t="s">
        <v>15</v>
      </c>
      <c r="K454" t="s">
        <v>16</v>
      </c>
      <c r="L454" s="1">
        <v>46166.641084918978</v>
      </c>
    </row>
    <row r="455" spans="1:12" x14ac:dyDescent="0.25">
      <c r="A455" t="s">
        <v>1250</v>
      </c>
      <c r="B455" t="str">
        <f>resultado_db_usuario_10[[#This Row],[metodo]]&amp;" "&amp;SUBSTITUTE(resultado_db_usuario_10[[#This Row],[rota]],"/api/v1","")</f>
        <v>GET /pecas/</v>
      </c>
      <c r="C455" t="s">
        <v>12</v>
      </c>
      <c r="D455" t="s">
        <v>24</v>
      </c>
      <c r="E455" t="s">
        <v>25</v>
      </c>
      <c r="F455">
        <v>200</v>
      </c>
      <c r="G455" s="2">
        <v>16.809999999999999</v>
      </c>
      <c r="H455" s="1">
        <v>46166.641085289353</v>
      </c>
      <c r="I455" s="1">
        <v>46166.641085474534</v>
      </c>
      <c r="J455" t="s">
        <v>15</v>
      </c>
      <c r="K455" t="s">
        <v>16</v>
      </c>
      <c r="L455" s="1">
        <v>46166.641085497686</v>
      </c>
    </row>
    <row r="456" spans="1:12" x14ac:dyDescent="0.25">
      <c r="A456" t="s">
        <v>1272</v>
      </c>
      <c r="B456" t="str">
        <f>resultado_db_usuario_10[[#This Row],[metodo]]&amp;" "&amp;SUBSTITUTE(resultado_db_usuario_10[[#This Row],[rota]],"/api/v1","")</f>
        <v>GET /pecas/</v>
      </c>
      <c r="C456" t="s">
        <v>12</v>
      </c>
      <c r="D456" t="s">
        <v>24</v>
      </c>
      <c r="E456" t="s">
        <v>25</v>
      </c>
      <c r="F456">
        <v>200</v>
      </c>
      <c r="G456" s="2">
        <v>9.0299999999999994</v>
      </c>
      <c r="H456" s="1">
        <v>46166.641085937503</v>
      </c>
      <c r="I456" s="1">
        <v>46166.641086041665</v>
      </c>
      <c r="J456" t="s">
        <v>15</v>
      </c>
      <c r="K456" t="s">
        <v>16</v>
      </c>
      <c r="L456" s="1">
        <v>46166.641086053241</v>
      </c>
    </row>
    <row r="457" spans="1:12" x14ac:dyDescent="0.25">
      <c r="A457" t="s">
        <v>1273</v>
      </c>
      <c r="B457" t="str">
        <f>resultado_db_usuario_10[[#This Row],[metodo]]&amp;" "&amp;SUBSTITUTE(resultado_db_usuario_10[[#This Row],[rota]],"/api/v1","")</f>
        <v>GET /pecas/</v>
      </c>
      <c r="C457" t="s">
        <v>12</v>
      </c>
      <c r="D457" t="s">
        <v>24</v>
      </c>
      <c r="E457" t="s">
        <v>25</v>
      </c>
      <c r="F457">
        <v>200</v>
      </c>
      <c r="G457" s="2">
        <v>7.73</v>
      </c>
      <c r="H457" s="1">
        <v>46166.6410859838</v>
      </c>
      <c r="I457" s="1">
        <v>46166.641086076386</v>
      </c>
      <c r="J457" t="s">
        <v>15</v>
      </c>
      <c r="K457" t="s">
        <v>16</v>
      </c>
      <c r="L457" s="1">
        <v>46166.641086087962</v>
      </c>
    </row>
    <row r="458" spans="1:12" x14ac:dyDescent="0.25">
      <c r="A458" t="s">
        <v>1274</v>
      </c>
      <c r="B458" t="str">
        <f>resultado_db_usuario_10[[#This Row],[metodo]]&amp;" "&amp;SUBSTITUTE(resultado_db_usuario_10[[#This Row],[rota]],"/api/v1","")</f>
        <v>GET /pecas/</v>
      </c>
      <c r="C458" t="s">
        <v>12</v>
      </c>
      <c r="D458" t="s">
        <v>24</v>
      </c>
      <c r="E458" t="s">
        <v>25</v>
      </c>
      <c r="F458">
        <v>200</v>
      </c>
      <c r="G458" s="2">
        <v>8.7799999999999994</v>
      </c>
      <c r="H458" s="1">
        <v>46166.6410859838</v>
      </c>
      <c r="I458" s="1">
        <v>46166.641086087962</v>
      </c>
      <c r="J458" t="s">
        <v>15</v>
      </c>
      <c r="K458" t="s">
        <v>16</v>
      </c>
      <c r="L458" s="1">
        <v>46166.641086099538</v>
      </c>
    </row>
    <row r="459" spans="1:12" x14ac:dyDescent="0.25">
      <c r="A459" t="s">
        <v>1275</v>
      </c>
      <c r="B459" t="str">
        <f>resultado_db_usuario_10[[#This Row],[metodo]]&amp;" "&amp;SUBSTITUTE(resultado_db_usuario_10[[#This Row],[rota]],"/api/v1","")</f>
        <v>GET /pecas/</v>
      </c>
      <c r="C459" t="s">
        <v>12</v>
      </c>
      <c r="D459" t="s">
        <v>24</v>
      </c>
      <c r="E459" t="s">
        <v>25</v>
      </c>
      <c r="F459">
        <v>200</v>
      </c>
      <c r="G459" s="2">
        <v>9.74</v>
      </c>
      <c r="H459" s="1">
        <v>46166.641085995368</v>
      </c>
      <c r="I459" s="1">
        <v>46166.641086111114</v>
      </c>
      <c r="J459" t="s">
        <v>15</v>
      </c>
      <c r="K459" t="s">
        <v>16</v>
      </c>
      <c r="L459" s="1">
        <v>46166.641086122683</v>
      </c>
    </row>
    <row r="460" spans="1:12" x14ac:dyDescent="0.25">
      <c r="A460" t="s">
        <v>1276</v>
      </c>
      <c r="B460" t="str">
        <f>resultado_db_usuario_10[[#This Row],[metodo]]&amp;" "&amp;SUBSTITUTE(resultado_db_usuario_10[[#This Row],[rota]],"/api/v1","")</f>
        <v>GET /pecas/</v>
      </c>
      <c r="C460" t="s">
        <v>12</v>
      </c>
      <c r="D460" t="s">
        <v>24</v>
      </c>
      <c r="E460" t="s">
        <v>25</v>
      </c>
      <c r="F460">
        <v>200</v>
      </c>
      <c r="G460" s="2">
        <v>11.19</v>
      </c>
      <c r="H460" s="1">
        <v>46166.641086018521</v>
      </c>
      <c r="I460" s="1">
        <v>46166.641086145835</v>
      </c>
      <c r="J460" t="s">
        <v>15</v>
      </c>
      <c r="K460" t="s">
        <v>16</v>
      </c>
      <c r="L460" s="1">
        <v>46166.64108616898</v>
      </c>
    </row>
    <row r="461" spans="1:12" x14ac:dyDescent="0.25">
      <c r="A461" t="s">
        <v>1287</v>
      </c>
      <c r="B461" t="str">
        <f>resultado_db_usuario_10[[#This Row],[metodo]]&amp;" "&amp;SUBSTITUTE(resultado_db_usuario_10[[#This Row],[rota]],"/api/v1","")</f>
        <v>GET /pecas/</v>
      </c>
      <c r="C461" t="s">
        <v>12</v>
      </c>
      <c r="D461" t="s">
        <v>24</v>
      </c>
      <c r="E461" t="s">
        <v>25</v>
      </c>
      <c r="F461">
        <v>200</v>
      </c>
      <c r="G461" s="2">
        <v>11.02</v>
      </c>
      <c r="H461" s="1">
        <v>46166.641086296295</v>
      </c>
      <c r="I461" s="1">
        <v>46166.64108642361</v>
      </c>
      <c r="J461" t="s">
        <v>15</v>
      </c>
      <c r="K461" t="s">
        <v>16</v>
      </c>
      <c r="L461" s="1">
        <v>46166.641086435186</v>
      </c>
    </row>
    <row r="462" spans="1:12" x14ac:dyDescent="0.25">
      <c r="A462" t="s">
        <v>1305</v>
      </c>
      <c r="B462" t="str">
        <f>resultado_db_usuario_10[[#This Row],[metodo]]&amp;" "&amp;SUBSTITUTE(resultado_db_usuario_10[[#This Row],[rota]],"/api/v1","")</f>
        <v>GET /pecas/</v>
      </c>
      <c r="C462" t="s">
        <v>12</v>
      </c>
      <c r="D462" t="s">
        <v>24</v>
      </c>
      <c r="E462" t="s">
        <v>25</v>
      </c>
      <c r="F462">
        <v>200</v>
      </c>
      <c r="G462" s="2">
        <v>7.97</v>
      </c>
      <c r="H462" s="1">
        <v>46166.641086805554</v>
      </c>
      <c r="I462" s="1">
        <v>46166.641086898147</v>
      </c>
      <c r="J462" t="s">
        <v>15</v>
      </c>
      <c r="K462" t="s">
        <v>16</v>
      </c>
      <c r="L462" s="1">
        <v>46166.6410869213</v>
      </c>
    </row>
    <row r="463" spans="1:12" x14ac:dyDescent="0.25">
      <c r="A463" t="s">
        <v>1316</v>
      </c>
      <c r="B463" t="str">
        <f>resultado_db_usuario_10[[#This Row],[metodo]]&amp;" "&amp;SUBSTITUTE(resultado_db_usuario_10[[#This Row],[rota]],"/api/v1","")</f>
        <v>GET /pecas/</v>
      </c>
      <c r="C463" t="s">
        <v>12</v>
      </c>
      <c r="D463" t="s">
        <v>24</v>
      </c>
      <c r="E463" t="s">
        <v>25</v>
      </c>
      <c r="F463">
        <v>200</v>
      </c>
      <c r="G463" s="2">
        <v>11.65</v>
      </c>
      <c r="H463" s="1">
        <v>46166.641087118056</v>
      </c>
      <c r="I463" s="1">
        <v>46166.641087256947</v>
      </c>
      <c r="J463" t="s">
        <v>15</v>
      </c>
      <c r="K463" t="s">
        <v>16</v>
      </c>
      <c r="L463" s="1">
        <v>46166.641087268516</v>
      </c>
    </row>
    <row r="464" spans="1:12" x14ac:dyDescent="0.25">
      <c r="A464" t="s">
        <v>1349</v>
      </c>
      <c r="B464" t="str">
        <f>resultado_db_usuario_10[[#This Row],[metodo]]&amp;" "&amp;SUBSTITUTE(resultado_db_usuario_10[[#This Row],[rota]],"/api/v1","")</f>
        <v>GET /pecas/</v>
      </c>
      <c r="C464" t="s">
        <v>12</v>
      </c>
      <c r="D464" t="s">
        <v>24</v>
      </c>
      <c r="E464" t="s">
        <v>25</v>
      </c>
      <c r="F464">
        <v>200</v>
      </c>
      <c r="G464" s="2">
        <v>9.23</v>
      </c>
      <c r="H464" s="1">
        <v>46166.64108789352</v>
      </c>
      <c r="I464" s="1">
        <v>46166.641087997683</v>
      </c>
      <c r="J464" t="s">
        <v>15</v>
      </c>
      <c r="K464" t="s">
        <v>16</v>
      </c>
      <c r="L464" s="1">
        <v>46166.641088020835</v>
      </c>
    </row>
    <row r="465" spans="1:12" x14ac:dyDescent="0.25">
      <c r="A465" t="s">
        <v>1364</v>
      </c>
      <c r="B465" t="str">
        <f>resultado_db_usuario_10[[#This Row],[metodo]]&amp;" "&amp;SUBSTITUTE(resultado_db_usuario_10[[#This Row],[rota]],"/api/v1","")</f>
        <v>GET /pecas/</v>
      </c>
      <c r="C465" t="s">
        <v>12</v>
      </c>
      <c r="D465" t="s">
        <v>24</v>
      </c>
      <c r="E465" t="s">
        <v>25</v>
      </c>
      <c r="F465">
        <v>200</v>
      </c>
      <c r="G465" s="2">
        <v>8.0399999999999991</v>
      </c>
      <c r="H465" s="1">
        <v>46166.641088483797</v>
      </c>
      <c r="I465" s="1">
        <v>46166.641088576391</v>
      </c>
      <c r="J465" t="s">
        <v>15</v>
      </c>
      <c r="K465" t="s">
        <v>16</v>
      </c>
      <c r="L465" s="1">
        <v>46166.64108858796</v>
      </c>
    </row>
    <row r="466" spans="1:12" x14ac:dyDescent="0.25">
      <c r="A466" t="s">
        <v>1377</v>
      </c>
      <c r="B466" t="str">
        <f>resultado_db_usuario_10[[#This Row],[metodo]]&amp;" "&amp;SUBSTITUTE(resultado_db_usuario_10[[#This Row],[rota]],"/api/v1","")</f>
        <v>GET /pecas/</v>
      </c>
      <c r="C466" t="s">
        <v>12</v>
      </c>
      <c r="D466" t="s">
        <v>24</v>
      </c>
      <c r="E466" t="s">
        <v>25</v>
      </c>
      <c r="F466">
        <v>200</v>
      </c>
      <c r="G466" s="2">
        <v>5.95</v>
      </c>
      <c r="H466" s="1">
        <v>46166.641088888886</v>
      </c>
      <c r="I466" s="1">
        <v>46166.641088946759</v>
      </c>
      <c r="J466" t="s">
        <v>15</v>
      </c>
      <c r="K466" t="s">
        <v>16</v>
      </c>
      <c r="L466" s="1">
        <v>46166.641088969911</v>
      </c>
    </row>
    <row r="467" spans="1:12" x14ac:dyDescent="0.25">
      <c r="A467" t="s">
        <v>1379</v>
      </c>
      <c r="B467" t="str">
        <f>resultado_db_usuario_10[[#This Row],[metodo]]&amp;" "&amp;SUBSTITUTE(resultado_db_usuario_10[[#This Row],[rota]],"/api/v1","")</f>
        <v>GET /pecas/</v>
      </c>
      <c r="C467" t="s">
        <v>12</v>
      </c>
      <c r="D467" t="s">
        <v>24</v>
      </c>
      <c r="E467" t="s">
        <v>25</v>
      </c>
      <c r="F467">
        <v>200</v>
      </c>
      <c r="G467" s="2">
        <v>6.28</v>
      </c>
      <c r="H467" s="1">
        <v>46166.641088912038</v>
      </c>
      <c r="I467" s="1">
        <v>46166.64108898148</v>
      </c>
      <c r="J467" t="s">
        <v>15</v>
      </c>
      <c r="K467" t="s">
        <v>16</v>
      </c>
      <c r="L467" s="1">
        <v>46166.641089004632</v>
      </c>
    </row>
    <row r="468" spans="1:12" x14ac:dyDescent="0.25">
      <c r="A468" t="s">
        <v>1383</v>
      </c>
      <c r="B468" t="str">
        <f>resultado_db_usuario_10[[#This Row],[metodo]]&amp;" "&amp;SUBSTITUTE(resultado_db_usuario_10[[#This Row],[rota]],"/api/v1","")</f>
        <v>GET /pecas/</v>
      </c>
      <c r="C468" t="s">
        <v>12</v>
      </c>
      <c r="D468" t="s">
        <v>24</v>
      </c>
      <c r="E468" t="s">
        <v>25</v>
      </c>
      <c r="F468">
        <v>200</v>
      </c>
      <c r="G468" s="2">
        <v>11.06</v>
      </c>
      <c r="H468" s="1">
        <v>46166.641088935183</v>
      </c>
      <c r="I468" s="1">
        <v>46166.641089062497</v>
      </c>
      <c r="J468" t="s">
        <v>15</v>
      </c>
      <c r="K468" t="s">
        <v>16</v>
      </c>
      <c r="L468" s="1">
        <v>46166.641089074074</v>
      </c>
    </row>
    <row r="469" spans="1:12" x14ac:dyDescent="0.25">
      <c r="A469" t="s">
        <v>1384</v>
      </c>
      <c r="B469" t="str">
        <f>resultado_db_usuario_10[[#This Row],[metodo]]&amp;" "&amp;SUBSTITUTE(resultado_db_usuario_10[[#This Row],[rota]],"/api/v1","")</f>
        <v>GET /pecas/</v>
      </c>
      <c r="C469" t="s">
        <v>12</v>
      </c>
      <c r="D469" t="s">
        <v>24</v>
      </c>
      <c r="E469" t="s">
        <v>25</v>
      </c>
      <c r="F469">
        <v>200</v>
      </c>
      <c r="G469" s="2">
        <v>12.3</v>
      </c>
      <c r="H469" s="1">
        <v>46166.641088935183</v>
      </c>
      <c r="I469" s="1">
        <v>46166.641089074074</v>
      </c>
      <c r="J469" t="s">
        <v>15</v>
      </c>
      <c r="K469" t="s">
        <v>16</v>
      </c>
      <c r="L469" s="1">
        <v>46166.641089097226</v>
      </c>
    </row>
    <row r="470" spans="1:12" x14ac:dyDescent="0.25">
      <c r="A470" t="s">
        <v>1397</v>
      </c>
      <c r="B470" t="str">
        <f>resultado_db_usuario_10[[#This Row],[metodo]]&amp;" "&amp;SUBSTITUTE(resultado_db_usuario_10[[#This Row],[rota]],"/api/v1","")</f>
        <v>GET /pecas/</v>
      </c>
      <c r="C470" t="s">
        <v>12</v>
      </c>
      <c r="D470" t="s">
        <v>24</v>
      </c>
      <c r="E470" t="s">
        <v>25</v>
      </c>
      <c r="F470">
        <v>200</v>
      </c>
      <c r="G470" s="2" t="s">
        <v>1398</v>
      </c>
      <c r="H470" s="1">
        <v>46166.641089340279</v>
      </c>
      <c r="I470" s="1">
        <v>46166.641089490739</v>
      </c>
      <c r="J470" t="s">
        <v>15</v>
      </c>
      <c r="K470" t="s">
        <v>16</v>
      </c>
      <c r="L470" s="1">
        <v>46166.641089502315</v>
      </c>
    </row>
    <row r="471" spans="1:12" x14ac:dyDescent="0.25">
      <c r="A471" t="s">
        <v>1416</v>
      </c>
      <c r="B471" t="str">
        <f>resultado_db_usuario_10[[#This Row],[metodo]]&amp;" "&amp;SUBSTITUTE(resultado_db_usuario_10[[#This Row],[rota]],"/api/v1","")</f>
        <v>GET /pecas/</v>
      </c>
      <c r="C471" t="s">
        <v>12</v>
      </c>
      <c r="D471" t="s">
        <v>24</v>
      </c>
      <c r="E471" t="s">
        <v>25</v>
      </c>
      <c r="F471">
        <v>200</v>
      </c>
      <c r="G471" s="2">
        <v>12.53</v>
      </c>
      <c r="H471" s="1">
        <v>46166.641089872683</v>
      </c>
      <c r="I471" s="1">
        <v>46166.641090011573</v>
      </c>
      <c r="J471" t="s">
        <v>15</v>
      </c>
      <c r="K471" t="s">
        <v>16</v>
      </c>
      <c r="L471" s="1">
        <v>46166.641090034725</v>
      </c>
    </row>
    <row r="472" spans="1:12" x14ac:dyDescent="0.25">
      <c r="A472" t="s">
        <v>1426</v>
      </c>
      <c r="B472" t="str">
        <f>resultado_db_usuario_10[[#This Row],[metodo]]&amp;" "&amp;SUBSTITUTE(resultado_db_usuario_10[[#This Row],[rota]],"/api/v1","")</f>
        <v>GET /pecas/</v>
      </c>
      <c r="C472" t="s">
        <v>12</v>
      </c>
      <c r="D472" t="s">
        <v>24</v>
      </c>
      <c r="E472" t="s">
        <v>25</v>
      </c>
      <c r="F472">
        <v>200</v>
      </c>
      <c r="G472" s="2">
        <v>11.98</v>
      </c>
      <c r="H472" s="1">
        <v>46166.64109016204</v>
      </c>
      <c r="I472" s="1">
        <v>46166.641090300924</v>
      </c>
      <c r="J472" t="s">
        <v>15</v>
      </c>
      <c r="K472" t="s">
        <v>16</v>
      </c>
      <c r="L472" s="1">
        <v>46166.6410903125</v>
      </c>
    </row>
    <row r="473" spans="1:12" x14ac:dyDescent="0.25">
      <c r="A473" t="s">
        <v>1448</v>
      </c>
      <c r="B473" t="str">
        <f>resultado_db_usuario_10[[#This Row],[metodo]]&amp;" "&amp;SUBSTITUTE(resultado_db_usuario_10[[#This Row],[rota]],"/api/v1","")</f>
        <v>GET /pecas/</v>
      </c>
      <c r="C473" t="s">
        <v>12</v>
      </c>
      <c r="D473" t="s">
        <v>24</v>
      </c>
      <c r="E473" t="s">
        <v>25</v>
      </c>
      <c r="F473">
        <v>200</v>
      </c>
      <c r="G473" s="2">
        <v>7.63</v>
      </c>
      <c r="H473" s="1">
        <v>46166.641090856479</v>
      </c>
      <c r="I473" s="1">
        <v>46166.641090949073</v>
      </c>
      <c r="J473" t="s">
        <v>15</v>
      </c>
      <c r="K473" t="s">
        <v>16</v>
      </c>
      <c r="L473" s="1">
        <v>46166.641090960649</v>
      </c>
    </row>
    <row r="474" spans="1:12" x14ac:dyDescent="0.25">
      <c r="A474" t="s">
        <v>1465</v>
      </c>
      <c r="B474" t="str">
        <f>resultado_db_usuario_10[[#This Row],[metodo]]&amp;" "&amp;SUBSTITUTE(resultado_db_usuario_10[[#This Row],[rota]],"/api/v1","")</f>
        <v>GET /pecas/</v>
      </c>
      <c r="C474" t="s">
        <v>12</v>
      </c>
      <c r="D474" t="s">
        <v>24</v>
      </c>
      <c r="E474" t="s">
        <v>25</v>
      </c>
      <c r="F474">
        <v>200</v>
      </c>
      <c r="G474" s="2">
        <v>10.72</v>
      </c>
      <c r="H474" s="1">
        <v>46166.641091342593</v>
      </c>
      <c r="I474" s="1">
        <v>46166.641091469908</v>
      </c>
      <c r="J474" t="s">
        <v>15</v>
      </c>
      <c r="K474" t="s">
        <v>16</v>
      </c>
      <c r="L474" s="1">
        <v>46166.641091481484</v>
      </c>
    </row>
    <row r="475" spans="1:12" x14ac:dyDescent="0.25">
      <c r="A475" t="s">
        <v>1468</v>
      </c>
      <c r="B475" t="str">
        <f>resultado_db_usuario_10[[#This Row],[metodo]]&amp;" "&amp;SUBSTITUTE(resultado_db_usuario_10[[#This Row],[rota]],"/api/v1","")</f>
        <v>GET /pecas/</v>
      </c>
      <c r="C475" t="s">
        <v>12</v>
      </c>
      <c r="D475" t="s">
        <v>24</v>
      </c>
      <c r="E475" t="s">
        <v>25</v>
      </c>
      <c r="F475">
        <v>200</v>
      </c>
      <c r="G475" s="2">
        <v>10.199999999999999</v>
      </c>
      <c r="H475" s="1">
        <v>46166.641091504629</v>
      </c>
      <c r="I475" s="1">
        <v>46166.641091620368</v>
      </c>
      <c r="J475" t="s">
        <v>15</v>
      </c>
      <c r="K475" t="s">
        <v>16</v>
      </c>
      <c r="L475" s="1">
        <v>46166.64109164352</v>
      </c>
    </row>
    <row r="476" spans="1:12" x14ac:dyDescent="0.25">
      <c r="A476" t="s">
        <v>1474</v>
      </c>
      <c r="B476" t="str">
        <f>resultado_db_usuario_10[[#This Row],[metodo]]&amp;" "&amp;SUBSTITUTE(resultado_db_usuario_10[[#This Row],[rota]],"/api/v1","")</f>
        <v>GET /pecas/</v>
      </c>
      <c r="C476" t="s">
        <v>12</v>
      </c>
      <c r="D476" t="s">
        <v>24</v>
      </c>
      <c r="E476" t="s">
        <v>25</v>
      </c>
      <c r="F476">
        <v>200</v>
      </c>
      <c r="G476" s="2">
        <v>4.49</v>
      </c>
      <c r="H476" s="1">
        <v>46166.641091701385</v>
      </c>
      <c r="I476" s="1">
        <v>46166.641091747682</v>
      </c>
      <c r="J476" t="s">
        <v>15</v>
      </c>
      <c r="K476" t="s">
        <v>16</v>
      </c>
      <c r="L476" s="1">
        <v>46166.641091770834</v>
      </c>
    </row>
    <row r="477" spans="1:12" x14ac:dyDescent="0.25">
      <c r="A477" t="s">
        <v>1477</v>
      </c>
      <c r="B477" t="str">
        <f>resultado_db_usuario_10[[#This Row],[metodo]]&amp;" "&amp;SUBSTITUTE(resultado_db_usuario_10[[#This Row],[rota]],"/api/v1","")</f>
        <v>GET /pecas/</v>
      </c>
      <c r="C477" t="s">
        <v>12</v>
      </c>
      <c r="D477" t="s">
        <v>24</v>
      </c>
      <c r="E477" t="s">
        <v>25</v>
      </c>
      <c r="F477">
        <v>200</v>
      </c>
      <c r="G477" s="2">
        <v>7.25</v>
      </c>
      <c r="H477" s="1">
        <v>46166.641091712961</v>
      </c>
      <c r="I477" s="1">
        <v>46166.641091805555</v>
      </c>
      <c r="J477" t="s">
        <v>15</v>
      </c>
      <c r="K477" t="s">
        <v>16</v>
      </c>
      <c r="L477" s="1">
        <v>46166.641091817131</v>
      </c>
    </row>
    <row r="478" spans="1:12" x14ac:dyDescent="0.25">
      <c r="A478" t="s">
        <v>1489</v>
      </c>
      <c r="B478" t="str">
        <f>resultado_db_usuario_10[[#This Row],[metodo]]&amp;" "&amp;SUBSTITUTE(resultado_db_usuario_10[[#This Row],[rota]],"/api/v1","")</f>
        <v>GET /pecas/</v>
      </c>
      <c r="C478" t="s">
        <v>12</v>
      </c>
      <c r="D478" t="s">
        <v>24</v>
      </c>
      <c r="E478" t="s">
        <v>25</v>
      </c>
      <c r="F478">
        <v>200</v>
      </c>
      <c r="G478" s="2">
        <v>6.03</v>
      </c>
      <c r="H478" s="1">
        <v>46166.641092094906</v>
      </c>
      <c r="I478" s="1">
        <v>46166.641092164355</v>
      </c>
      <c r="J478" t="s">
        <v>15</v>
      </c>
      <c r="K478" t="s">
        <v>16</v>
      </c>
      <c r="L478" s="1">
        <v>46166.641092187499</v>
      </c>
    </row>
    <row r="479" spans="1:12" x14ac:dyDescent="0.25">
      <c r="A479" t="s">
        <v>1501</v>
      </c>
      <c r="B479" t="str">
        <f>resultado_db_usuario_10[[#This Row],[metodo]]&amp;" "&amp;SUBSTITUTE(resultado_db_usuario_10[[#This Row],[rota]],"/api/v1","")</f>
        <v>GET /pecas/</v>
      </c>
      <c r="C479" t="s">
        <v>12</v>
      </c>
      <c r="D479" t="s">
        <v>24</v>
      </c>
      <c r="E479" t="s">
        <v>25</v>
      </c>
      <c r="F479">
        <v>200</v>
      </c>
      <c r="G479" s="2">
        <v>6.24</v>
      </c>
      <c r="H479" s="1">
        <v>46166.641092442129</v>
      </c>
      <c r="I479" s="1">
        <v>46166.641092511571</v>
      </c>
      <c r="J479" t="s">
        <v>15</v>
      </c>
      <c r="K479" t="s">
        <v>16</v>
      </c>
      <c r="L479" s="1">
        <v>46166.641092534723</v>
      </c>
    </row>
    <row r="480" spans="1:12" x14ac:dyDescent="0.25">
      <c r="A480" t="s">
        <v>1520</v>
      </c>
      <c r="B480" t="str">
        <f>resultado_db_usuario_10[[#This Row],[metodo]]&amp;" "&amp;SUBSTITUTE(resultado_db_usuario_10[[#This Row],[rota]],"/api/v1","")</f>
        <v>GET /pecas/</v>
      </c>
      <c r="C480" t="s">
        <v>12</v>
      </c>
      <c r="D480" t="s">
        <v>24</v>
      </c>
      <c r="E480" t="s">
        <v>25</v>
      </c>
      <c r="F480">
        <v>200</v>
      </c>
      <c r="G480" s="2">
        <v>11.98</v>
      </c>
      <c r="H480" s="1">
        <v>46166.641092777776</v>
      </c>
      <c r="I480" s="1">
        <v>46166.641092916667</v>
      </c>
      <c r="J480" t="s">
        <v>15</v>
      </c>
      <c r="K480" t="s">
        <v>16</v>
      </c>
      <c r="L480" s="1">
        <v>46166.641092928243</v>
      </c>
    </row>
    <row r="481" spans="1:12" x14ac:dyDescent="0.25">
      <c r="A481" t="s">
        <v>1541</v>
      </c>
      <c r="B481" t="str">
        <f>resultado_db_usuario_10[[#This Row],[metodo]]&amp;" "&amp;SUBSTITUTE(resultado_db_usuario_10[[#This Row],[rota]],"/api/v1","")</f>
        <v>GET /pecas/</v>
      </c>
      <c r="C481" t="s">
        <v>12</v>
      </c>
      <c r="D481" t="s">
        <v>24</v>
      </c>
      <c r="E481" t="s">
        <v>25</v>
      </c>
      <c r="F481">
        <v>200</v>
      </c>
      <c r="G481" s="2">
        <v>12.6</v>
      </c>
      <c r="H481" s="1">
        <v>46166.641093495367</v>
      </c>
      <c r="I481" s="1">
        <v>46166.641093634258</v>
      </c>
      <c r="J481" t="s">
        <v>15</v>
      </c>
      <c r="K481" t="s">
        <v>16</v>
      </c>
      <c r="L481" s="1">
        <v>46166.641093645834</v>
      </c>
    </row>
    <row r="482" spans="1:12" x14ac:dyDescent="0.25">
      <c r="A482" t="s">
        <v>1553</v>
      </c>
      <c r="B482" t="str">
        <f>resultado_db_usuario_10[[#This Row],[metodo]]&amp;" "&amp;SUBSTITUTE(resultado_db_usuario_10[[#This Row],[rota]],"/api/v1","")</f>
        <v>GET /pecas/</v>
      </c>
      <c r="C482" t="s">
        <v>12</v>
      </c>
      <c r="D482" t="s">
        <v>24</v>
      </c>
      <c r="E482" t="s">
        <v>25</v>
      </c>
      <c r="F482">
        <v>200</v>
      </c>
      <c r="G482" s="2">
        <v>7.71</v>
      </c>
      <c r="H482" s="1">
        <v>46166.641093842591</v>
      </c>
      <c r="I482" s="1">
        <v>46166.641093923608</v>
      </c>
      <c r="J482" t="s">
        <v>15</v>
      </c>
      <c r="K482" t="s">
        <v>16</v>
      </c>
      <c r="L482" s="1">
        <v>46166.641093946761</v>
      </c>
    </row>
    <row r="483" spans="1:12" x14ac:dyDescent="0.25">
      <c r="A483" t="s">
        <v>1558</v>
      </c>
      <c r="B483" t="str">
        <f>resultado_db_usuario_10[[#This Row],[metodo]]&amp;" "&amp;SUBSTITUTE(resultado_db_usuario_10[[#This Row],[rota]],"/api/v1","")</f>
        <v>GET /pecas/</v>
      </c>
      <c r="C483" t="s">
        <v>12</v>
      </c>
      <c r="D483" t="s">
        <v>24</v>
      </c>
      <c r="E483" t="s">
        <v>25</v>
      </c>
      <c r="F483">
        <v>200</v>
      </c>
      <c r="G483" s="2">
        <v>10.02</v>
      </c>
      <c r="H483" s="1">
        <v>46166.641093958337</v>
      </c>
      <c r="I483" s="1">
        <v>46166.641094074075</v>
      </c>
      <c r="J483" t="s">
        <v>15</v>
      </c>
      <c r="K483" t="s">
        <v>16</v>
      </c>
      <c r="L483" s="1">
        <v>46166.64109409722</v>
      </c>
    </row>
    <row r="484" spans="1:12" x14ac:dyDescent="0.25">
      <c r="A484" t="s">
        <v>1562</v>
      </c>
      <c r="B484" t="str">
        <f>resultado_db_usuario_10[[#This Row],[metodo]]&amp;" "&amp;SUBSTITUTE(resultado_db_usuario_10[[#This Row],[rota]],"/api/v1","")</f>
        <v>GET /pecas/</v>
      </c>
      <c r="C484" t="s">
        <v>12</v>
      </c>
      <c r="D484" t="s">
        <v>24</v>
      </c>
      <c r="E484" t="s">
        <v>25</v>
      </c>
      <c r="F484">
        <v>200</v>
      </c>
      <c r="G484" s="2">
        <v>12.61</v>
      </c>
      <c r="H484" s="1">
        <v>46166.641094062499</v>
      </c>
      <c r="I484" s="1">
        <v>46166.641094212966</v>
      </c>
      <c r="J484" t="s">
        <v>15</v>
      </c>
      <c r="K484" t="s">
        <v>16</v>
      </c>
      <c r="L484" s="1">
        <v>46166.641094224535</v>
      </c>
    </row>
    <row r="485" spans="1:12" x14ac:dyDescent="0.25">
      <c r="A485" t="s">
        <v>1570</v>
      </c>
      <c r="B485" t="str">
        <f>resultado_db_usuario_10[[#This Row],[metodo]]&amp;" "&amp;SUBSTITUTE(resultado_db_usuario_10[[#This Row],[rota]],"/api/v1","")</f>
        <v>GET /pecas/</v>
      </c>
      <c r="C485" t="s">
        <v>12</v>
      </c>
      <c r="D485" t="s">
        <v>24</v>
      </c>
      <c r="E485" t="s">
        <v>25</v>
      </c>
      <c r="F485">
        <v>200</v>
      </c>
      <c r="G485" s="2">
        <v>9.3800000000000008</v>
      </c>
      <c r="H485" s="1">
        <v>46166.641094247687</v>
      </c>
      <c r="I485" s="1">
        <v>46166.641094351849</v>
      </c>
      <c r="J485" t="s">
        <v>15</v>
      </c>
      <c r="K485" t="s">
        <v>16</v>
      </c>
      <c r="L485" s="1">
        <v>46166.641094375002</v>
      </c>
    </row>
    <row r="486" spans="1:12" x14ac:dyDescent="0.25">
      <c r="A486" t="s">
        <v>1579</v>
      </c>
      <c r="B486" t="str">
        <f>resultado_db_usuario_10[[#This Row],[metodo]]&amp;" "&amp;SUBSTITUTE(resultado_db_usuario_10[[#This Row],[rota]],"/api/v1","")</f>
        <v>GET /pecas/</v>
      </c>
      <c r="C486" t="s">
        <v>12</v>
      </c>
      <c r="D486" t="s">
        <v>24</v>
      </c>
      <c r="E486" t="s">
        <v>25</v>
      </c>
      <c r="F486">
        <v>200</v>
      </c>
      <c r="G486" s="2">
        <v>4.21</v>
      </c>
      <c r="H486" s="1">
        <v>46166.641094571758</v>
      </c>
      <c r="I486" s="1">
        <v>46166.641094618055</v>
      </c>
      <c r="J486" t="s">
        <v>15</v>
      </c>
      <c r="K486" t="s">
        <v>16</v>
      </c>
      <c r="L486" s="1">
        <v>46166.641094641207</v>
      </c>
    </row>
    <row r="487" spans="1:12" x14ac:dyDescent="0.25">
      <c r="A487" t="s">
        <v>1608</v>
      </c>
      <c r="B487" t="str">
        <f>resultado_db_usuario_10[[#This Row],[metodo]]&amp;" "&amp;SUBSTITUTE(resultado_db_usuario_10[[#This Row],[rota]],"/api/v1","")</f>
        <v>GET /pecas/</v>
      </c>
      <c r="C487" t="s">
        <v>12</v>
      </c>
      <c r="D487" t="s">
        <v>24</v>
      </c>
      <c r="E487" t="s">
        <v>25</v>
      </c>
      <c r="F487">
        <v>200</v>
      </c>
      <c r="G487" s="2">
        <v>11.87</v>
      </c>
      <c r="H487" s="1">
        <v>46166.641095231484</v>
      </c>
      <c r="I487" s="1">
        <v>46166.641095358798</v>
      </c>
      <c r="J487" t="s">
        <v>15</v>
      </c>
      <c r="K487" t="s">
        <v>16</v>
      </c>
      <c r="L487" s="1">
        <v>46166.641095381943</v>
      </c>
    </row>
    <row r="488" spans="1:12" x14ac:dyDescent="0.25">
      <c r="A488" t="s">
        <v>1626</v>
      </c>
      <c r="B488" t="str">
        <f>resultado_db_usuario_10[[#This Row],[metodo]]&amp;" "&amp;SUBSTITUTE(resultado_db_usuario_10[[#This Row],[rota]],"/api/v1","")</f>
        <v>GET /pecas/</v>
      </c>
      <c r="C488" t="s">
        <v>12</v>
      </c>
      <c r="D488" t="s">
        <v>24</v>
      </c>
      <c r="E488" t="s">
        <v>25</v>
      </c>
      <c r="F488">
        <v>200</v>
      </c>
      <c r="G488" s="2">
        <v>4.93</v>
      </c>
      <c r="H488" s="1">
        <v>46166.64109597222</v>
      </c>
      <c r="I488" s="1">
        <v>46166.641096018517</v>
      </c>
      <c r="J488" t="s">
        <v>15</v>
      </c>
      <c r="K488" t="s">
        <v>16</v>
      </c>
      <c r="L488" s="1">
        <v>46166.641096041669</v>
      </c>
    </row>
    <row r="489" spans="1:12" x14ac:dyDescent="0.25">
      <c r="A489" t="s">
        <v>1630</v>
      </c>
      <c r="B489" t="str">
        <f>resultado_db_usuario_10[[#This Row],[metodo]]&amp;" "&amp;SUBSTITUTE(resultado_db_usuario_10[[#This Row],[rota]],"/api/v1","")</f>
        <v>GET /pecas/</v>
      </c>
      <c r="C489" t="s">
        <v>12</v>
      </c>
      <c r="D489" t="s">
        <v>24</v>
      </c>
      <c r="E489" t="s">
        <v>25</v>
      </c>
      <c r="F489">
        <v>200</v>
      </c>
      <c r="G489" s="2">
        <v>4.5599999999999996</v>
      </c>
      <c r="H489" s="1">
        <v>46166.64109607639</v>
      </c>
      <c r="I489" s="1">
        <v>46166.641096122687</v>
      </c>
      <c r="J489" t="s">
        <v>15</v>
      </c>
      <c r="K489" t="s">
        <v>16</v>
      </c>
      <c r="L489" s="1">
        <v>46166.641096134263</v>
      </c>
    </row>
    <row r="490" spans="1:12" x14ac:dyDescent="0.25">
      <c r="A490" t="s">
        <v>1634</v>
      </c>
      <c r="B490" t="str">
        <f>resultado_db_usuario_10[[#This Row],[metodo]]&amp;" "&amp;SUBSTITUTE(resultado_db_usuario_10[[#This Row],[rota]],"/api/v1","")</f>
        <v>GET /pecas/</v>
      </c>
      <c r="C490" t="s">
        <v>12</v>
      </c>
      <c r="D490" t="s">
        <v>24</v>
      </c>
      <c r="E490" t="s">
        <v>25</v>
      </c>
      <c r="F490">
        <v>200</v>
      </c>
      <c r="G490" s="2">
        <v>8.81</v>
      </c>
      <c r="H490" s="1">
        <v>46166.641096111111</v>
      </c>
      <c r="I490" s="1">
        <v>46166.641096203704</v>
      </c>
      <c r="J490" t="s">
        <v>15</v>
      </c>
      <c r="K490" t="s">
        <v>16</v>
      </c>
      <c r="L490" s="1">
        <v>46166.641096226849</v>
      </c>
    </row>
    <row r="491" spans="1:12" x14ac:dyDescent="0.25">
      <c r="A491" t="s">
        <v>1637</v>
      </c>
      <c r="B491" t="str">
        <f>resultado_db_usuario_10[[#This Row],[metodo]]&amp;" "&amp;SUBSTITUTE(resultado_db_usuario_10[[#This Row],[rota]],"/api/v1","")</f>
        <v>GET /pecas/</v>
      </c>
      <c r="C491" t="s">
        <v>12</v>
      </c>
      <c r="D491" t="s">
        <v>24</v>
      </c>
      <c r="E491" t="s">
        <v>25</v>
      </c>
      <c r="F491">
        <v>200</v>
      </c>
      <c r="G491" s="2">
        <v>9.68</v>
      </c>
      <c r="H491" s="1">
        <v>46166.641096226849</v>
      </c>
      <c r="I491" s="1">
        <v>46166.641096342595</v>
      </c>
      <c r="J491" t="s">
        <v>15</v>
      </c>
      <c r="K491" t="s">
        <v>16</v>
      </c>
      <c r="L491" s="1">
        <v>46166.641096354164</v>
      </c>
    </row>
    <row r="492" spans="1:12" x14ac:dyDescent="0.25">
      <c r="A492" t="s">
        <v>1652</v>
      </c>
      <c r="B492" t="str">
        <f>resultado_db_usuario_10[[#This Row],[metodo]]&amp;" "&amp;SUBSTITUTE(resultado_db_usuario_10[[#This Row],[rota]],"/api/v1","")</f>
        <v>GET /pecas/</v>
      </c>
      <c r="C492" t="s">
        <v>12</v>
      </c>
      <c r="D492" t="s">
        <v>24</v>
      </c>
      <c r="E492" t="s">
        <v>25</v>
      </c>
      <c r="F492">
        <v>200</v>
      </c>
      <c r="G492" s="2">
        <v>4.47</v>
      </c>
      <c r="H492" s="1">
        <v>46166.64109675926</v>
      </c>
      <c r="I492" s="1">
        <v>46166.641096805557</v>
      </c>
      <c r="J492" t="s">
        <v>15</v>
      </c>
      <c r="K492" t="s">
        <v>16</v>
      </c>
      <c r="L492" s="1">
        <v>46166.641096817133</v>
      </c>
    </row>
    <row r="493" spans="1:12" x14ac:dyDescent="0.25">
      <c r="A493" t="s">
        <v>1679</v>
      </c>
      <c r="B493" t="str">
        <f>resultado_db_usuario_10[[#This Row],[metodo]]&amp;" "&amp;SUBSTITUTE(resultado_db_usuario_10[[#This Row],[rota]],"/api/v1","")</f>
        <v>GET /pecas/</v>
      </c>
      <c r="C493" t="s">
        <v>12</v>
      </c>
      <c r="D493" t="s">
        <v>24</v>
      </c>
      <c r="E493" t="s">
        <v>25</v>
      </c>
      <c r="F493">
        <v>200</v>
      </c>
      <c r="G493" s="2">
        <v>7.92</v>
      </c>
      <c r="H493" s="1">
        <v>46166.64109740741</v>
      </c>
      <c r="I493" s="1">
        <v>46166.641097500004</v>
      </c>
      <c r="J493" t="s">
        <v>15</v>
      </c>
      <c r="K493" t="s">
        <v>16</v>
      </c>
      <c r="L493" s="1">
        <v>46166.641097511572</v>
      </c>
    </row>
    <row r="494" spans="1:12" x14ac:dyDescent="0.25">
      <c r="A494" t="s">
        <v>1693</v>
      </c>
      <c r="B494" t="str">
        <f>resultado_db_usuario_10[[#This Row],[metodo]]&amp;" "&amp;SUBSTITUTE(resultado_db_usuario_10[[#This Row],[rota]],"/api/v1","")</f>
        <v>GET /pecas/</v>
      </c>
      <c r="C494" t="s">
        <v>12</v>
      </c>
      <c r="D494" t="s">
        <v>24</v>
      </c>
      <c r="E494" t="s">
        <v>25</v>
      </c>
      <c r="F494">
        <v>200</v>
      </c>
      <c r="G494" s="2">
        <v>4.58</v>
      </c>
      <c r="H494" s="1">
        <v>46166.641097870372</v>
      </c>
      <c r="I494" s="1">
        <v>46166.641097928237</v>
      </c>
      <c r="J494" t="s">
        <v>15</v>
      </c>
      <c r="K494" t="s">
        <v>16</v>
      </c>
      <c r="L494" s="1">
        <v>46166.641097951389</v>
      </c>
    </row>
    <row r="495" spans="1:12" x14ac:dyDescent="0.25">
      <c r="A495" t="s">
        <v>1697</v>
      </c>
      <c r="B495" t="str">
        <f>resultado_db_usuario_10[[#This Row],[metodo]]&amp;" "&amp;SUBSTITUTE(resultado_db_usuario_10[[#This Row],[rota]],"/api/v1","")</f>
        <v>GET /pecas/</v>
      </c>
      <c r="C495" t="s">
        <v>12</v>
      </c>
      <c r="D495" t="s">
        <v>24</v>
      </c>
      <c r="E495" t="s">
        <v>25</v>
      </c>
      <c r="F495">
        <v>200</v>
      </c>
      <c r="G495" s="2">
        <v>5.24</v>
      </c>
      <c r="H495" s="1">
        <v>46166.641097962965</v>
      </c>
      <c r="I495" s="1">
        <v>46166.641098020831</v>
      </c>
      <c r="J495" t="s">
        <v>15</v>
      </c>
      <c r="K495" t="s">
        <v>16</v>
      </c>
      <c r="L495" s="1">
        <v>46166.641098032407</v>
      </c>
    </row>
    <row r="496" spans="1:12" x14ac:dyDescent="0.25">
      <c r="A496" t="s">
        <v>1700</v>
      </c>
      <c r="B496" t="str">
        <f>resultado_db_usuario_10[[#This Row],[metodo]]&amp;" "&amp;SUBSTITUTE(resultado_db_usuario_10[[#This Row],[rota]],"/api/v1","")</f>
        <v>GET /pecas/</v>
      </c>
      <c r="C496" t="s">
        <v>12</v>
      </c>
      <c r="D496" t="s">
        <v>24</v>
      </c>
      <c r="E496" t="s">
        <v>25</v>
      </c>
      <c r="F496">
        <v>200</v>
      </c>
      <c r="G496" s="2">
        <v>6.77</v>
      </c>
      <c r="H496" s="1">
        <v>46166.64109809028</v>
      </c>
      <c r="I496" s="1">
        <v>46166.641098159722</v>
      </c>
      <c r="J496" t="s">
        <v>15</v>
      </c>
      <c r="K496" t="s">
        <v>16</v>
      </c>
      <c r="L496" s="1">
        <v>46166.641098182874</v>
      </c>
    </row>
    <row r="497" spans="1:12" x14ac:dyDescent="0.25">
      <c r="A497" t="s">
        <v>1714</v>
      </c>
      <c r="B497" t="str">
        <f>resultado_db_usuario_10[[#This Row],[metodo]]&amp;" "&amp;SUBSTITUTE(resultado_db_usuario_10[[#This Row],[rota]],"/api/v1","")</f>
        <v>GET /pecas/</v>
      </c>
      <c r="C497" t="s">
        <v>12</v>
      </c>
      <c r="D497" t="s">
        <v>24</v>
      </c>
      <c r="E497" t="s">
        <v>25</v>
      </c>
      <c r="F497">
        <v>200</v>
      </c>
      <c r="G497" s="2">
        <v>6.01</v>
      </c>
      <c r="H497" s="1">
        <v>46166.641098472224</v>
      </c>
      <c r="I497" s="1">
        <v>46166.641098541666</v>
      </c>
      <c r="J497" t="s">
        <v>15</v>
      </c>
      <c r="K497" t="s">
        <v>16</v>
      </c>
      <c r="L497" s="1">
        <v>46166.641098564818</v>
      </c>
    </row>
    <row r="498" spans="1:12" x14ac:dyDescent="0.25">
      <c r="A498" t="s">
        <v>1733</v>
      </c>
      <c r="B498" t="str">
        <f>resultado_db_usuario_10[[#This Row],[metodo]]&amp;" "&amp;SUBSTITUTE(resultado_db_usuario_10[[#This Row],[rota]],"/api/v1","")</f>
        <v>GET /pecas/</v>
      </c>
      <c r="C498" t="s">
        <v>12</v>
      </c>
      <c r="D498" t="s">
        <v>24</v>
      </c>
      <c r="E498" t="s">
        <v>25</v>
      </c>
      <c r="F498">
        <v>200</v>
      </c>
      <c r="G498" s="2">
        <v>5.1100000000000003</v>
      </c>
      <c r="H498" s="1">
        <v>46166.641098958331</v>
      </c>
      <c r="I498" s="1">
        <v>46166.641099016204</v>
      </c>
      <c r="J498" t="s">
        <v>15</v>
      </c>
      <c r="K498" t="s">
        <v>16</v>
      </c>
      <c r="L498" s="1">
        <v>46166.641099039349</v>
      </c>
    </row>
    <row r="499" spans="1:12" x14ac:dyDescent="0.25">
      <c r="A499" t="s">
        <v>1743</v>
      </c>
      <c r="B499" t="str">
        <f>resultado_db_usuario_10[[#This Row],[metodo]]&amp;" "&amp;SUBSTITUTE(resultado_db_usuario_10[[#This Row],[rota]],"/api/v1","")</f>
        <v>GET /pecas/</v>
      </c>
      <c r="C499" t="s">
        <v>12</v>
      </c>
      <c r="D499" t="s">
        <v>24</v>
      </c>
      <c r="E499" t="s">
        <v>25</v>
      </c>
      <c r="F499">
        <v>200</v>
      </c>
      <c r="G499" s="2">
        <v>2.58</v>
      </c>
      <c r="H499" s="1">
        <v>46166.641099328706</v>
      </c>
      <c r="I499" s="1">
        <v>46166.641099363427</v>
      </c>
      <c r="J499" t="s">
        <v>15</v>
      </c>
      <c r="K499" t="s">
        <v>16</v>
      </c>
      <c r="L499" s="1">
        <v>46166.641099375003</v>
      </c>
    </row>
    <row r="500" spans="1:12" x14ac:dyDescent="0.25">
      <c r="A500" t="s">
        <v>1756</v>
      </c>
      <c r="B500" t="str">
        <f>resultado_db_usuario_10[[#This Row],[metodo]]&amp;" "&amp;SUBSTITUTE(resultado_db_usuario_10[[#This Row],[rota]],"/api/v1","")</f>
        <v>GET /pecas/</v>
      </c>
      <c r="C500" t="s">
        <v>12</v>
      </c>
      <c r="D500" t="s">
        <v>24</v>
      </c>
      <c r="E500" t="s">
        <v>25</v>
      </c>
      <c r="F500">
        <v>200</v>
      </c>
      <c r="G500" s="2">
        <v>3.47</v>
      </c>
      <c r="H500" s="1">
        <v>46166.641099675922</v>
      </c>
      <c r="I500" s="1">
        <v>46166.641099722219</v>
      </c>
      <c r="J500" t="s">
        <v>15</v>
      </c>
      <c r="K500" t="s">
        <v>16</v>
      </c>
      <c r="L500" s="1">
        <v>46166.641099733795</v>
      </c>
    </row>
    <row r="501" spans="1:12" x14ac:dyDescent="0.25">
      <c r="A501" t="s">
        <v>1767</v>
      </c>
      <c r="B501" t="str">
        <f>resultado_db_usuario_10[[#This Row],[metodo]]&amp;" "&amp;SUBSTITUTE(resultado_db_usuario_10[[#This Row],[rota]],"/api/v1","")</f>
        <v>GET /pecas/</v>
      </c>
      <c r="C501" t="s">
        <v>12</v>
      </c>
      <c r="D501" t="s">
        <v>24</v>
      </c>
      <c r="E501" t="s">
        <v>25</v>
      </c>
      <c r="F501">
        <v>200</v>
      </c>
      <c r="G501" s="2">
        <v>2.85</v>
      </c>
      <c r="H501" s="1">
        <v>46166.641100000001</v>
      </c>
      <c r="I501" s="1">
        <v>46166.641100034722</v>
      </c>
      <c r="J501" t="s">
        <v>15</v>
      </c>
      <c r="K501" t="s">
        <v>16</v>
      </c>
      <c r="L501" s="1">
        <v>46166.641100046298</v>
      </c>
    </row>
    <row r="502" spans="1:12" x14ac:dyDescent="0.25">
      <c r="A502" t="s">
        <v>667</v>
      </c>
      <c r="B502" t="str">
        <f>resultado_db_usuario_10[[#This Row],[metodo]]&amp;" "&amp;SUBSTITUTE(resultado_db_usuario_10[[#This Row],[rota]],"/api/v1","")</f>
        <v>GET /pecas/:id</v>
      </c>
      <c r="C502" t="s">
        <v>12</v>
      </c>
      <c r="D502" t="s">
        <v>36</v>
      </c>
      <c r="E502" t="s">
        <v>37</v>
      </c>
      <c r="F502">
        <v>200</v>
      </c>
      <c r="G502" s="2">
        <v>1.98</v>
      </c>
      <c r="H502" s="1">
        <v>46166.641066296295</v>
      </c>
      <c r="I502" s="1">
        <v>46166.641066319447</v>
      </c>
      <c r="J502" t="s">
        <v>15</v>
      </c>
      <c r="K502" t="s">
        <v>16</v>
      </c>
      <c r="L502" s="1">
        <v>46166.641066342592</v>
      </c>
    </row>
    <row r="503" spans="1:12" x14ac:dyDescent="0.25">
      <c r="A503" t="s">
        <v>687</v>
      </c>
      <c r="B503" t="str">
        <f>resultado_db_usuario_10[[#This Row],[metodo]]&amp;" "&amp;SUBSTITUTE(resultado_db_usuario_10[[#This Row],[rota]],"/api/v1","")</f>
        <v>GET /pecas/:id</v>
      </c>
      <c r="C503" t="s">
        <v>12</v>
      </c>
      <c r="D503" t="s">
        <v>36</v>
      </c>
      <c r="E503" t="s">
        <v>37</v>
      </c>
      <c r="F503">
        <v>200</v>
      </c>
      <c r="G503" s="2">
        <v>2.16</v>
      </c>
      <c r="H503" s="1">
        <v>46166.641067349534</v>
      </c>
      <c r="I503" s="1">
        <v>46166.641067372686</v>
      </c>
      <c r="J503" t="s">
        <v>15</v>
      </c>
      <c r="K503" t="s">
        <v>16</v>
      </c>
      <c r="L503" s="1">
        <v>46166.641067395831</v>
      </c>
    </row>
    <row r="504" spans="1:12" x14ac:dyDescent="0.25">
      <c r="A504" t="s">
        <v>689</v>
      </c>
      <c r="B504" t="str">
        <f>resultado_db_usuario_10[[#This Row],[metodo]]&amp;" "&amp;SUBSTITUTE(resultado_db_usuario_10[[#This Row],[rota]],"/api/v1","")</f>
        <v>GET /pecas/:id</v>
      </c>
      <c r="C504" t="s">
        <v>12</v>
      </c>
      <c r="D504" t="s">
        <v>204</v>
      </c>
      <c r="E504" t="s">
        <v>37</v>
      </c>
      <c r="F504">
        <v>200</v>
      </c>
      <c r="G504" s="2">
        <v>2.5</v>
      </c>
      <c r="H504" s="1">
        <v>46166.641067418983</v>
      </c>
      <c r="I504" s="1">
        <v>46166.641067442128</v>
      </c>
      <c r="J504" t="s">
        <v>15</v>
      </c>
      <c r="K504" t="s">
        <v>16</v>
      </c>
      <c r="L504" s="1">
        <v>46166.64106746528</v>
      </c>
    </row>
    <row r="505" spans="1:12" hidden="1" x14ac:dyDescent="0.25">
      <c r="A505" t="s">
        <v>714</v>
      </c>
      <c r="B505" t="str">
        <f>resultado_db_usuario_10[[#This Row],[metodo]]&amp;" "&amp;SUBSTITUTE(resultado_db_usuario_10[[#This Row],[rota]],"/api/v1","")</f>
        <v>GET /pecas/:id</v>
      </c>
      <c r="C505" t="s">
        <v>12</v>
      </c>
      <c r="D505" t="s">
        <v>173</v>
      </c>
      <c r="E505" t="s">
        <v>37</v>
      </c>
      <c r="F505">
        <v>404</v>
      </c>
      <c r="G505" t="s">
        <v>715</v>
      </c>
      <c r="H505" s="1">
        <v>46166.641068356483</v>
      </c>
      <c r="I505" s="1">
        <v>46166.64106840278</v>
      </c>
      <c r="J505" t="s">
        <v>15</v>
      </c>
      <c r="K505" t="s">
        <v>16</v>
      </c>
      <c r="L505" s="1">
        <v>46166.641068414348</v>
      </c>
    </row>
    <row r="506" spans="1:12" x14ac:dyDescent="0.25">
      <c r="A506" t="s">
        <v>720</v>
      </c>
      <c r="B506" t="str">
        <f>resultado_db_usuario_10[[#This Row],[metodo]]&amp;" "&amp;SUBSTITUTE(resultado_db_usuario_10[[#This Row],[rota]],"/api/v1","")</f>
        <v>GET /pecas/:id</v>
      </c>
      <c r="C506" t="s">
        <v>12</v>
      </c>
      <c r="D506" t="s">
        <v>36</v>
      </c>
      <c r="E506" t="s">
        <v>37</v>
      </c>
      <c r="F506">
        <v>200</v>
      </c>
      <c r="G506" s="2">
        <v>5.83</v>
      </c>
      <c r="H506" s="1">
        <v>46166.641068449077</v>
      </c>
      <c r="I506" s="1">
        <v>46166.641068518518</v>
      </c>
      <c r="J506" t="s">
        <v>15</v>
      </c>
      <c r="K506" t="s">
        <v>16</v>
      </c>
      <c r="L506" s="1">
        <v>46166.641068530094</v>
      </c>
    </row>
    <row r="507" spans="1:12" x14ac:dyDescent="0.25">
      <c r="A507" t="s">
        <v>732</v>
      </c>
      <c r="B507" t="str">
        <f>resultado_db_usuario_10[[#This Row],[metodo]]&amp;" "&amp;SUBSTITUTE(resultado_db_usuario_10[[#This Row],[rota]],"/api/v1","")</f>
        <v>GET /pecas/:id</v>
      </c>
      <c r="C507" t="s">
        <v>12</v>
      </c>
      <c r="D507" t="s">
        <v>204</v>
      </c>
      <c r="E507" t="s">
        <v>37</v>
      </c>
      <c r="F507">
        <v>200</v>
      </c>
      <c r="G507" s="2">
        <v>5.44</v>
      </c>
      <c r="H507" s="1">
        <v>46166.641068935183</v>
      </c>
      <c r="I507" s="1">
        <v>46166.641068993056</v>
      </c>
      <c r="J507" t="s">
        <v>15</v>
      </c>
      <c r="K507" t="s">
        <v>16</v>
      </c>
      <c r="L507" s="1">
        <v>46166.641069016201</v>
      </c>
    </row>
    <row r="508" spans="1:12" x14ac:dyDescent="0.25">
      <c r="A508" t="s">
        <v>753</v>
      </c>
      <c r="B508" t="str">
        <f>resultado_db_usuario_10[[#This Row],[metodo]]&amp;" "&amp;SUBSTITUTE(resultado_db_usuario_10[[#This Row],[rota]],"/api/v1","")</f>
        <v>GET /pecas/:id</v>
      </c>
      <c r="C508" t="s">
        <v>12</v>
      </c>
      <c r="D508" t="s">
        <v>36</v>
      </c>
      <c r="E508" t="s">
        <v>37</v>
      </c>
      <c r="F508">
        <v>200</v>
      </c>
      <c r="G508" s="2">
        <v>2.83</v>
      </c>
      <c r="H508" s="1">
        <v>46166.641069675927</v>
      </c>
      <c r="I508" s="1">
        <v>46166.641069710648</v>
      </c>
      <c r="J508" t="s">
        <v>15</v>
      </c>
      <c r="K508" t="s">
        <v>16</v>
      </c>
      <c r="L508" s="1">
        <v>46166.6410697338</v>
      </c>
    </row>
    <row r="509" spans="1:12" x14ac:dyDescent="0.25">
      <c r="A509" t="s">
        <v>759</v>
      </c>
      <c r="B509" t="str">
        <f>resultado_db_usuario_10[[#This Row],[metodo]]&amp;" "&amp;SUBSTITUTE(resultado_db_usuario_10[[#This Row],[rota]],"/api/v1","")</f>
        <v>GET /pecas/:id</v>
      </c>
      <c r="C509" t="s">
        <v>12</v>
      </c>
      <c r="D509" t="s">
        <v>204</v>
      </c>
      <c r="E509" t="s">
        <v>37</v>
      </c>
      <c r="F509">
        <v>200</v>
      </c>
      <c r="G509" s="2">
        <v>3.78</v>
      </c>
      <c r="H509" s="1">
        <v>46166.641069791665</v>
      </c>
      <c r="I509" s="1">
        <v>46166.641069837962</v>
      </c>
      <c r="J509" t="s">
        <v>15</v>
      </c>
      <c r="K509" t="s">
        <v>16</v>
      </c>
      <c r="L509" s="1">
        <v>46166.641069861114</v>
      </c>
    </row>
    <row r="510" spans="1:12" hidden="1" x14ac:dyDescent="0.25">
      <c r="A510" t="s">
        <v>769</v>
      </c>
      <c r="B510" t="str">
        <f>resultado_db_usuario_10[[#This Row],[metodo]]&amp;" "&amp;SUBSTITUTE(resultado_db_usuario_10[[#This Row],[rota]],"/api/v1","")</f>
        <v>GET /pecas/:id</v>
      </c>
      <c r="C510" t="s">
        <v>12</v>
      </c>
      <c r="D510" t="s">
        <v>173</v>
      </c>
      <c r="E510" t="s">
        <v>37</v>
      </c>
      <c r="F510">
        <v>404</v>
      </c>
      <c r="G510" t="s">
        <v>133</v>
      </c>
      <c r="H510" s="1">
        <v>46166.641070254627</v>
      </c>
      <c r="I510" s="1">
        <v>46166.641070324076</v>
      </c>
      <c r="J510" t="s">
        <v>15</v>
      </c>
      <c r="K510" t="s">
        <v>16</v>
      </c>
      <c r="L510" s="1">
        <v>46166.641070335645</v>
      </c>
    </row>
    <row r="511" spans="1:12" x14ac:dyDescent="0.25">
      <c r="A511" t="s">
        <v>770</v>
      </c>
      <c r="B511" t="str">
        <f>resultado_db_usuario_10[[#This Row],[metodo]]&amp;" "&amp;SUBSTITUTE(resultado_db_usuario_10[[#This Row],[rota]],"/api/v1","")</f>
        <v>GET /pecas/:id</v>
      </c>
      <c r="C511" t="s">
        <v>12</v>
      </c>
      <c r="D511" t="s">
        <v>208</v>
      </c>
      <c r="E511" t="s">
        <v>37</v>
      </c>
      <c r="F511">
        <v>200</v>
      </c>
      <c r="G511" s="2">
        <v>4.07</v>
      </c>
      <c r="H511" s="1">
        <v>46166.641070289355</v>
      </c>
      <c r="I511" s="1">
        <v>46166.641070335645</v>
      </c>
      <c r="J511" t="s">
        <v>15</v>
      </c>
      <c r="K511" t="s">
        <v>16</v>
      </c>
      <c r="L511" s="1">
        <v>46166.641070347221</v>
      </c>
    </row>
    <row r="512" spans="1:12" x14ac:dyDescent="0.25">
      <c r="A512" t="s">
        <v>802</v>
      </c>
      <c r="B512" t="str">
        <f>resultado_db_usuario_10[[#This Row],[metodo]]&amp;" "&amp;SUBSTITUTE(resultado_db_usuario_10[[#This Row],[rota]],"/api/v1","")</f>
        <v>GET /pecas/:id</v>
      </c>
      <c r="C512" t="s">
        <v>12</v>
      </c>
      <c r="D512" t="s">
        <v>36</v>
      </c>
      <c r="E512" t="s">
        <v>37</v>
      </c>
      <c r="F512">
        <v>200</v>
      </c>
      <c r="G512" s="2">
        <v>2.94</v>
      </c>
      <c r="H512" s="1">
        <v>46166.641071446757</v>
      </c>
      <c r="I512" s="1">
        <v>46166.641071481485</v>
      </c>
      <c r="J512" t="s">
        <v>15</v>
      </c>
      <c r="K512" t="s">
        <v>16</v>
      </c>
      <c r="L512" s="1">
        <v>46166.641071493053</v>
      </c>
    </row>
    <row r="513" spans="1:12" x14ac:dyDescent="0.25">
      <c r="A513" t="s">
        <v>808</v>
      </c>
      <c r="B513" t="str">
        <f>resultado_db_usuario_10[[#This Row],[metodo]]&amp;" "&amp;SUBSTITUTE(resultado_db_usuario_10[[#This Row],[rota]],"/api/v1","")</f>
        <v>GET /pecas/:id</v>
      </c>
      <c r="C513" t="s">
        <v>12</v>
      </c>
      <c r="D513" t="s">
        <v>204</v>
      </c>
      <c r="E513" t="s">
        <v>37</v>
      </c>
      <c r="F513">
        <v>200</v>
      </c>
      <c r="G513" s="2">
        <v>3.64</v>
      </c>
      <c r="H513" s="1">
        <v>46166.641071666665</v>
      </c>
      <c r="I513" s="1">
        <v>46166.641071712962</v>
      </c>
      <c r="J513" t="s">
        <v>15</v>
      </c>
      <c r="K513" t="s">
        <v>16</v>
      </c>
      <c r="L513" s="1">
        <v>46166.641071724538</v>
      </c>
    </row>
    <row r="514" spans="1:12" x14ac:dyDescent="0.25">
      <c r="A514" t="s">
        <v>818</v>
      </c>
      <c r="B514" t="str">
        <f>resultado_db_usuario_10[[#This Row],[metodo]]&amp;" "&amp;SUBSTITUTE(resultado_db_usuario_10[[#This Row],[rota]],"/api/v1","")</f>
        <v>GET /pecas/:id</v>
      </c>
      <c r="C514" t="s">
        <v>12</v>
      </c>
      <c r="D514" t="s">
        <v>208</v>
      </c>
      <c r="E514" t="s">
        <v>37</v>
      </c>
      <c r="F514">
        <v>200</v>
      </c>
      <c r="G514" s="2">
        <v>7.83</v>
      </c>
      <c r="H514" s="1">
        <v>46166.641071967591</v>
      </c>
      <c r="I514" s="1">
        <v>46166.641072048609</v>
      </c>
      <c r="J514" t="s">
        <v>15</v>
      </c>
      <c r="K514" t="s">
        <v>16</v>
      </c>
      <c r="L514" s="1">
        <v>46166.641072071761</v>
      </c>
    </row>
    <row r="515" spans="1:12" hidden="1" x14ac:dyDescent="0.25">
      <c r="A515" t="s">
        <v>822</v>
      </c>
      <c r="B515" t="str">
        <f>resultado_db_usuario_10[[#This Row],[metodo]]&amp;" "&amp;SUBSTITUTE(resultado_db_usuario_10[[#This Row],[rota]],"/api/v1","")</f>
        <v>GET /pecas/:id</v>
      </c>
      <c r="C515" t="s">
        <v>12</v>
      </c>
      <c r="D515" t="s">
        <v>173</v>
      </c>
      <c r="E515" t="s">
        <v>37</v>
      </c>
      <c r="F515">
        <v>404</v>
      </c>
      <c r="G515" t="s">
        <v>724</v>
      </c>
      <c r="H515" s="1">
        <v>46166.641072106482</v>
      </c>
      <c r="I515" s="1">
        <v>46166.641072245373</v>
      </c>
      <c r="J515" t="s">
        <v>15</v>
      </c>
      <c r="K515" t="s">
        <v>16</v>
      </c>
      <c r="L515" s="1">
        <v>46166.641072256942</v>
      </c>
    </row>
    <row r="516" spans="1:12" x14ac:dyDescent="0.25">
      <c r="A516" t="s">
        <v>825</v>
      </c>
      <c r="B516" t="str">
        <f>resultado_db_usuario_10[[#This Row],[metodo]]&amp;" "&amp;SUBSTITUTE(resultado_db_usuario_10[[#This Row],[rota]],"/api/v1","")</f>
        <v>GET /pecas/:id</v>
      </c>
      <c r="C516" t="s">
        <v>12</v>
      </c>
      <c r="D516" t="s">
        <v>305</v>
      </c>
      <c r="E516" t="s">
        <v>37</v>
      </c>
      <c r="F516">
        <v>200</v>
      </c>
      <c r="G516" s="2">
        <v>9.66</v>
      </c>
      <c r="H516" s="1">
        <v>46166.641072175924</v>
      </c>
      <c r="I516" s="1">
        <v>46166.64107229167</v>
      </c>
      <c r="J516" t="s">
        <v>15</v>
      </c>
      <c r="K516" t="s">
        <v>16</v>
      </c>
      <c r="L516" s="1">
        <v>46166.641072314815</v>
      </c>
    </row>
    <row r="517" spans="1:12" x14ac:dyDescent="0.25">
      <c r="A517" t="s">
        <v>862</v>
      </c>
      <c r="B517" t="str">
        <f>resultado_db_usuario_10[[#This Row],[metodo]]&amp;" "&amp;SUBSTITUTE(resultado_db_usuario_10[[#This Row],[rota]],"/api/v1","")</f>
        <v>GET /pecas/:id</v>
      </c>
      <c r="C517" t="s">
        <v>12</v>
      </c>
      <c r="D517" t="s">
        <v>36</v>
      </c>
      <c r="E517" t="s">
        <v>37</v>
      </c>
      <c r="F517">
        <v>200</v>
      </c>
      <c r="G517" s="2">
        <v>4.93</v>
      </c>
      <c r="H517" s="1">
        <v>46166.641073599538</v>
      </c>
      <c r="I517" s="1">
        <v>46166.641073657411</v>
      </c>
      <c r="J517" t="s">
        <v>15</v>
      </c>
      <c r="K517" t="s">
        <v>16</v>
      </c>
      <c r="L517" s="1">
        <v>46166.641073680556</v>
      </c>
    </row>
    <row r="518" spans="1:12" x14ac:dyDescent="0.25">
      <c r="A518" t="s">
        <v>872</v>
      </c>
      <c r="B518" t="str">
        <f>resultado_db_usuario_10[[#This Row],[metodo]]&amp;" "&amp;SUBSTITUTE(resultado_db_usuario_10[[#This Row],[rota]],"/api/v1","")</f>
        <v>GET /pecas/:id</v>
      </c>
      <c r="C518" t="s">
        <v>12</v>
      </c>
      <c r="D518" t="s">
        <v>204</v>
      </c>
      <c r="E518" t="s">
        <v>37</v>
      </c>
      <c r="F518">
        <v>200</v>
      </c>
      <c r="G518" s="2">
        <v>11.4</v>
      </c>
      <c r="H518" s="1">
        <v>46166.641073865743</v>
      </c>
      <c r="I518" s="1">
        <v>46166.641074004627</v>
      </c>
      <c r="J518" t="s">
        <v>15</v>
      </c>
      <c r="K518" t="s">
        <v>16</v>
      </c>
      <c r="L518" s="1">
        <v>46166.641074016203</v>
      </c>
    </row>
    <row r="519" spans="1:12" x14ac:dyDescent="0.25">
      <c r="A519" t="s">
        <v>880</v>
      </c>
      <c r="B519" t="str">
        <f>resultado_db_usuario_10[[#This Row],[metodo]]&amp;" "&amp;SUBSTITUTE(resultado_db_usuario_10[[#This Row],[rota]],"/api/v1","")</f>
        <v>GET /pecas/:id</v>
      </c>
      <c r="C519" t="s">
        <v>12</v>
      </c>
      <c r="D519" t="s">
        <v>208</v>
      </c>
      <c r="E519" t="s">
        <v>37</v>
      </c>
      <c r="F519">
        <v>200</v>
      </c>
      <c r="G519" s="2">
        <v>9.75</v>
      </c>
      <c r="H519" s="1">
        <v>46166.641074143517</v>
      </c>
      <c r="I519" s="1">
        <v>46166.641074259256</v>
      </c>
      <c r="J519" t="s">
        <v>15</v>
      </c>
      <c r="K519" t="s">
        <v>16</v>
      </c>
      <c r="L519" s="1">
        <v>46166.641074270832</v>
      </c>
    </row>
    <row r="520" spans="1:12" hidden="1" x14ac:dyDescent="0.25">
      <c r="A520" t="s">
        <v>890</v>
      </c>
      <c r="B520" t="str">
        <f>resultado_db_usuario_10[[#This Row],[metodo]]&amp;" "&amp;SUBSTITUTE(resultado_db_usuario_10[[#This Row],[rota]],"/api/v1","")</f>
        <v>GET /pecas/:id</v>
      </c>
      <c r="C520" t="s">
        <v>12</v>
      </c>
      <c r="D520" t="s">
        <v>173</v>
      </c>
      <c r="E520" t="s">
        <v>37</v>
      </c>
      <c r="F520">
        <v>404</v>
      </c>
      <c r="G520" t="s">
        <v>222</v>
      </c>
      <c r="H520" s="1">
        <v>46166.641074409723</v>
      </c>
      <c r="I520" s="1">
        <v>46166.641074513886</v>
      </c>
      <c r="J520" t="s">
        <v>15</v>
      </c>
      <c r="K520" t="s">
        <v>16</v>
      </c>
      <c r="L520" s="1">
        <v>46166.641074537038</v>
      </c>
    </row>
    <row r="521" spans="1:12" x14ac:dyDescent="0.25">
      <c r="A521" t="s">
        <v>893</v>
      </c>
      <c r="B521" t="str">
        <f>resultado_db_usuario_10[[#This Row],[metodo]]&amp;" "&amp;SUBSTITUTE(resultado_db_usuario_10[[#This Row],[rota]],"/api/v1","")</f>
        <v>GET /pecas/:id</v>
      </c>
      <c r="C521" t="s">
        <v>12</v>
      </c>
      <c r="D521" t="s">
        <v>305</v>
      </c>
      <c r="E521" t="s">
        <v>37</v>
      </c>
      <c r="F521">
        <v>200</v>
      </c>
      <c r="G521" s="2">
        <v>11.94</v>
      </c>
      <c r="H521" s="1">
        <v>46166.641074490741</v>
      </c>
      <c r="I521" s="1">
        <v>46166.641074629631</v>
      </c>
      <c r="J521" t="s">
        <v>15</v>
      </c>
      <c r="K521" t="s">
        <v>16</v>
      </c>
      <c r="L521" s="1">
        <v>46166.641074652776</v>
      </c>
    </row>
    <row r="522" spans="1:12" hidden="1" x14ac:dyDescent="0.25">
      <c r="A522" t="s">
        <v>897</v>
      </c>
      <c r="B522" t="str">
        <f>resultado_db_usuario_10[[#This Row],[metodo]]&amp;" "&amp;SUBSTITUTE(resultado_db_usuario_10[[#This Row],[rota]],"/api/v1","")</f>
        <v>GET /pecas/:id</v>
      </c>
      <c r="C522" t="s">
        <v>12</v>
      </c>
      <c r="D522" t="s">
        <v>173</v>
      </c>
      <c r="E522" t="s">
        <v>37</v>
      </c>
      <c r="F522">
        <v>404</v>
      </c>
      <c r="G522" t="s">
        <v>898</v>
      </c>
      <c r="H522" s="1">
        <v>46166.6410746412</v>
      </c>
      <c r="I522" s="1">
        <v>46166.641074756946</v>
      </c>
      <c r="J522" t="s">
        <v>15</v>
      </c>
      <c r="K522" t="s">
        <v>16</v>
      </c>
      <c r="L522" s="1">
        <v>46166.641074768515</v>
      </c>
    </row>
    <row r="523" spans="1:12" x14ac:dyDescent="0.25">
      <c r="A523" t="s">
        <v>905</v>
      </c>
      <c r="B523" t="str">
        <f>resultado_db_usuario_10[[#This Row],[metodo]]&amp;" "&amp;SUBSTITUTE(resultado_db_usuario_10[[#This Row],[rota]],"/api/v1","")</f>
        <v>GET /pecas/:id</v>
      </c>
      <c r="C523" t="s">
        <v>12</v>
      </c>
      <c r="D523" t="s">
        <v>895</v>
      </c>
      <c r="E523" t="s">
        <v>37</v>
      </c>
      <c r="F523">
        <v>200</v>
      </c>
      <c r="G523" s="2">
        <v>15.42</v>
      </c>
      <c r="H523" s="1">
        <v>46166.641074791667</v>
      </c>
      <c r="I523" s="1">
        <v>46166.641074976855</v>
      </c>
      <c r="J523" t="s">
        <v>15</v>
      </c>
      <c r="K523" t="s">
        <v>16</v>
      </c>
      <c r="L523" s="1">
        <v>46166.641074988423</v>
      </c>
    </row>
    <row r="524" spans="1:12" x14ac:dyDescent="0.25">
      <c r="A524" t="s">
        <v>947</v>
      </c>
      <c r="B524" t="str">
        <f>resultado_db_usuario_10[[#This Row],[metodo]]&amp;" "&amp;SUBSTITUTE(resultado_db_usuario_10[[#This Row],[rota]],"/api/v1","")</f>
        <v>GET /pecas/:id</v>
      </c>
      <c r="C524" t="s">
        <v>12</v>
      </c>
      <c r="D524" t="s">
        <v>36</v>
      </c>
      <c r="E524" t="s">
        <v>37</v>
      </c>
      <c r="F524">
        <v>200</v>
      </c>
      <c r="G524" s="2">
        <v>10.31</v>
      </c>
      <c r="H524" s="1">
        <v>46166.641076446758</v>
      </c>
      <c r="I524" s="1">
        <v>46166.641076562497</v>
      </c>
      <c r="J524" t="s">
        <v>15</v>
      </c>
      <c r="K524" t="s">
        <v>16</v>
      </c>
      <c r="L524" s="1">
        <v>46166.641076585649</v>
      </c>
    </row>
    <row r="525" spans="1:12" x14ac:dyDescent="0.25">
      <c r="A525" t="s">
        <v>960</v>
      </c>
      <c r="B525" t="str">
        <f>resultado_db_usuario_10[[#This Row],[metodo]]&amp;" "&amp;SUBSTITUTE(resultado_db_usuario_10[[#This Row],[rota]],"/api/v1","")</f>
        <v>GET /pecas/:id</v>
      </c>
      <c r="C525" t="s">
        <v>12</v>
      </c>
      <c r="D525" t="s">
        <v>204</v>
      </c>
      <c r="E525" t="s">
        <v>37</v>
      </c>
      <c r="F525">
        <v>200</v>
      </c>
      <c r="G525" s="2">
        <v>10.26</v>
      </c>
      <c r="H525" s="1">
        <v>46166.641076793981</v>
      </c>
      <c r="I525" s="1">
        <v>46166.64107690972</v>
      </c>
      <c r="J525" t="s">
        <v>15</v>
      </c>
      <c r="K525" t="s">
        <v>16</v>
      </c>
      <c r="L525" s="1">
        <v>46166.641076921296</v>
      </c>
    </row>
    <row r="526" spans="1:12" x14ac:dyDescent="0.25">
      <c r="A526" t="s">
        <v>970</v>
      </c>
      <c r="B526" t="str">
        <f>resultado_db_usuario_10[[#This Row],[metodo]]&amp;" "&amp;SUBSTITUTE(resultado_db_usuario_10[[#This Row],[rota]],"/api/v1","")</f>
        <v>GET /pecas/:id</v>
      </c>
      <c r="C526" t="s">
        <v>12</v>
      </c>
      <c r="D526" t="s">
        <v>208</v>
      </c>
      <c r="E526" t="s">
        <v>37</v>
      </c>
      <c r="F526">
        <v>200</v>
      </c>
      <c r="G526" s="2">
        <v>9.4499999999999993</v>
      </c>
      <c r="H526" s="1">
        <v>46166.641077187502</v>
      </c>
      <c r="I526" s="1">
        <v>46166.641077291664</v>
      </c>
      <c r="J526" t="s">
        <v>15</v>
      </c>
      <c r="K526" t="s">
        <v>16</v>
      </c>
      <c r="L526" s="1">
        <v>46166.641077314816</v>
      </c>
    </row>
    <row r="527" spans="1:12" x14ac:dyDescent="0.25">
      <c r="A527" t="s">
        <v>978</v>
      </c>
      <c r="B527" t="str">
        <f>resultado_db_usuario_10[[#This Row],[metodo]]&amp;" "&amp;SUBSTITUTE(resultado_db_usuario_10[[#This Row],[rota]],"/api/v1","")</f>
        <v>GET /pecas/:id</v>
      </c>
      <c r="C527" t="s">
        <v>12</v>
      </c>
      <c r="D527" t="s">
        <v>305</v>
      </c>
      <c r="E527" t="s">
        <v>37</v>
      </c>
      <c r="F527">
        <v>200</v>
      </c>
      <c r="G527" s="2">
        <v>12.36</v>
      </c>
      <c r="H527" s="1">
        <v>46166.641077465276</v>
      </c>
      <c r="I527" s="1">
        <v>46166.641077604167</v>
      </c>
      <c r="J527" t="s">
        <v>15</v>
      </c>
      <c r="K527" t="s">
        <v>16</v>
      </c>
      <c r="L527" s="1">
        <v>46166.641077627311</v>
      </c>
    </row>
    <row r="528" spans="1:12" hidden="1" x14ac:dyDescent="0.25">
      <c r="A528" t="s">
        <v>991</v>
      </c>
      <c r="B528" t="str">
        <f>resultado_db_usuario_10[[#This Row],[metodo]]&amp;" "&amp;SUBSTITUTE(resultado_db_usuario_10[[#This Row],[rota]],"/api/v1","")</f>
        <v>GET /pecas/:id</v>
      </c>
      <c r="C528" t="s">
        <v>12</v>
      </c>
      <c r="D528" t="s">
        <v>173</v>
      </c>
      <c r="E528" t="s">
        <v>37</v>
      </c>
      <c r="F528">
        <v>404</v>
      </c>
      <c r="G528" t="s">
        <v>877</v>
      </c>
      <c r="H528" s="1">
        <v>46166.641077754626</v>
      </c>
      <c r="I528" s="1">
        <v>46166.641077870372</v>
      </c>
      <c r="J528" t="s">
        <v>15</v>
      </c>
      <c r="K528" t="s">
        <v>16</v>
      </c>
      <c r="L528" s="1">
        <v>46166.641077881941</v>
      </c>
    </row>
    <row r="529" spans="1:12" hidden="1" x14ac:dyDescent="0.25">
      <c r="A529" t="s">
        <v>993</v>
      </c>
      <c r="B529" t="str">
        <f>resultado_db_usuario_10[[#This Row],[metodo]]&amp;" "&amp;SUBSTITUTE(resultado_db_usuario_10[[#This Row],[rota]],"/api/v1","")</f>
        <v>GET /pecas/:id</v>
      </c>
      <c r="C529" t="s">
        <v>12</v>
      </c>
      <c r="D529" t="s">
        <v>173</v>
      </c>
      <c r="E529" t="s">
        <v>37</v>
      </c>
      <c r="F529">
        <v>404</v>
      </c>
      <c r="G529" t="s">
        <v>324</v>
      </c>
      <c r="H529" s="1">
        <v>46166.641077766202</v>
      </c>
      <c r="I529" s="1">
        <v>46166.641077893517</v>
      </c>
      <c r="J529" t="s">
        <v>15</v>
      </c>
      <c r="K529" t="s">
        <v>16</v>
      </c>
      <c r="L529" s="1">
        <v>46166.641077905093</v>
      </c>
    </row>
    <row r="530" spans="1:12" hidden="1" x14ac:dyDescent="0.25">
      <c r="A530" t="s">
        <v>994</v>
      </c>
      <c r="B530" t="str">
        <f>resultado_db_usuario_10[[#This Row],[metodo]]&amp;" "&amp;SUBSTITUTE(resultado_db_usuario_10[[#This Row],[rota]],"/api/v1","")</f>
        <v>GET /pecas/:id</v>
      </c>
      <c r="C530" t="s">
        <v>12</v>
      </c>
      <c r="D530" t="s">
        <v>173</v>
      </c>
      <c r="E530" t="s">
        <v>37</v>
      </c>
      <c r="F530">
        <v>404</v>
      </c>
      <c r="G530" t="s">
        <v>995</v>
      </c>
      <c r="H530" s="1">
        <v>46166.641077789354</v>
      </c>
      <c r="I530" s="1">
        <v>46166.641077916669</v>
      </c>
      <c r="J530" t="s">
        <v>15</v>
      </c>
      <c r="K530" t="s">
        <v>16</v>
      </c>
      <c r="L530" s="1">
        <v>46166.641077939814</v>
      </c>
    </row>
    <row r="531" spans="1:12" x14ac:dyDescent="0.25">
      <c r="A531" t="s">
        <v>996</v>
      </c>
      <c r="B531" t="str">
        <f>resultado_db_usuario_10[[#This Row],[metodo]]&amp;" "&amp;SUBSTITUTE(resultado_db_usuario_10[[#This Row],[rota]],"/api/v1","")</f>
        <v>GET /pecas/:id</v>
      </c>
      <c r="C531" t="s">
        <v>12</v>
      </c>
      <c r="D531" t="s">
        <v>895</v>
      </c>
      <c r="E531" t="s">
        <v>37</v>
      </c>
      <c r="F531">
        <v>200</v>
      </c>
      <c r="G531" s="2">
        <v>11.49</v>
      </c>
      <c r="H531" s="1">
        <v>46166.641077812499</v>
      </c>
      <c r="I531" s="1">
        <v>46166.64107795139</v>
      </c>
      <c r="J531" t="s">
        <v>15</v>
      </c>
      <c r="K531" t="s">
        <v>16</v>
      </c>
      <c r="L531" s="1">
        <v>46166.641077962966</v>
      </c>
    </row>
    <row r="532" spans="1:12" x14ac:dyDescent="0.25">
      <c r="A532" t="s">
        <v>1015</v>
      </c>
      <c r="B532" t="str">
        <f>resultado_db_usuario_10[[#This Row],[metodo]]&amp;" "&amp;SUBSTITUTE(resultado_db_usuario_10[[#This Row],[rota]],"/api/v1","")</f>
        <v>GET /pecas/:id</v>
      </c>
      <c r="C532" t="s">
        <v>12</v>
      </c>
      <c r="D532" t="s">
        <v>1009</v>
      </c>
      <c r="E532" t="s">
        <v>37</v>
      </c>
      <c r="F532">
        <v>200</v>
      </c>
      <c r="G532" s="2">
        <v>14.54</v>
      </c>
      <c r="H532" s="1">
        <v>46166.641078472225</v>
      </c>
      <c r="I532" s="1">
        <v>46166.64107863426</v>
      </c>
      <c r="J532" t="s">
        <v>15</v>
      </c>
      <c r="K532" t="s">
        <v>16</v>
      </c>
      <c r="L532" s="1">
        <v>46166.641078657405</v>
      </c>
    </row>
    <row r="533" spans="1:12" x14ac:dyDescent="0.25">
      <c r="A533" t="s">
        <v>1033</v>
      </c>
      <c r="B533" t="str">
        <f>resultado_db_usuario_10[[#This Row],[metodo]]&amp;" "&amp;SUBSTITUTE(resultado_db_usuario_10[[#This Row],[rota]],"/api/v1","")</f>
        <v>GET /pecas/:id</v>
      </c>
      <c r="C533" t="s">
        <v>12</v>
      </c>
      <c r="D533" t="s">
        <v>1024</v>
      </c>
      <c r="E533" t="s">
        <v>37</v>
      </c>
      <c r="F533">
        <v>200</v>
      </c>
      <c r="G533" s="2">
        <v>13.53</v>
      </c>
      <c r="H533" s="1">
        <v>46166.641079097222</v>
      </c>
      <c r="I533" s="1">
        <v>46166.641079259258</v>
      </c>
      <c r="J533" t="s">
        <v>15</v>
      </c>
      <c r="K533" t="s">
        <v>16</v>
      </c>
      <c r="L533" s="1">
        <v>46166.641079270834</v>
      </c>
    </row>
    <row r="534" spans="1:12" x14ac:dyDescent="0.25">
      <c r="A534" t="s">
        <v>1063</v>
      </c>
      <c r="B534" t="str">
        <f>resultado_db_usuario_10[[#This Row],[metodo]]&amp;" "&amp;SUBSTITUTE(resultado_db_usuario_10[[#This Row],[rota]],"/api/v1","")</f>
        <v>GET /pecas/:id</v>
      </c>
      <c r="C534" t="s">
        <v>12</v>
      </c>
      <c r="D534" t="s">
        <v>1054</v>
      </c>
      <c r="E534" t="s">
        <v>37</v>
      </c>
      <c r="F534">
        <v>200</v>
      </c>
      <c r="G534" s="2">
        <v>12.06</v>
      </c>
      <c r="H534" s="1">
        <v>46166.641079895831</v>
      </c>
      <c r="I534" s="1">
        <v>46166.641080046298</v>
      </c>
      <c r="J534" t="s">
        <v>15</v>
      </c>
      <c r="K534" t="s">
        <v>16</v>
      </c>
      <c r="L534" s="1">
        <v>46166.641080057867</v>
      </c>
    </row>
    <row r="535" spans="1:12" x14ac:dyDescent="0.25">
      <c r="A535" t="s">
        <v>1076</v>
      </c>
      <c r="B535" t="str">
        <f>resultado_db_usuario_10[[#This Row],[metodo]]&amp;" "&amp;SUBSTITUTE(resultado_db_usuario_10[[#This Row],[rota]],"/api/v1","")</f>
        <v>GET /pecas/:id</v>
      </c>
      <c r="C535" t="s">
        <v>12</v>
      </c>
      <c r="D535" t="s">
        <v>1066</v>
      </c>
      <c r="E535" t="s">
        <v>37</v>
      </c>
      <c r="F535">
        <v>200</v>
      </c>
      <c r="G535" s="2">
        <v>9.31</v>
      </c>
      <c r="H535" s="1">
        <v>46166.641080231479</v>
      </c>
      <c r="I535" s="1">
        <v>46166.641080335648</v>
      </c>
      <c r="J535" t="s">
        <v>15</v>
      </c>
      <c r="K535" t="s">
        <v>16</v>
      </c>
      <c r="L535" s="1">
        <v>46166.641080358793</v>
      </c>
    </row>
    <row r="536" spans="1:12" x14ac:dyDescent="0.25">
      <c r="A536" t="s">
        <v>1093</v>
      </c>
      <c r="B536" t="str">
        <f>resultado_db_usuario_10[[#This Row],[metodo]]&amp;" "&amp;SUBSTITUTE(resultado_db_usuario_10[[#This Row],[rota]],"/api/v1","")</f>
        <v>GET /pecas/:id</v>
      </c>
      <c r="C536" t="s">
        <v>12</v>
      </c>
      <c r="D536" t="s">
        <v>1082</v>
      </c>
      <c r="E536" t="s">
        <v>37</v>
      </c>
      <c r="F536">
        <v>200</v>
      </c>
      <c r="G536" s="2">
        <v>9.2799999999999994</v>
      </c>
      <c r="H536" s="1">
        <v>46166.641080729169</v>
      </c>
      <c r="I536" s="1">
        <v>46166.641080833331</v>
      </c>
      <c r="J536" t="s">
        <v>15</v>
      </c>
      <c r="K536" t="s">
        <v>16</v>
      </c>
      <c r="L536" s="1">
        <v>46166.641080856483</v>
      </c>
    </row>
    <row r="537" spans="1:12" x14ac:dyDescent="0.25">
      <c r="A537" t="s">
        <v>1103</v>
      </c>
      <c r="B537" t="str">
        <f>resultado_db_usuario_10[[#This Row],[metodo]]&amp;" "&amp;SUBSTITUTE(resultado_db_usuario_10[[#This Row],[rota]],"/api/v1","")</f>
        <v>GET /pecas/:id</v>
      </c>
      <c r="C537" t="s">
        <v>12</v>
      </c>
      <c r="D537" t="s">
        <v>1091</v>
      </c>
      <c r="E537" t="s">
        <v>37</v>
      </c>
      <c r="F537">
        <v>200</v>
      </c>
      <c r="G537" s="2">
        <v>11.94</v>
      </c>
      <c r="H537" s="1">
        <v>46166.641080925925</v>
      </c>
      <c r="I537" s="1">
        <v>46166.641081064816</v>
      </c>
      <c r="J537" t="s">
        <v>15</v>
      </c>
      <c r="K537" t="s">
        <v>16</v>
      </c>
      <c r="L537" s="1">
        <v>46166.641081087961</v>
      </c>
    </row>
    <row r="538" spans="1:12" hidden="1" x14ac:dyDescent="0.25">
      <c r="A538" t="s">
        <v>1111</v>
      </c>
      <c r="B538" t="str">
        <f>resultado_db_usuario_10[[#This Row],[metodo]]&amp;" "&amp;SUBSTITUTE(resultado_db_usuario_10[[#This Row],[rota]],"/api/v1","")</f>
        <v>GET /pecas/:id</v>
      </c>
      <c r="C538" t="s">
        <v>12</v>
      </c>
      <c r="D538" t="s">
        <v>173</v>
      </c>
      <c r="E538" t="s">
        <v>37</v>
      </c>
      <c r="F538">
        <v>404</v>
      </c>
      <c r="G538" t="s">
        <v>245</v>
      </c>
      <c r="H538" s="1">
        <v>46166.64108105324</v>
      </c>
      <c r="I538" s="1">
        <v>46166.64108115741</v>
      </c>
      <c r="J538" t="s">
        <v>15</v>
      </c>
      <c r="K538" t="s">
        <v>16</v>
      </c>
      <c r="L538" s="1">
        <v>46166.641081168978</v>
      </c>
    </row>
    <row r="539" spans="1:12" hidden="1" x14ac:dyDescent="0.25">
      <c r="A539" t="s">
        <v>1112</v>
      </c>
      <c r="B539" t="str">
        <f>resultado_db_usuario_10[[#This Row],[metodo]]&amp;" "&amp;SUBSTITUTE(resultado_db_usuario_10[[#This Row],[rota]],"/api/v1","")</f>
        <v>GET /pecas/:id</v>
      </c>
      <c r="C539" t="s">
        <v>12</v>
      </c>
      <c r="D539" t="s">
        <v>173</v>
      </c>
      <c r="E539" t="s">
        <v>37</v>
      </c>
      <c r="F539">
        <v>404</v>
      </c>
      <c r="G539" t="s">
        <v>1113</v>
      </c>
      <c r="H539" s="1">
        <v>46166.641081076392</v>
      </c>
      <c r="I539" s="1">
        <v>46166.641081180554</v>
      </c>
      <c r="J539" t="s">
        <v>15</v>
      </c>
      <c r="K539" t="s">
        <v>16</v>
      </c>
      <c r="L539" s="1">
        <v>46166.641081203707</v>
      </c>
    </row>
    <row r="540" spans="1:12" hidden="1" x14ac:dyDescent="0.25">
      <c r="A540" t="s">
        <v>1114</v>
      </c>
      <c r="B540" t="str">
        <f>resultado_db_usuario_10[[#This Row],[metodo]]&amp;" "&amp;SUBSTITUTE(resultado_db_usuario_10[[#This Row],[rota]],"/api/v1","")</f>
        <v>GET /pecas/:id</v>
      </c>
      <c r="C540" t="s">
        <v>12</v>
      </c>
      <c r="D540" t="s">
        <v>173</v>
      </c>
      <c r="E540" t="s">
        <v>37</v>
      </c>
      <c r="F540">
        <v>404</v>
      </c>
      <c r="G540" t="s">
        <v>1115</v>
      </c>
      <c r="H540" s="1">
        <v>46166.641081087961</v>
      </c>
      <c r="I540" s="1">
        <v>46166.641081203707</v>
      </c>
      <c r="J540" t="s">
        <v>15</v>
      </c>
      <c r="K540" t="s">
        <v>16</v>
      </c>
      <c r="L540" s="1">
        <v>46166.641081215275</v>
      </c>
    </row>
    <row r="541" spans="1:12" x14ac:dyDescent="0.25">
      <c r="A541" t="s">
        <v>1118</v>
      </c>
      <c r="B541" t="str">
        <f>resultado_db_usuario_10[[#This Row],[metodo]]&amp;" "&amp;SUBSTITUTE(resultado_db_usuario_10[[#This Row],[rota]],"/api/v1","")</f>
        <v>GET /pecas/:id</v>
      </c>
      <c r="C541" t="s">
        <v>12</v>
      </c>
      <c r="D541" t="s">
        <v>1105</v>
      </c>
      <c r="E541" t="s">
        <v>37</v>
      </c>
      <c r="F541">
        <v>200</v>
      </c>
      <c r="G541" s="2">
        <v>7.04</v>
      </c>
      <c r="H541" s="1">
        <v>46166.641081203707</v>
      </c>
      <c r="I541" s="1">
        <v>46166.641081296293</v>
      </c>
      <c r="J541" t="s">
        <v>15</v>
      </c>
      <c r="K541" t="s">
        <v>16</v>
      </c>
      <c r="L541" s="1">
        <v>46166.641081307869</v>
      </c>
    </row>
    <row r="542" spans="1:12" x14ac:dyDescent="0.25">
      <c r="A542" t="s">
        <v>1148</v>
      </c>
      <c r="B542" t="str">
        <f>resultado_db_usuario_10[[#This Row],[metodo]]&amp;" "&amp;SUBSTITUTE(resultado_db_usuario_10[[#This Row],[rota]],"/api/v1","")</f>
        <v>GET /pecas/:id</v>
      </c>
      <c r="C542" t="s">
        <v>12</v>
      </c>
      <c r="D542" t="s">
        <v>1137</v>
      </c>
      <c r="E542" t="s">
        <v>37</v>
      </c>
      <c r="F542">
        <v>200</v>
      </c>
      <c r="G542" s="2">
        <v>19.86</v>
      </c>
      <c r="H542" s="1">
        <v>46166.641082118054</v>
      </c>
      <c r="I542" s="1">
        <v>46166.641082349539</v>
      </c>
      <c r="J542" t="s">
        <v>15</v>
      </c>
      <c r="K542" t="s">
        <v>16</v>
      </c>
      <c r="L542" s="1">
        <v>46166.641082361108</v>
      </c>
    </row>
    <row r="543" spans="1:12" x14ac:dyDescent="0.25">
      <c r="A543" t="s">
        <v>1154</v>
      </c>
      <c r="B543" t="str">
        <f>resultado_db_usuario_10[[#This Row],[metodo]]&amp;" "&amp;SUBSTITUTE(resultado_db_usuario_10[[#This Row],[rota]],"/api/v1","")</f>
        <v>GET /pecas/:id</v>
      </c>
      <c r="C543" t="s">
        <v>12</v>
      </c>
      <c r="D543" t="s">
        <v>1145</v>
      </c>
      <c r="E543" t="s">
        <v>37</v>
      </c>
      <c r="F543">
        <v>200</v>
      </c>
      <c r="G543" s="2">
        <v>8.42</v>
      </c>
      <c r="H543" s="1">
        <v>46166.641082418981</v>
      </c>
      <c r="I543" s="1">
        <v>46166.641082511574</v>
      </c>
      <c r="J543" t="s">
        <v>15</v>
      </c>
      <c r="K543" t="s">
        <v>16</v>
      </c>
      <c r="L543" s="1">
        <v>46166.641082523151</v>
      </c>
    </row>
    <row r="544" spans="1:12" x14ac:dyDescent="0.25">
      <c r="A544" t="s">
        <v>1184</v>
      </c>
      <c r="B544" t="str">
        <f>resultado_db_usuario_10[[#This Row],[metodo]]&amp;" "&amp;SUBSTITUTE(resultado_db_usuario_10[[#This Row],[rota]],"/api/v1","")</f>
        <v>GET /pecas/:id</v>
      </c>
      <c r="C544" t="s">
        <v>12</v>
      </c>
      <c r="D544" t="s">
        <v>1175</v>
      </c>
      <c r="E544" t="s">
        <v>37</v>
      </c>
      <c r="F544">
        <v>200</v>
      </c>
      <c r="G544" s="2">
        <v>14.57</v>
      </c>
      <c r="H544" s="1">
        <v>46166.641083379633</v>
      </c>
      <c r="I544" s="1">
        <v>46166.641083553244</v>
      </c>
      <c r="J544" t="s">
        <v>15</v>
      </c>
      <c r="K544" t="s">
        <v>16</v>
      </c>
      <c r="L544" s="1">
        <v>46166.641083564813</v>
      </c>
    </row>
    <row r="545" spans="1:12" x14ac:dyDescent="0.25">
      <c r="A545" t="s">
        <v>1196</v>
      </c>
      <c r="B545" t="str">
        <f>resultado_db_usuario_10[[#This Row],[metodo]]&amp;" "&amp;SUBSTITUTE(resultado_db_usuario_10[[#This Row],[rota]],"/api/v1","")</f>
        <v>GET /pecas/:id</v>
      </c>
      <c r="C545" t="s">
        <v>12</v>
      </c>
      <c r="D545" t="s">
        <v>1190</v>
      </c>
      <c r="E545" t="s">
        <v>37</v>
      </c>
      <c r="F545">
        <v>200</v>
      </c>
      <c r="G545" s="2">
        <v>7.69</v>
      </c>
      <c r="H545" s="1">
        <v>46166.641083854163</v>
      </c>
      <c r="I545" s="1">
        <v>46166.641083935188</v>
      </c>
      <c r="J545" t="s">
        <v>15</v>
      </c>
      <c r="K545" t="s">
        <v>16</v>
      </c>
      <c r="L545" s="1">
        <v>46166.641083958333</v>
      </c>
    </row>
    <row r="546" spans="1:12" x14ac:dyDescent="0.25">
      <c r="A546" t="s">
        <v>1216</v>
      </c>
      <c r="B546" t="str">
        <f>resultado_db_usuario_10[[#This Row],[metodo]]&amp;" "&amp;SUBSTITUTE(resultado_db_usuario_10[[#This Row],[rota]],"/api/v1","")</f>
        <v>GET /pecas/:id</v>
      </c>
      <c r="C546" t="s">
        <v>12</v>
      </c>
      <c r="D546" t="s">
        <v>1203</v>
      </c>
      <c r="E546" t="s">
        <v>37</v>
      </c>
      <c r="F546">
        <v>200</v>
      </c>
      <c r="G546" s="2">
        <v>10.81</v>
      </c>
      <c r="H546" s="1">
        <v>46166.64108429398</v>
      </c>
      <c r="I546" s="1">
        <v>46166.641084421295</v>
      </c>
      <c r="J546" t="s">
        <v>15</v>
      </c>
      <c r="K546" t="s">
        <v>16</v>
      </c>
      <c r="L546" s="1">
        <v>46166.641084444447</v>
      </c>
    </row>
    <row r="547" spans="1:12" hidden="1" x14ac:dyDescent="0.25">
      <c r="A547" t="s">
        <v>1218</v>
      </c>
      <c r="B547" t="str">
        <f>resultado_db_usuario_10[[#This Row],[metodo]]&amp;" "&amp;SUBSTITUTE(resultado_db_usuario_10[[#This Row],[rota]],"/api/v1","")</f>
        <v>GET /pecas/:id</v>
      </c>
      <c r="C547" t="s">
        <v>12</v>
      </c>
      <c r="D547" t="s">
        <v>173</v>
      </c>
      <c r="E547" t="s">
        <v>37</v>
      </c>
      <c r="F547">
        <v>404</v>
      </c>
      <c r="G547" t="s">
        <v>1219</v>
      </c>
      <c r="H547" s="1">
        <v>46166.641084363429</v>
      </c>
      <c r="I547" s="1">
        <v>46166.641084502313</v>
      </c>
      <c r="J547" t="s">
        <v>15</v>
      </c>
      <c r="K547" t="s">
        <v>16</v>
      </c>
      <c r="L547" s="1">
        <v>46166.641084513889</v>
      </c>
    </row>
    <row r="548" spans="1:12" hidden="1" x14ac:dyDescent="0.25">
      <c r="A548" t="s">
        <v>1220</v>
      </c>
      <c r="B548" t="str">
        <f>resultado_db_usuario_10[[#This Row],[metodo]]&amp;" "&amp;SUBSTITUTE(resultado_db_usuario_10[[#This Row],[rota]],"/api/v1","")</f>
        <v>GET /pecas/:id</v>
      </c>
      <c r="C548" t="s">
        <v>12</v>
      </c>
      <c r="D548" t="s">
        <v>173</v>
      </c>
      <c r="E548" t="s">
        <v>37</v>
      </c>
      <c r="F548">
        <v>404</v>
      </c>
      <c r="G548" t="s">
        <v>1221</v>
      </c>
      <c r="H548" s="1">
        <v>46166.641084374998</v>
      </c>
      <c r="I548" s="1">
        <v>46166.641084513889</v>
      </c>
      <c r="J548" t="s">
        <v>15</v>
      </c>
      <c r="K548" t="s">
        <v>16</v>
      </c>
      <c r="L548" s="1">
        <v>46166.641084525465</v>
      </c>
    </row>
    <row r="549" spans="1:12" hidden="1" x14ac:dyDescent="0.25">
      <c r="A549" t="s">
        <v>1222</v>
      </c>
      <c r="B549" t="str">
        <f>resultado_db_usuario_10[[#This Row],[metodo]]&amp;" "&amp;SUBSTITUTE(resultado_db_usuario_10[[#This Row],[rota]],"/api/v1","")</f>
        <v>GET /pecas/:id</v>
      </c>
      <c r="C549" t="s">
        <v>12</v>
      </c>
      <c r="D549" t="s">
        <v>173</v>
      </c>
      <c r="E549" t="s">
        <v>37</v>
      </c>
      <c r="F549">
        <v>404</v>
      </c>
      <c r="G549" t="s">
        <v>1031</v>
      </c>
      <c r="H549" s="1">
        <v>46166.64108439815</v>
      </c>
      <c r="I549" s="1">
        <v>46166.641084537034</v>
      </c>
      <c r="J549" t="s">
        <v>15</v>
      </c>
      <c r="K549" t="s">
        <v>16</v>
      </c>
      <c r="L549" s="1">
        <v>46166.64108454861</v>
      </c>
    </row>
    <row r="550" spans="1:12" x14ac:dyDescent="0.25">
      <c r="A550" t="s">
        <v>1227</v>
      </c>
      <c r="B550" t="str">
        <f>resultado_db_usuario_10[[#This Row],[metodo]]&amp;" "&amp;SUBSTITUTE(resultado_db_usuario_10[[#This Row],[rota]],"/api/v1","")</f>
        <v>GET /pecas/:id</v>
      </c>
      <c r="C550" t="s">
        <v>12</v>
      </c>
      <c r="D550" t="s">
        <v>1214</v>
      </c>
      <c r="E550" t="s">
        <v>37</v>
      </c>
      <c r="F550">
        <v>200</v>
      </c>
      <c r="G550" s="2">
        <v>13.33</v>
      </c>
      <c r="H550" s="1">
        <v>46166.641084525465</v>
      </c>
      <c r="I550" s="1">
        <v>46166.641084675925</v>
      </c>
      <c r="J550" t="s">
        <v>15</v>
      </c>
      <c r="K550" t="s">
        <v>16</v>
      </c>
      <c r="L550" s="1">
        <v>46166.641084699077</v>
      </c>
    </row>
    <row r="551" spans="1:12" x14ac:dyDescent="0.25">
      <c r="A551" t="s">
        <v>1234</v>
      </c>
      <c r="B551" t="str">
        <f>resultado_db_usuario_10[[#This Row],[metodo]]&amp;" "&amp;SUBSTITUTE(resultado_db_usuario_10[[#This Row],[rota]],"/api/v1","")</f>
        <v>GET /pecas/:id</v>
      </c>
      <c r="C551" t="s">
        <v>12</v>
      </c>
      <c r="D551" t="s">
        <v>1224</v>
      </c>
      <c r="E551" t="s">
        <v>37</v>
      </c>
      <c r="F551">
        <v>200</v>
      </c>
      <c r="G551" s="2">
        <v>9.76</v>
      </c>
      <c r="H551" s="1">
        <v>46166.641084722221</v>
      </c>
      <c r="I551" s="1">
        <v>46166.64108483796</v>
      </c>
      <c r="J551" t="s">
        <v>15</v>
      </c>
      <c r="K551" t="s">
        <v>16</v>
      </c>
      <c r="L551" s="1">
        <v>46166.641084861112</v>
      </c>
    </row>
    <row r="552" spans="1:12" x14ac:dyDescent="0.25">
      <c r="A552" t="s">
        <v>1256</v>
      </c>
      <c r="B552" t="str">
        <f>resultado_db_usuario_10[[#This Row],[metodo]]&amp;" "&amp;SUBSTITUTE(resultado_db_usuario_10[[#This Row],[rota]],"/api/v1","")</f>
        <v>GET /pecas/:id</v>
      </c>
      <c r="C552" t="s">
        <v>12</v>
      </c>
      <c r="D552" t="s">
        <v>1249</v>
      </c>
      <c r="E552" t="s">
        <v>37</v>
      </c>
      <c r="F552">
        <v>200</v>
      </c>
      <c r="G552" s="2">
        <v>10.11</v>
      </c>
      <c r="H552" s="1">
        <v>46166.641085532407</v>
      </c>
      <c r="I552" s="1">
        <v>46166.641085648145</v>
      </c>
      <c r="J552" t="s">
        <v>15</v>
      </c>
      <c r="K552" t="s">
        <v>16</v>
      </c>
      <c r="L552" s="1">
        <v>46166.641085659721</v>
      </c>
    </row>
    <row r="553" spans="1:12" x14ac:dyDescent="0.25">
      <c r="A553" t="s">
        <v>1266</v>
      </c>
      <c r="B553" t="str">
        <f>resultado_db_usuario_10[[#This Row],[metodo]]&amp;" "&amp;SUBSTITUTE(resultado_db_usuario_10[[#This Row],[rota]],"/api/v1","")</f>
        <v>GET /pecas/:id</v>
      </c>
      <c r="C553" t="s">
        <v>12</v>
      </c>
      <c r="D553" t="s">
        <v>1258</v>
      </c>
      <c r="E553" t="s">
        <v>37</v>
      </c>
      <c r="F553">
        <v>200</v>
      </c>
      <c r="G553" s="2">
        <v>10.1</v>
      </c>
      <c r="H553" s="1">
        <v>46166.64108577546</v>
      </c>
      <c r="I553" s="1">
        <v>46166.641085891206</v>
      </c>
      <c r="J553" t="s">
        <v>15</v>
      </c>
      <c r="K553" t="s">
        <v>16</v>
      </c>
      <c r="L553" s="1">
        <v>46166.641085902775</v>
      </c>
    </row>
    <row r="554" spans="1:12" x14ac:dyDescent="0.25">
      <c r="A554" t="s">
        <v>1296</v>
      </c>
      <c r="B554" t="str">
        <f>resultado_db_usuario_10[[#This Row],[metodo]]&amp;" "&amp;SUBSTITUTE(resultado_db_usuario_10[[#This Row],[rota]],"/api/v1","")</f>
        <v>GET /pecas/:id</v>
      </c>
      <c r="C554" t="s">
        <v>12</v>
      </c>
      <c r="D554" t="s">
        <v>1286</v>
      </c>
      <c r="E554" t="s">
        <v>37</v>
      </c>
      <c r="F554">
        <v>200</v>
      </c>
      <c r="G554" s="2">
        <v>16.739999999999998</v>
      </c>
      <c r="H554" s="1">
        <v>46166.641086469906</v>
      </c>
      <c r="I554" s="1">
        <v>46166.64108666667</v>
      </c>
      <c r="J554" t="s">
        <v>15</v>
      </c>
      <c r="K554" t="s">
        <v>16</v>
      </c>
      <c r="L554" s="1">
        <v>46166.641086678239</v>
      </c>
    </row>
    <row r="555" spans="1:12" x14ac:dyDescent="0.25">
      <c r="A555" t="s">
        <v>1312</v>
      </c>
      <c r="B555" t="str">
        <f>resultado_db_usuario_10[[#This Row],[metodo]]&amp;" "&amp;SUBSTITUTE(resultado_db_usuario_10[[#This Row],[rota]],"/api/v1","")</f>
        <v>GET /pecas/:id</v>
      </c>
      <c r="C555" t="s">
        <v>12</v>
      </c>
      <c r="D555" t="s">
        <v>1301</v>
      </c>
      <c r="E555" t="s">
        <v>37</v>
      </c>
      <c r="F555">
        <v>200</v>
      </c>
      <c r="G555" s="2">
        <v>14.6</v>
      </c>
      <c r="H555" s="1">
        <v>46166.641086886571</v>
      </c>
      <c r="I555" s="1">
        <v>46166.641087060183</v>
      </c>
      <c r="J555" t="s">
        <v>15</v>
      </c>
      <c r="K555" t="s">
        <v>16</v>
      </c>
      <c r="L555" s="1">
        <v>46166.641087071759</v>
      </c>
    </row>
    <row r="556" spans="1:12" hidden="1" x14ac:dyDescent="0.25">
      <c r="A556" t="s">
        <v>1326</v>
      </c>
      <c r="B556" t="str">
        <f>resultado_db_usuario_10[[#This Row],[metodo]]&amp;" "&amp;SUBSTITUTE(resultado_db_usuario_10[[#This Row],[rota]],"/api/v1","")</f>
        <v>GET /pecas/:id</v>
      </c>
      <c r="C556" t="s">
        <v>12</v>
      </c>
      <c r="D556" t="s">
        <v>173</v>
      </c>
      <c r="E556" t="s">
        <v>37</v>
      </c>
      <c r="F556">
        <v>404</v>
      </c>
      <c r="G556" t="s">
        <v>319</v>
      </c>
      <c r="H556" s="1">
        <v>46166.641087337965</v>
      </c>
      <c r="I556" s="1">
        <v>46166.641087418982</v>
      </c>
      <c r="J556" t="s">
        <v>15</v>
      </c>
      <c r="K556" t="s">
        <v>16</v>
      </c>
      <c r="L556" s="1">
        <v>46166.641087442127</v>
      </c>
    </row>
    <row r="557" spans="1:12" hidden="1" x14ac:dyDescent="0.25">
      <c r="A557" t="s">
        <v>1329</v>
      </c>
      <c r="B557" t="str">
        <f>resultado_db_usuario_10[[#This Row],[metodo]]&amp;" "&amp;SUBSTITUTE(resultado_db_usuario_10[[#This Row],[rota]],"/api/v1","")</f>
        <v>GET /pecas/:id</v>
      </c>
      <c r="C557" t="s">
        <v>12</v>
      </c>
      <c r="D557" t="s">
        <v>173</v>
      </c>
      <c r="E557" t="s">
        <v>37</v>
      </c>
      <c r="F557">
        <v>404</v>
      </c>
      <c r="G557" t="s">
        <v>1330</v>
      </c>
      <c r="H557" s="1">
        <v>46166.641087372685</v>
      </c>
      <c r="I557" s="1">
        <v>46166.641087488424</v>
      </c>
      <c r="J557" t="s">
        <v>15</v>
      </c>
      <c r="K557" t="s">
        <v>16</v>
      </c>
      <c r="L557" s="1">
        <v>46166.6410875</v>
      </c>
    </row>
    <row r="558" spans="1:12" hidden="1" x14ac:dyDescent="0.25">
      <c r="A558" t="s">
        <v>1331</v>
      </c>
      <c r="B558" t="str">
        <f>resultado_db_usuario_10[[#This Row],[metodo]]&amp;" "&amp;SUBSTITUTE(resultado_db_usuario_10[[#This Row],[rota]],"/api/v1","")</f>
        <v>GET /pecas/:id</v>
      </c>
      <c r="C558" t="s">
        <v>12</v>
      </c>
      <c r="D558" t="s">
        <v>173</v>
      </c>
      <c r="E558" t="s">
        <v>37</v>
      </c>
      <c r="F558">
        <v>404</v>
      </c>
      <c r="G558" t="s">
        <v>1110</v>
      </c>
      <c r="H558" s="1">
        <v>46166.641087384261</v>
      </c>
      <c r="I558" s="1">
        <v>46166.6410875</v>
      </c>
      <c r="J558" t="s">
        <v>15</v>
      </c>
      <c r="K558" t="s">
        <v>16</v>
      </c>
      <c r="L558" s="1">
        <v>46166.641087511576</v>
      </c>
    </row>
    <row r="559" spans="1:12" hidden="1" x14ac:dyDescent="0.25">
      <c r="A559" t="s">
        <v>1332</v>
      </c>
      <c r="B559" t="str">
        <f>resultado_db_usuario_10[[#This Row],[metodo]]&amp;" "&amp;SUBSTITUTE(resultado_db_usuario_10[[#This Row],[rota]],"/api/v1","")</f>
        <v>GET /pecas/:id</v>
      </c>
      <c r="C559" t="s">
        <v>12</v>
      </c>
      <c r="D559" t="s">
        <v>173</v>
      </c>
      <c r="E559" t="s">
        <v>37</v>
      </c>
      <c r="F559">
        <v>404</v>
      </c>
      <c r="G559" t="s">
        <v>1333</v>
      </c>
      <c r="H559" s="1">
        <v>46166.641087384261</v>
      </c>
      <c r="I559" s="1">
        <v>46166.641087511576</v>
      </c>
      <c r="J559" t="s">
        <v>15</v>
      </c>
      <c r="K559" t="s">
        <v>16</v>
      </c>
      <c r="L559" s="1">
        <v>46166.641087534721</v>
      </c>
    </row>
    <row r="560" spans="1:12" x14ac:dyDescent="0.25">
      <c r="A560" t="s">
        <v>1334</v>
      </c>
      <c r="B560" t="str">
        <f>resultado_db_usuario_10[[#This Row],[metodo]]&amp;" "&amp;SUBSTITUTE(resultado_db_usuario_10[[#This Row],[rota]],"/api/v1","")</f>
        <v>GET /pecas/:id</v>
      </c>
      <c r="C560" t="s">
        <v>12</v>
      </c>
      <c r="D560" t="s">
        <v>1324</v>
      </c>
      <c r="E560" t="s">
        <v>37</v>
      </c>
      <c r="F560">
        <v>200</v>
      </c>
      <c r="G560" s="2">
        <v>12.76</v>
      </c>
      <c r="H560" s="1">
        <v>46166.641087430558</v>
      </c>
      <c r="I560" s="1">
        <v>46166.641087581018</v>
      </c>
      <c r="J560" t="s">
        <v>15</v>
      </c>
      <c r="K560" t="s">
        <v>16</v>
      </c>
      <c r="L560" s="1">
        <v>46166.641087592594</v>
      </c>
    </row>
    <row r="561" spans="1:12" x14ac:dyDescent="0.25">
      <c r="A561" t="s">
        <v>1351</v>
      </c>
      <c r="B561" t="str">
        <f>resultado_db_usuario_10[[#This Row],[metodo]]&amp;" "&amp;SUBSTITUTE(resultado_db_usuario_10[[#This Row],[rota]],"/api/v1","")</f>
        <v>GET /pecas/:id</v>
      </c>
      <c r="C561" t="s">
        <v>12</v>
      </c>
      <c r="D561" t="s">
        <v>1340</v>
      </c>
      <c r="E561" t="s">
        <v>37</v>
      </c>
      <c r="F561">
        <v>200</v>
      </c>
      <c r="G561" s="2">
        <v>10.73</v>
      </c>
      <c r="H561" s="1">
        <v>46166.641087916665</v>
      </c>
      <c r="I561" s="1">
        <v>46166.641088032404</v>
      </c>
      <c r="J561" t="s">
        <v>15</v>
      </c>
      <c r="K561" t="s">
        <v>16</v>
      </c>
      <c r="L561" s="1">
        <v>46166.641088055556</v>
      </c>
    </row>
    <row r="562" spans="1:12" x14ac:dyDescent="0.25">
      <c r="A562" t="s">
        <v>1369</v>
      </c>
      <c r="B562" t="str">
        <f>resultado_db_usuario_10[[#This Row],[metodo]]&amp;" "&amp;SUBSTITUTE(resultado_db_usuario_10[[#This Row],[rota]],"/api/v1","")</f>
        <v>GET /pecas/:id</v>
      </c>
      <c r="C562" t="s">
        <v>12</v>
      </c>
      <c r="D562" t="s">
        <v>1362</v>
      </c>
      <c r="E562" t="s">
        <v>37</v>
      </c>
      <c r="F562">
        <v>200</v>
      </c>
      <c r="G562" s="2">
        <v>5.93</v>
      </c>
      <c r="H562" s="1">
        <v>46166.641088680553</v>
      </c>
      <c r="I562" s="1">
        <v>46166.641088750002</v>
      </c>
      <c r="J562" t="s">
        <v>15</v>
      </c>
      <c r="K562" t="s">
        <v>16</v>
      </c>
      <c r="L562" s="1">
        <v>46166.641088773147</v>
      </c>
    </row>
    <row r="563" spans="1:12" x14ac:dyDescent="0.25">
      <c r="A563" t="s">
        <v>1378</v>
      </c>
      <c r="B563" t="str">
        <f>resultado_db_usuario_10[[#This Row],[metodo]]&amp;" "&amp;SUBSTITUTE(resultado_db_usuario_10[[#This Row],[rota]],"/api/v1","")</f>
        <v>GET /pecas/:id</v>
      </c>
      <c r="C563" t="s">
        <v>12</v>
      </c>
      <c r="D563" t="s">
        <v>1372</v>
      </c>
      <c r="E563" t="s">
        <v>37</v>
      </c>
      <c r="F563">
        <v>200</v>
      </c>
      <c r="G563" s="2">
        <v>5.12</v>
      </c>
      <c r="H563" s="1">
        <v>46166.641088912038</v>
      </c>
      <c r="I563" s="1">
        <v>46166.641088969911</v>
      </c>
      <c r="J563" t="s">
        <v>15</v>
      </c>
      <c r="K563" t="s">
        <v>16</v>
      </c>
      <c r="L563" s="1">
        <v>46166.64108898148</v>
      </c>
    </row>
    <row r="564" spans="1:12" x14ac:dyDescent="0.25">
      <c r="A564" t="s">
        <v>1404</v>
      </c>
      <c r="B564" t="str">
        <f>resultado_db_usuario_10[[#This Row],[metodo]]&amp;" "&amp;SUBSTITUTE(resultado_db_usuario_10[[#This Row],[rota]],"/api/v1","")</f>
        <v>GET /pecas/:id</v>
      </c>
      <c r="C564" t="s">
        <v>12</v>
      </c>
      <c r="D564" t="s">
        <v>1396</v>
      </c>
      <c r="E564" t="s">
        <v>37</v>
      </c>
      <c r="F564">
        <v>200</v>
      </c>
      <c r="G564" s="2">
        <v>10.27</v>
      </c>
      <c r="H564" s="1">
        <v>46166.641089606484</v>
      </c>
      <c r="I564" s="1">
        <v>46166.641089722223</v>
      </c>
      <c r="J564" t="s">
        <v>15</v>
      </c>
      <c r="K564" t="s">
        <v>16</v>
      </c>
      <c r="L564" s="1">
        <v>46166.641089745368</v>
      </c>
    </row>
    <row r="565" spans="1:12" x14ac:dyDescent="0.25">
      <c r="A565" t="s">
        <v>1420</v>
      </c>
      <c r="B565" t="str">
        <f>resultado_db_usuario_10[[#This Row],[metodo]]&amp;" "&amp;SUBSTITUTE(resultado_db_usuario_10[[#This Row],[rota]],"/api/v1","")</f>
        <v>GET /pecas/:id</v>
      </c>
      <c r="C565" t="s">
        <v>12</v>
      </c>
      <c r="D565" t="s">
        <v>1413</v>
      </c>
      <c r="E565" t="s">
        <v>37</v>
      </c>
      <c r="F565">
        <v>200</v>
      </c>
      <c r="G565" s="2">
        <v>6.59</v>
      </c>
      <c r="H565" s="1">
        <v>46166.641090034725</v>
      </c>
      <c r="I565" s="1">
        <v>46166.641090115743</v>
      </c>
      <c r="J565" t="s">
        <v>15</v>
      </c>
      <c r="K565" t="s">
        <v>16</v>
      </c>
      <c r="L565" s="1">
        <v>46166.641090127312</v>
      </c>
    </row>
    <row r="566" spans="1:12" hidden="1" x14ac:dyDescent="0.25">
      <c r="A566" t="s">
        <v>1427</v>
      </c>
      <c r="B566" t="str">
        <f>resultado_db_usuario_10[[#This Row],[metodo]]&amp;" "&amp;SUBSTITUTE(resultado_db_usuario_10[[#This Row],[rota]],"/api/v1","")</f>
        <v>GET /pecas/:id</v>
      </c>
      <c r="C566" t="s">
        <v>12</v>
      </c>
      <c r="D566" t="s">
        <v>173</v>
      </c>
      <c r="E566" t="s">
        <v>37</v>
      </c>
      <c r="F566">
        <v>404</v>
      </c>
      <c r="G566" t="s">
        <v>1428</v>
      </c>
      <c r="H566" s="1">
        <v>46166.641090173609</v>
      </c>
      <c r="I566" s="1">
        <v>46166.6410903125</v>
      </c>
      <c r="J566" t="s">
        <v>15</v>
      </c>
      <c r="K566" t="s">
        <v>16</v>
      </c>
      <c r="L566" s="1">
        <v>46166.641090324076</v>
      </c>
    </row>
    <row r="567" spans="1:12" hidden="1" x14ac:dyDescent="0.25">
      <c r="A567" t="s">
        <v>1430</v>
      </c>
      <c r="B567" t="str">
        <f>resultado_db_usuario_10[[#This Row],[metodo]]&amp;" "&amp;SUBSTITUTE(resultado_db_usuario_10[[#This Row],[rota]],"/api/v1","")</f>
        <v>GET /pecas/:id</v>
      </c>
      <c r="C567" t="s">
        <v>12</v>
      </c>
      <c r="D567" t="s">
        <v>173</v>
      </c>
      <c r="E567" t="s">
        <v>37</v>
      </c>
      <c r="F567">
        <v>404</v>
      </c>
      <c r="G567" t="s">
        <v>628</v>
      </c>
      <c r="H567" s="1">
        <v>46166.641090196761</v>
      </c>
      <c r="I567" s="1">
        <v>46166.641090347221</v>
      </c>
      <c r="J567" t="s">
        <v>15</v>
      </c>
      <c r="K567" t="s">
        <v>16</v>
      </c>
      <c r="L567" s="1">
        <v>46166.641090358797</v>
      </c>
    </row>
    <row r="568" spans="1:12" hidden="1" x14ac:dyDescent="0.25">
      <c r="A568" t="s">
        <v>1432</v>
      </c>
      <c r="B568" t="str">
        <f>resultado_db_usuario_10[[#This Row],[metodo]]&amp;" "&amp;SUBSTITUTE(resultado_db_usuario_10[[#This Row],[rota]],"/api/v1","")</f>
        <v>GET /pecas/:id</v>
      </c>
      <c r="C568" t="s">
        <v>12</v>
      </c>
      <c r="D568" t="s">
        <v>173</v>
      </c>
      <c r="E568" t="s">
        <v>37</v>
      </c>
      <c r="F568">
        <v>404</v>
      </c>
      <c r="G568" t="s">
        <v>400</v>
      </c>
      <c r="H568" s="1">
        <v>46166.641090254627</v>
      </c>
      <c r="I568" s="1">
        <v>46166.641090381941</v>
      </c>
      <c r="J568" t="s">
        <v>15</v>
      </c>
      <c r="K568" t="s">
        <v>16</v>
      </c>
      <c r="L568" s="1">
        <v>46166.641090393518</v>
      </c>
    </row>
    <row r="569" spans="1:12" x14ac:dyDescent="0.25">
      <c r="A569" t="s">
        <v>1434</v>
      </c>
      <c r="B569" t="str">
        <f>resultado_db_usuario_10[[#This Row],[metodo]]&amp;" "&amp;SUBSTITUTE(resultado_db_usuario_10[[#This Row],[rota]],"/api/v1","")</f>
        <v>GET /pecas/:id</v>
      </c>
      <c r="C569" t="s">
        <v>12</v>
      </c>
      <c r="D569" t="s">
        <v>1424</v>
      </c>
      <c r="E569" t="s">
        <v>37</v>
      </c>
      <c r="F569">
        <v>200</v>
      </c>
      <c r="G569" s="2">
        <v>9.18</v>
      </c>
      <c r="H569" s="1">
        <v>46166.641090358797</v>
      </c>
      <c r="I569" s="1">
        <v>46166.641090462967</v>
      </c>
      <c r="J569" t="s">
        <v>15</v>
      </c>
      <c r="K569" t="s">
        <v>16</v>
      </c>
      <c r="L569" s="1">
        <v>46166.641090474535</v>
      </c>
    </row>
    <row r="570" spans="1:12" x14ac:dyDescent="0.25">
      <c r="A570" t="s">
        <v>1449</v>
      </c>
      <c r="B570" t="str">
        <f>resultado_db_usuario_10[[#This Row],[metodo]]&amp;" "&amp;SUBSTITUTE(resultado_db_usuario_10[[#This Row],[rota]],"/api/v1","")</f>
        <v>GET /pecas/:id</v>
      </c>
      <c r="C570" t="s">
        <v>12</v>
      </c>
      <c r="D570" t="s">
        <v>1441</v>
      </c>
      <c r="E570" t="s">
        <v>37</v>
      </c>
      <c r="F570">
        <v>200</v>
      </c>
      <c r="G570" s="2">
        <v>7.99</v>
      </c>
      <c r="H570" s="1">
        <v>46166.641090868055</v>
      </c>
      <c r="I570" s="1">
        <v>46166.641090960649</v>
      </c>
      <c r="J570" t="s">
        <v>15</v>
      </c>
      <c r="K570" t="s">
        <v>16</v>
      </c>
      <c r="L570" s="1">
        <v>46166.641090983794</v>
      </c>
    </row>
    <row r="571" spans="1:12" x14ac:dyDescent="0.25">
      <c r="A571" t="s">
        <v>1463</v>
      </c>
      <c r="B571" t="str">
        <f>resultado_db_usuario_10[[#This Row],[metodo]]&amp;" "&amp;SUBSTITUTE(resultado_db_usuario_10[[#This Row],[rota]],"/api/v1","")</f>
        <v>GET /pecas/:id</v>
      </c>
      <c r="C571" t="s">
        <v>12</v>
      </c>
      <c r="D571" t="s">
        <v>1455</v>
      </c>
      <c r="E571" t="s">
        <v>37</v>
      </c>
      <c r="F571">
        <v>200</v>
      </c>
      <c r="G571" s="2">
        <v>9.25</v>
      </c>
      <c r="H571" s="1">
        <v>46166.641091319441</v>
      </c>
      <c r="I571" s="1">
        <v>46166.641091435187</v>
      </c>
      <c r="J571" t="s">
        <v>15</v>
      </c>
      <c r="K571" t="s">
        <v>16</v>
      </c>
      <c r="L571" s="1">
        <v>46166.641091446756</v>
      </c>
    </row>
    <row r="572" spans="1:12" x14ac:dyDescent="0.25">
      <c r="A572" t="s">
        <v>1479</v>
      </c>
      <c r="B572" t="str">
        <f>resultado_db_usuario_10[[#This Row],[metodo]]&amp;" "&amp;SUBSTITUTE(resultado_db_usuario_10[[#This Row],[rota]],"/api/v1","")</f>
        <v>GET /pecas/:id</v>
      </c>
      <c r="C572" t="s">
        <v>12</v>
      </c>
      <c r="D572" t="s">
        <v>1472</v>
      </c>
      <c r="E572" t="s">
        <v>37</v>
      </c>
      <c r="F572">
        <v>200</v>
      </c>
      <c r="G572" s="2">
        <v>8.6199999999999992</v>
      </c>
      <c r="H572" s="1">
        <v>46166.641091724538</v>
      </c>
      <c r="I572" s="1">
        <v>46166.6410918287</v>
      </c>
      <c r="J572" t="s">
        <v>15</v>
      </c>
      <c r="K572" t="s">
        <v>16</v>
      </c>
      <c r="L572" s="1">
        <v>46166.641091851852</v>
      </c>
    </row>
    <row r="573" spans="1:12" x14ac:dyDescent="0.25">
      <c r="A573" t="s">
        <v>1498</v>
      </c>
      <c r="B573" t="str">
        <f>resultado_db_usuario_10[[#This Row],[metodo]]&amp;" "&amp;SUBSTITUTE(resultado_db_usuario_10[[#This Row],[rota]],"/api/v1","")</f>
        <v>GET /pecas/:id</v>
      </c>
      <c r="C573" t="s">
        <v>12</v>
      </c>
      <c r="D573" t="s">
        <v>1492</v>
      </c>
      <c r="E573" t="s">
        <v>37</v>
      </c>
      <c r="F573">
        <v>200</v>
      </c>
      <c r="G573" s="2">
        <v>9.4</v>
      </c>
      <c r="H573" s="1">
        <v>46166.641092303238</v>
      </c>
      <c r="I573" s="1">
        <v>46166.641092407408</v>
      </c>
      <c r="J573" t="s">
        <v>15</v>
      </c>
      <c r="K573" t="s">
        <v>16</v>
      </c>
      <c r="L573" s="1">
        <v>46166.641092430553</v>
      </c>
    </row>
    <row r="574" spans="1:12" hidden="1" x14ac:dyDescent="0.25">
      <c r="A574" t="s">
        <v>1508</v>
      </c>
      <c r="B574" t="str">
        <f>resultado_db_usuario_10[[#This Row],[metodo]]&amp;" "&amp;SUBSTITUTE(resultado_db_usuario_10[[#This Row],[rota]],"/api/v1","")</f>
        <v>GET /pecas/:id</v>
      </c>
      <c r="C574" t="s">
        <v>12</v>
      </c>
      <c r="D574" t="s">
        <v>173</v>
      </c>
      <c r="E574" t="s">
        <v>37</v>
      </c>
      <c r="F574">
        <v>404</v>
      </c>
      <c r="G574" t="s">
        <v>1509</v>
      </c>
      <c r="H574" s="1">
        <v>46166.641092546299</v>
      </c>
      <c r="I574" s="1">
        <v>46166.641092638885</v>
      </c>
      <c r="J574" t="s">
        <v>15</v>
      </c>
      <c r="K574" t="s">
        <v>16</v>
      </c>
      <c r="L574" s="1">
        <v>46166.641092662037</v>
      </c>
    </row>
    <row r="575" spans="1:12" x14ac:dyDescent="0.25">
      <c r="A575" t="s">
        <v>1514</v>
      </c>
      <c r="B575" t="str">
        <f>resultado_db_usuario_10[[#This Row],[metodo]]&amp;" "&amp;SUBSTITUTE(resultado_db_usuario_10[[#This Row],[rota]],"/api/v1","")</f>
        <v>GET /pecas/:id</v>
      </c>
      <c r="C575" t="s">
        <v>12</v>
      </c>
      <c r="D575" t="s">
        <v>1506</v>
      </c>
      <c r="E575" t="s">
        <v>37</v>
      </c>
      <c r="F575">
        <v>200</v>
      </c>
      <c r="G575" s="2">
        <v>6.69</v>
      </c>
      <c r="H575" s="1">
        <v>46166.641092662037</v>
      </c>
      <c r="I575" s="1">
        <v>46166.641092743055</v>
      </c>
      <c r="J575" t="s">
        <v>15</v>
      </c>
      <c r="K575" t="s">
        <v>16</v>
      </c>
      <c r="L575" s="1">
        <v>46166.641092754631</v>
      </c>
    </row>
    <row r="576" spans="1:12" hidden="1" x14ac:dyDescent="0.25">
      <c r="A576" t="s">
        <v>1522</v>
      </c>
      <c r="B576" t="str">
        <f>resultado_db_usuario_10[[#This Row],[metodo]]&amp;" "&amp;SUBSTITUTE(resultado_db_usuario_10[[#This Row],[rota]],"/api/v1","")</f>
        <v>GET /pecas/:id</v>
      </c>
      <c r="C576" t="s">
        <v>12</v>
      </c>
      <c r="D576" t="s">
        <v>173</v>
      </c>
      <c r="E576" t="s">
        <v>37</v>
      </c>
      <c r="F576">
        <v>404</v>
      </c>
      <c r="G576" t="s">
        <v>1523</v>
      </c>
      <c r="H576" s="1">
        <v>46166.641092789352</v>
      </c>
      <c r="I576" s="1">
        <v>46166.641092939812</v>
      </c>
      <c r="J576" t="s">
        <v>15</v>
      </c>
      <c r="K576" t="s">
        <v>16</v>
      </c>
      <c r="L576" s="1">
        <v>46166.641092962964</v>
      </c>
    </row>
    <row r="577" spans="1:12" x14ac:dyDescent="0.25">
      <c r="A577" t="s">
        <v>1526</v>
      </c>
      <c r="B577" t="str">
        <f>resultado_db_usuario_10[[#This Row],[metodo]]&amp;" "&amp;SUBSTITUTE(resultado_db_usuario_10[[#This Row],[rota]],"/api/v1","")</f>
        <v>GET /pecas/:id</v>
      </c>
      <c r="C577" t="s">
        <v>12</v>
      </c>
      <c r="D577" t="s">
        <v>1518</v>
      </c>
      <c r="E577" t="s">
        <v>37</v>
      </c>
      <c r="F577">
        <v>200</v>
      </c>
      <c r="G577" s="2">
        <v>9.2799999999999994</v>
      </c>
      <c r="H577" s="1">
        <v>46166.64109297454</v>
      </c>
      <c r="I577" s="1">
        <v>46166.641093078702</v>
      </c>
      <c r="J577" t="s">
        <v>15</v>
      </c>
      <c r="K577" t="s">
        <v>16</v>
      </c>
      <c r="L577" s="1">
        <v>46166.641093090278</v>
      </c>
    </row>
    <row r="578" spans="1:12" x14ac:dyDescent="0.25">
      <c r="A578" t="s">
        <v>1539</v>
      </c>
      <c r="B578" t="str">
        <f>resultado_db_usuario_10[[#This Row],[metodo]]&amp;" "&amp;SUBSTITUTE(resultado_db_usuario_10[[#This Row],[rota]],"/api/v1","")</f>
        <v>GET /pecas/:id</v>
      </c>
      <c r="C578" t="s">
        <v>12</v>
      </c>
      <c r="D578" t="s">
        <v>1532</v>
      </c>
      <c r="E578" t="s">
        <v>37</v>
      </c>
      <c r="F578">
        <v>200</v>
      </c>
      <c r="G578" s="2">
        <v>9.23</v>
      </c>
      <c r="H578" s="1">
        <v>46166.641093437502</v>
      </c>
      <c r="I578" s="1">
        <v>46166.641093541664</v>
      </c>
      <c r="J578" t="s">
        <v>15</v>
      </c>
      <c r="K578" t="s">
        <v>16</v>
      </c>
      <c r="L578" s="1">
        <v>46166.64109355324</v>
      </c>
    </row>
    <row r="579" spans="1:12" x14ac:dyDescent="0.25">
      <c r="A579" t="s">
        <v>1556</v>
      </c>
      <c r="B579" t="str">
        <f>resultado_db_usuario_10[[#This Row],[metodo]]&amp;" "&amp;SUBSTITUTE(resultado_db_usuario_10[[#This Row],[rota]],"/api/v1","")</f>
        <v>GET /pecas/:id</v>
      </c>
      <c r="C579" t="s">
        <v>12</v>
      </c>
      <c r="D579" t="s">
        <v>1548</v>
      </c>
      <c r="E579" t="s">
        <v>37</v>
      </c>
      <c r="F579">
        <v>200</v>
      </c>
      <c r="G579" s="2">
        <v>10.5</v>
      </c>
      <c r="H579" s="1">
        <v>46166.64109391204</v>
      </c>
      <c r="I579" s="1">
        <v>46166.641094027778</v>
      </c>
      <c r="J579" t="s">
        <v>15</v>
      </c>
      <c r="K579" t="s">
        <v>16</v>
      </c>
      <c r="L579" s="1">
        <v>46166.641094050923</v>
      </c>
    </row>
    <row r="580" spans="1:12" x14ac:dyDescent="0.25">
      <c r="A580" t="s">
        <v>1573</v>
      </c>
      <c r="B580" t="str">
        <f>resultado_db_usuario_10[[#This Row],[metodo]]&amp;" "&amp;SUBSTITUTE(resultado_db_usuario_10[[#This Row],[rota]],"/api/v1","")</f>
        <v>GET /pecas/:id</v>
      </c>
      <c r="C580" t="s">
        <v>12</v>
      </c>
      <c r="D580" t="s">
        <v>1565</v>
      </c>
      <c r="E580" t="s">
        <v>37</v>
      </c>
      <c r="F580">
        <v>200</v>
      </c>
      <c r="G580" s="2">
        <v>6.97</v>
      </c>
      <c r="H580" s="1">
        <v>46166.641094363426</v>
      </c>
      <c r="I580" s="1">
        <v>46166.641094444443</v>
      </c>
      <c r="J580" t="s">
        <v>15</v>
      </c>
      <c r="K580" t="s">
        <v>16</v>
      </c>
      <c r="L580" s="1">
        <v>46166.641094467595</v>
      </c>
    </row>
    <row r="581" spans="1:12" x14ac:dyDescent="0.25">
      <c r="A581" t="s">
        <v>1588</v>
      </c>
      <c r="B581" t="str">
        <f>resultado_db_usuario_10[[#This Row],[metodo]]&amp;" "&amp;SUBSTITUTE(resultado_db_usuario_10[[#This Row],[rota]],"/api/v1","")</f>
        <v>GET /pecas/:id</v>
      </c>
      <c r="C581" t="s">
        <v>12</v>
      </c>
      <c r="D581" t="s">
        <v>1583</v>
      </c>
      <c r="E581" t="s">
        <v>37</v>
      </c>
      <c r="F581">
        <v>200</v>
      </c>
      <c r="G581" s="2">
        <v>10.67</v>
      </c>
      <c r="H581" s="1">
        <v>46166.641094803243</v>
      </c>
      <c r="I581" s="1">
        <v>46166.641094918981</v>
      </c>
      <c r="J581" t="s">
        <v>15</v>
      </c>
      <c r="K581" t="s">
        <v>16</v>
      </c>
      <c r="L581" s="1">
        <v>46166.641094942126</v>
      </c>
    </row>
    <row r="582" spans="1:12" x14ac:dyDescent="0.25">
      <c r="A582" t="s">
        <v>1596</v>
      </c>
      <c r="B582" t="str">
        <f>resultado_db_usuario_10[[#This Row],[metodo]]&amp;" "&amp;SUBSTITUTE(resultado_db_usuario_10[[#This Row],[rota]],"/api/v1","")</f>
        <v>GET /pecas/:id</v>
      </c>
      <c r="C582" t="s">
        <v>12</v>
      </c>
      <c r="D582" t="s">
        <v>1590</v>
      </c>
      <c r="E582" t="s">
        <v>37</v>
      </c>
      <c r="F582">
        <v>200</v>
      </c>
      <c r="G582" s="2">
        <v>5.37</v>
      </c>
      <c r="H582" s="1">
        <v>46166.641095023151</v>
      </c>
      <c r="I582" s="1">
        <v>46166.641095081017</v>
      </c>
      <c r="J582" t="s">
        <v>15</v>
      </c>
      <c r="K582" t="s">
        <v>16</v>
      </c>
      <c r="L582" s="1">
        <v>46166.641095092593</v>
      </c>
    </row>
    <row r="583" spans="1:12" hidden="1" x14ac:dyDescent="0.25">
      <c r="A583" t="s">
        <v>1600</v>
      </c>
      <c r="B583" t="str">
        <f>resultado_db_usuario_10[[#This Row],[metodo]]&amp;" "&amp;SUBSTITUTE(resultado_db_usuario_10[[#This Row],[rota]],"/api/v1","")</f>
        <v>GET /pecas/:id</v>
      </c>
      <c r="C583" t="s">
        <v>12</v>
      </c>
      <c r="D583" t="s">
        <v>173</v>
      </c>
      <c r="E583" t="s">
        <v>37</v>
      </c>
      <c r="F583">
        <v>404</v>
      </c>
      <c r="G583" t="s">
        <v>686</v>
      </c>
      <c r="H583" s="1">
        <v>46166.641095069448</v>
      </c>
      <c r="I583" s="1">
        <v>46166.64109513889</v>
      </c>
      <c r="J583" t="s">
        <v>15</v>
      </c>
      <c r="K583" t="s">
        <v>16</v>
      </c>
      <c r="L583" s="1">
        <v>46166.641095150466</v>
      </c>
    </row>
    <row r="584" spans="1:12" x14ac:dyDescent="0.25">
      <c r="A584" t="s">
        <v>1602</v>
      </c>
      <c r="B584" t="str">
        <f>resultado_db_usuario_10[[#This Row],[metodo]]&amp;" "&amp;SUBSTITUTE(resultado_db_usuario_10[[#This Row],[rota]],"/api/v1","")</f>
        <v>GET /pecas/:id</v>
      </c>
      <c r="C584" t="s">
        <v>12</v>
      </c>
      <c r="D584" t="s">
        <v>1598</v>
      </c>
      <c r="E584" t="s">
        <v>37</v>
      </c>
      <c r="F584">
        <v>200</v>
      </c>
      <c r="G584" s="2">
        <v>4.2699999999999996</v>
      </c>
      <c r="H584" s="1">
        <v>46166.641095162035</v>
      </c>
      <c r="I584" s="1">
        <v>46166.641095208332</v>
      </c>
      <c r="J584" t="s">
        <v>15</v>
      </c>
      <c r="K584" t="s">
        <v>16</v>
      </c>
      <c r="L584" s="1">
        <v>46166.641095231484</v>
      </c>
    </row>
    <row r="585" spans="1:12" x14ac:dyDescent="0.25">
      <c r="A585" t="s">
        <v>1611</v>
      </c>
      <c r="B585" t="str">
        <f>resultado_db_usuario_10[[#This Row],[metodo]]&amp;" "&amp;SUBSTITUTE(resultado_db_usuario_10[[#This Row],[rota]],"/api/v1","")</f>
        <v>GET /pecas/:id</v>
      </c>
      <c r="C585" t="s">
        <v>12</v>
      </c>
      <c r="D585" t="s">
        <v>1607</v>
      </c>
      <c r="E585" t="s">
        <v>37</v>
      </c>
      <c r="F585">
        <v>200</v>
      </c>
      <c r="G585" s="2">
        <v>8.1</v>
      </c>
      <c r="H585" s="1">
        <v>46166.641095439816</v>
      </c>
      <c r="I585" s="1">
        <v>46166.64109553241</v>
      </c>
      <c r="J585" t="s">
        <v>15</v>
      </c>
      <c r="K585" t="s">
        <v>16</v>
      </c>
      <c r="L585" s="1">
        <v>46166.641095543979</v>
      </c>
    </row>
    <row r="586" spans="1:12" x14ac:dyDescent="0.25">
      <c r="A586" t="s">
        <v>1623</v>
      </c>
      <c r="B586" t="str">
        <f>resultado_db_usuario_10[[#This Row],[metodo]]&amp;" "&amp;SUBSTITUTE(resultado_db_usuario_10[[#This Row],[rota]],"/api/v1","")</f>
        <v>GET /pecas/:id</v>
      </c>
      <c r="C586" t="s">
        <v>12</v>
      </c>
      <c r="D586" t="s">
        <v>1617</v>
      </c>
      <c r="E586" t="s">
        <v>37</v>
      </c>
      <c r="F586">
        <v>200</v>
      </c>
      <c r="G586" s="2">
        <v>10.83</v>
      </c>
      <c r="H586" s="1">
        <v>46166.641095787039</v>
      </c>
      <c r="I586" s="1">
        <v>46166.641095914354</v>
      </c>
      <c r="J586" t="s">
        <v>15</v>
      </c>
      <c r="K586" t="s">
        <v>16</v>
      </c>
      <c r="L586" s="1">
        <v>46166.641095937499</v>
      </c>
    </row>
    <row r="587" spans="1:12" x14ac:dyDescent="0.25">
      <c r="A587" t="s">
        <v>1646</v>
      </c>
      <c r="B587" t="str">
        <f>resultado_db_usuario_10[[#This Row],[metodo]]&amp;" "&amp;SUBSTITUTE(resultado_db_usuario_10[[#This Row],[rota]],"/api/v1","")</f>
        <v>GET /pecas/:id</v>
      </c>
      <c r="C587" t="s">
        <v>12</v>
      </c>
      <c r="D587" t="s">
        <v>1641</v>
      </c>
      <c r="E587" t="s">
        <v>37</v>
      </c>
      <c r="F587">
        <v>200</v>
      </c>
      <c r="G587" s="2">
        <v>5.09</v>
      </c>
      <c r="H587" s="1">
        <v>46166.641096539352</v>
      </c>
      <c r="I587" s="1">
        <v>46166.641096597225</v>
      </c>
      <c r="J587" t="s">
        <v>15</v>
      </c>
      <c r="K587" t="s">
        <v>16</v>
      </c>
      <c r="L587" s="1">
        <v>46166.641096620369</v>
      </c>
    </row>
    <row r="588" spans="1:12" hidden="1" x14ac:dyDescent="0.25">
      <c r="A588" t="s">
        <v>1654</v>
      </c>
      <c r="B588" t="str">
        <f>resultado_db_usuario_10[[#This Row],[metodo]]&amp;" "&amp;SUBSTITUTE(resultado_db_usuario_10[[#This Row],[rota]],"/api/v1","")</f>
        <v>GET /pecas/:id</v>
      </c>
      <c r="C588" t="s">
        <v>12</v>
      </c>
      <c r="D588" t="s">
        <v>173</v>
      </c>
      <c r="E588" t="s">
        <v>37</v>
      </c>
      <c r="F588">
        <v>404</v>
      </c>
      <c r="G588" t="s">
        <v>1655</v>
      </c>
      <c r="H588" s="1">
        <v>46166.641096817133</v>
      </c>
      <c r="I588" s="1">
        <v>46166.641096863423</v>
      </c>
      <c r="J588" t="s">
        <v>15</v>
      </c>
      <c r="K588" t="s">
        <v>16</v>
      </c>
      <c r="L588" s="1">
        <v>46166.641096886575</v>
      </c>
    </row>
    <row r="589" spans="1:12" x14ac:dyDescent="0.25">
      <c r="A589" t="s">
        <v>1664</v>
      </c>
      <c r="B589" t="str">
        <f>resultado_db_usuario_10[[#This Row],[metodo]]&amp;" "&amp;SUBSTITUTE(resultado_db_usuario_10[[#This Row],[rota]],"/api/v1","")</f>
        <v>GET /pecas/:id</v>
      </c>
      <c r="C589" t="s">
        <v>12</v>
      </c>
      <c r="D589" t="s">
        <v>1658</v>
      </c>
      <c r="E589" t="s">
        <v>37</v>
      </c>
      <c r="F589">
        <v>200</v>
      </c>
      <c r="G589" s="2">
        <v>12.43</v>
      </c>
      <c r="H589" s="1">
        <v>46166.641096990737</v>
      </c>
      <c r="I589" s="1">
        <v>46166.641097129628</v>
      </c>
      <c r="J589" t="s">
        <v>15</v>
      </c>
      <c r="K589" t="s">
        <v>16</v>
      </c>
      <c r="L589" s="1">
        <v>46166.64109715278</v>
      </c>
    </row>
    <row r="590" spans="1:12" hidden="1" x14ac:dyDescent="0.25">
      <c r="A590" t="s">
        <v>1668</v>
      </c>
      <c r="B590" t="str">
        <f>resultado_db_usuario_10[[#This Row],[metodo]]&amp;" "&amp;SUBSTITUTE(resultado_db_usuario_10[[#This Row],[rota]],"/api/v1","")</f>
        <v>GET /pecas/:id</v>
      </c>
      <c r="C590" t="s">
        <v>12</v>
      </c>
      <c r="D590" t="s">
        <v>173</v>
      </c>
      <c r="E590" t="s">
        <v>37</v>
      </c>
      <c r="F590">
        <v>404</v>
      </c>
      <c r="G590" t="s">
        <v>1669</v>
      </c>
      <c r="H590" s="1">
        <v>46166.641097199077</v>
      </c>
      <c r="I590" s="1">
        <v>46166.641097233798</v>
      </c>
      <c r="J590" t="s">
        <v>15</v>
      </c>
      <c r="K590" t="s">
        <v>16</v>
      </c>
      <c r="L590" s="1">
        <v>46166.641097245367</v>
      </c>
    </row>
    <row r="591" spans="1:12" x14ac:dyDescent="0.25">
      <c r="A591" t="s">
        <v>1677</v>
      </c>
      <c r="B591" t="str">
        <f>resultado_db_usuario_10[[#This Row],[metodo]]&amp;" "&amp;SUBSTITUTE(resultado_db_usuario_10[[#This Row],[rota]],"/api/v1","")</f>
        <v>GET /pecas/:id</v>
      </c>
      <c r="C591" t="s">
        <v>12</v>
      </c>
      <c r="D591" t="s">
        <v>1671</v>
      </c>
      <c r="E591" t="s">
        <v>37</v>
      </c>
      <c r="F591">
        <v>200</v>
      </c>
      <c r="G591" s="2">
        <v>6.67</v>
      </c>
      <c r="H591" s="1">
        <v>46166.641097280095</v>
      </c>
      <c r="I591" s="1">
        <v>46166.641097361113</v>
      </c>
      <c r="J591" t="s">
        <v>15</v>
      </c>
      <c r="K591" t="s">
        <v>16</v>
      </c>
      <c r="L591" s="1">
        <v>46166.641097372689</v>
      </c>
    </row>
    <row r="592" spans="1:12" x14ac:dyDescent="0.25">
      <c r="A592" t="s">
        <v>1686</v>
      </c>
      <c r="B592" t="str">
        <f>resultado_db_usuario_10[[#This Row],[metodo]]&amp;" "&amp;SUBSTITUTE(resultado_db_usuario_10[[#This Row],[rota]],"/api/v1","")</f>
        <v>GET /pecas/:id</v>
      </c>
      <c r="C592" t="s">
        <v>12</v>
      </c>
      <c r="D592" t="s">
        <v>1683</v>
      </c>
      <c r="E592" t="s">
        <v>37</v>
      </c>
      <c r="F592">
        <v>200</v>
      </c>
      <c r="G592" s="2">
        <v>4.0999999999999996</v>
      </c>
      <c r="H592" s="1">
        <v>46166.64109769676</v>
      </c>
      <c r="I592" s="1">
        <v>46166.641097754633</v>
      </c>
      <c r="J592" t="s">
        <v>15</v>
      </c>
      <c r="K592" t="s">
        <v>16</v>
      </c>
      <c r="L592" s="1">
        <v>46166.641097766202</v>
      </c>
    </row>
    <row r="593" spans="1:12" x14ac:dyDescent="0.25">
      <c r="A593" t="s">
        <v>1708</v>
      </c>
      <c r="B593" t="str">
        <f>resultado_db_usuario_10[[#This Row],[metodo]]&amp;" "&amp;SUBSTITUTE(resultado_db_usuario_10[[#This Row],[rota]],"/api/v1","")</f>
        <v>GET /pecas/:id</v>
      </c>
      <c r="C593" t="s">
        <v>12</v>
      </c>
      <c r="D593" t="s">
        <v>1704</v>
      </c>
      <c r="E593" t="s">
        <v>37</v>
      </c>
      <c r="F593">
        <v>200</v>
      </c>
      <c r="G593" s="2">
        <v>3.92</v>
      </c>
      <c r="H593" s="1">
        <v>46166.641098333334</v>
      </c>
      <c r="I593" s="1">
        <v>46166.64109837963</v>
      </c>
      <c r="J593" t="s">
        <v>15</v>
      </c>
      <c r="K593" t="s">
        <v>16</v>
      </c>
      <c r="L593" s="1">
        <v>46166.641098391206</v>
      </c>
    </row>
    <row r="594" spans="1:12" hidden="1" x14ac:dyDescent="0.25">
      <c r="A594" t="s">
        <v>1722</v>
      </c>
      <c r="B594" t="str">
        <f>resultado_db_usuario_10[[#This Row],[metodo]]&amp;" "&amp;SUBSTITUTE(resultado_db_usuario_10[[#This Row],[rota]],"/api/v1","")</f>
        <v>GET /pecas/:id</v>
      </c>
      <c r="C594" t="s">
        <v>12</v>
      </c>
      <c r="D594" t="s">
        <v>173</v>
      </c>
      <c r="E594" t="s">
        <v>37</v>
      </c>
      <c r="F594">
        <v>404</v>
      </c>
      <c r="G594" t="s">
        <v>1550</v>
      </c>
      <c r="H594" s="1">
        <v>46166.641098645836</v>
      </c>
      <c r="I594" s="1">
        <v>46166.641098738422</v>
      </c>
      <c r="J594" t="s">
        <v>15</v>
      </c>
      <c r="K594" t="s">
        <v>16</v>
      </c>
      <c r="L594" s="1">
        <v>46166.641098761575</v>
      </c>
    </row>
    <row r="595" spans="1:12" x14ac:dyDescent="0.25">
      <c r="A595" t="s">
        <v>1724</v>
      </c>
      <c r="B595" t="str">
        <f>resultado_db_usuario_10[[#This Row],[metodo]]&amp;" "&amp;SUBSTITUTE(resultado_db_usuario_10[[#This Row],[rota]],"/api/v1","")</f>
        <v>GET /pecas/:id</v>
      </c>
      <c r="C595" t="s">
        <v>12</v>
      </c>
      <c r="D595" t="s">
        <v>1720</v>
      </c>
      <c r="E595" t="s">
        <v>37</v>
      </c>
      <c r="F595">
        <v>200</v>
      </c>
      <c r="G595" s="2">
        <v>4.41</v>
      </c>
      <c r="H595" s="1">
        <v>46166.641098749998</v>
      </c>
      <c r="I595" s="1">
        <v>46166.641098807871</v>
      </c>
      <c r="J595" t="s">
        <v>15</v>
      </c>
      <c r="K595" t="s">
        <v>16</v>
      </c>
      <c r="L595" s="1">
        <v>46166.641098819448</v>
      </c>
    </row>
    <row r="596" spans="1:12" x14ac:dyDescent="0.25">
      <c r="A596" t="s">
        <v>1730</v>
      </c>
      <c r="B596" t="str">
        <f>resultado_db_usuario_10[[#This Row],[metodo]]&amp;" "&amp;SUBSTITUTE(resultado_db_usuario_10[[#This Row],[rota]],"/api/v1","")</f>
        <v>GET /pecas/:id</v>
      </c>
      <c r="C596" t="s">
        <v>12</v>
      </c>
      <c r="D596" t="s">
        <v>1728</v>
      </c>
      <c r="E596" t="s">
        <v>37</v>
      </c>
      <c r="F596">
        <v>200</v>
      </c>
      <c r="G596" s="2">
        <v>2.64</v>
      </c>
      <c r="H596" s="1">
        <v>46166.641098912034</v>
      </c>
      <c r="I596" s="1">
        <v>46166.641098946762</v>
      </c>
      <c r="J596" t="s">
        <v>15</v>
      </c>
      <c r="K596" t="s">
        <v>16</v>
      </c>
      <c r="L596" s="1">
        <v>46166.641098958331</v>
      </c>
    </row>
    <row r="597" spans="1:12" x14ac:dyDescent="0.25">
      <c r="A597" t="s">
        <v>1741</v>
      </c>
      <c r="B597" t="str">
        <f>resultado_db_usuario_10[[#This Row],[metodo]]&amp;" "&amp;SUBSTITUTE(resultado_db_usuario_10[[#This Row],[rota]],"/api/v1","")</f>
        <v>GET /pecas/:id</v>
      </c>
      <c r="C597" t="s">
        <v>12</v>
      </c>
      <c r="D597" t="s">
        <v>1739</v>
      </c>
      <c r="E597" t="s">
        <v>37</v>
      </c>
      <c r="F597">
        <v>200</v>
      </c>
      <c r="G597" s="2">
        <v>1.75</v>
      </c>
      <c r="H597" s="1">
        <v>46166.641099270833</v>
      </c>
      <c r="I597" s="1">
        <v>46166.641099293978</v>
      </c>
      <c r="J597" t="s">
        <v>15</v>
      </c>
      <c r="K597" t="s">
        <v>16</v>
      </c>
      <c r="L597" s="1">
        <v>46166.641099305554</v>
      </c>
    </row>
    <row r="598" spans="1:12" x14ac:dyDescent="0.25">
      <c r="A598" t="s">
        <v>1751</v>
      </c>
      <c r="B598" t="str">
        <f>resultado_db_usuario_10[[#This Row],[metodo]]&amp;" "&amp;SUBSTITUTE(resultado_db_usuario_10[[#This Row],[rota]],"/api/v1","")</f>
        <v>GET /pecas/:id</v>
      </c>
      <c r="C598" t="s">
        <v>12</v>
      </c>
      <c r="D598" t="s">
        <v>1750</v>
      </c>
      <c r="E598" t="s">
        <v>37</v>
      </c>
      <c r="F598">
        <v>200</v>
      </c>
      <c r="G598" s="2">
        <v>1.96</v>
      </c>
      <c r="H598" s="1">
        <v>46166.641099560184</v>
      </c>
      <c r="I598" s="1">
        <v>46166.641099583336</v>
      </c>
      <c r="J598" t="s">
        <v>15</v>
      </c>
      <c r="K598" t="s">
        <v>16</v>
      </c>
      <c r="L598" s="1">
        <v>46166.641099606481</v>
      </c>
    </row>
    <row r="599" spans="1:12" x14ac:dyDescent="0.25">
      <c r="A599" t="s">
        <v>1761</v>
      </c>
      <c r="B599" t="str">
        <f>resultado_db_usuario_10[[#This Row],[metodo]]&amp;" "&amp;SUBSTITUTE(resultado_db_usuario_10[[#This Row],[rota]],"/api/v1","")</f>
        <v>GET /pecas/:id</v>
      </c>
      <c r="C599" t="s">
        <v>12</v>
      </c>
      <c r="D599" t="s">
        <v>1758</v>
      </c>
      <c r="E599" t="s">
        <v>37</v>
      </c>
      <c r="F599">
        <v>200</v>
      </c>
      <c r="G599" s="2">
        <v>3.86</v>
      </c>
      <c r="H599" s="1">
        <v>46166.641099814813</v>
      </c>
      <c r="I599" s="1">
        <v>46166.64109986111</v>
      </c>
      <c r="J599" t="s">
        <v>15</v>
      </c>
      <c r="K599" t="s">
        <v>16</v>
      </c>
      <c r="L599" s="1">
        <v>46166.641099872686</v>
      </c>
    </row>
    <row r="600" spans="1:12" x14ac:dyDescent="0.25">
      <c r="A600" t="s">
        <v>1771</v>
      </c>
      <c r="B600" t="str">
        <f>resultado_db_usuario_10[[#This Row],[metodo]]&amp;" "&amp;SUBSTITUTE(resultado_db_usuario_10[[#This Row],[rota]],"/api/v1","")</f>
        <v>GET /pecas/:id</v>
      </c>
      <c r="C600" t="s">
        <v>12</v>
      </c>
      <c r="D600" t="s">
        <v>36</v>
      </c>
      <c r="E600" t="s">
        <v>37</v>
      </c>
      <c r="F600">
        <v>200</v>
      </c>
      <c r="G600" s="2">
        <v>3.11</v>
      </c>
      <c r="H600" s="1">
        <v>46166.641100138891</v>
      </c>
      <c r="I600" s="1">
        <v>46166.641100173612</v>
      </c>
      <c r="J600" t="s">
        <v>15</v>
      </c>
      <c r="K600" t="s">
        <v>16</v>
      </c>
      <c r="L600" s="1">
        <v>46166.641100185188</v>
      </c>
    </row>
    <row r="601" spans="1:12" x14ac:dyDescent="0.25">
      <c r="A601" t="s">
        <v>1775</v>
      </c>
      <c r="B601" t="str">
        <f>resultado_db_usuario_10[[#This Row],[metodo]]&amp;" "&amp;SUBSTITUTE(resultado_db_usuario_10[[#This Row],[rota]],"/api/v1","")</f>
        <v>GET /pecas/:id</v>
      </c>
      <c r="C601" t="s">
        <v>12</v>
      </c>
      <c r="D601" t="s">
        <v>204</v>
      </c>
      <c r="E601" t="s">
        <v>37</v>
      </c>
      <c r="F601">
        <v>200</v>
      </c>
      <c r="G601" s="2">
        <v>1.81</v>
      </c>
      <c r="H601" s="1">
        <v>46166.641100370369</v>
      </c>
      <c r="I601" s="1">
        <v>46166.641100381945</v>
      </c>
      <c r="J601" t="s">
        <v>15</v>
      </c>
      <c r="K601" t="s">
        <v>16</v>
      </c>
      <c r="L601" s="1">
        <v>46166.64110040509</v>
      </c>
    </row>
    <row r="602" spans="1:12" x14ac:dyDescent="0.25">
      <c r="A602" t="s">
        <v>662</v>
      </c>
      <c r="B602" t="str">
        <f>resultado_db_usuario_10[[#This Row],[metodo]]&amp;" "&amp;SUBSTITUTE(resultado_db_usuario_10[[#This Row],[rota]],"/api/v1","")</f>
        <v>GET /relatorios/</v>
      </c>
      <c r="C602" t="s">
        <v>12</v>
      </c>
      <c r="D602" t="s">
        <v>27</v>
      </c>
      <c r="E602" t="s">
        <v>28</v>
      </c>
      <c r="F602">
        <v>200</v>
      </c>
      <c r="G602" s="2">
        <v>3.08</v>
      </c>
      <c r="H602" s="1">
        <v>46166.641066018521</v>
      </c>
      <c r="I602" s="1">
        <v>46166.641066053242</v>
      </c>
      <c r="J602" t="s">
        <v>15</v>
      </c>
      <c r="K602" t="s">
        <v>16</v>
      </c>
      <c r="L602" s="1">
        <v>46166.641066064818</v>
      </c>
    </row>
    <row r="603" spans="1:12" x14ac:dyDescent="0.25">
      <c r="A603" t="s">
        <v>678</v>
      </c>
      <c r="B603" t="str">
        <f>resultado_db_usuario_10[[#This Row],[metodo]]&amp;" "&amp;SUBSTITUTE(resultado_db_usuario_10[[#This Row],[rota]],"/api/v1","")</f>
        <v>GET /relatorios/</v>
      </c>
      <c r="C603" t="s">
        <v>12</v>
      </c>
      <c r="D603" t="s">
        <v>27</v>
      </c>
      <c r="E603" t="s">
        <v>28</v>
      </c>
      <c r="F603">
        <v>200</v>
      </c>
      <c r="G603" s="2">
        <v>3.96</v>
      </c>
      <c r="H603" s="1">
        <v>46166.641066990742</v>
      </c>
      <c r="I603" s="1">
        <v>46166.641067037039</v>
      </c>
      <c r="J603" t="s">
        <v>15</v>
      </c>
      <c r="K603" t="s">
        <v>16</v>
      </c>
      <c r="L603" s="1">
        <v>46166.641067060184</v>
      </c>
    </row>
    <row r="604" spans="1:12" x14ac:dyDescent="0.25">
      <c r="A604" t="s">
        <v>681</v>
      </c>
      <c r="B604" t="str">
        <f>resultado_db_usuario_10[[#This Row],[metodo]]&amp;" "&amp;SUBSTITUTE(resultado_db_usuario_10[[#This Row],[rota]],"/api/v1","")</f>
        <v>GET /relatorios/</v>
      </c>
      <c r="C604" t="s">
        <v>12</v>
      </c>
      <c r="D604" t="s">
        <v>27</v>
      </c>
      <c r="E604" t="s">
        <v>28</v>
      </c>
      <c r="F604">
        <v>200</v>
      </c>
      <c r="G604" s="2">
        <v>3.2</v>
      </c>
      <c r="H604" s="1">
        <v>46166.641067129633</v>
      </c>
      <c r="I604" s="1">
        <v>46166.641067164353</v>
      </c>
      <c r="J604" t="s">
        <v>15</v>
      </c>
      <c r="K604" t="s">
        <v>16</v>
      </c>
      <c r="L604" s="1">
        <v>46166.641067187498</v>
      </c>
    </row>
    <row r="605" spans="1:12" x14ac:dyDescent="0.25">
      <c r="A605" t="s">
        <v>701</v>
      </c>
      <c r="B605" t="str">
        <f>resultado_db_usuario_10[[#This Row],[metodo]]&amp;" "&amp;SUBSTITUTE(resultado_db_usuario_10[[#This Row],[rota]],"/api/v1","")</f>
        <v>GET /relatorios/</v>
      </c>
      <c r="C605" t="s">
        <v>12</v>
      </c>
      <c r="D605" t="s">
        <v>27</v>
      </c>
      <c r="E605" t="s">
        <v>28</v>
      </c>
      <c r="F605">
        <v>200</v>
      </c>
      <c r="G605" s="2">
        <v>4.9000000000000004</v>
      </c>
      <c r="H605" s="1">
        <v>46166.641067893521</v>
      </c>
      <c r="I605" s="1">
        <v>46166.641067951387</v>
      </c>
      <c r="J605" t="s">
        <v>15</v>
      </c>
      <c r="K605" t="s">
        <v>16</v>
      </c>
      <c r="L605" s="1">
        <v>46166.641067962963</v>
      </c>
    </row>
    <row r="606" spans="1:12" x14ac:dyDescent="0.25">
      <c r="A606" t="s">
        <v>703</v>
      </c>
      <c r="B606" t="str">
        <f>resultado_db_usuario_10[[#This Row],[metodo]]&amp;" "&amp;SUBSTITUTE(resultado_db_usuario_10[[#This Row],[rota]],"/api/v1","")</f>
        <v>GET /relatorios/</v>
      </c>
      <c r="C606" t="s">
        <v>12</v>
      </c>
      <c r="D606" t="s">
        <v>27</v>
      </c>
      <c r="E606" t="s">
        <v>28</v>
      </c>
      <c r="F606">
        <v>200</v>
      </c>
      <c r="G606" s="2">
        <v>5.82</v>
      </c>
      <c r="H606" s="1">
        <v>46166.641067986115</v>
      </c>
      <c r="I606" s="1">
        <v>46166.641068055556</v>
      </c>
      <c r="J606" t="s">
        <v>15</v>
      </c>
      <c r="K606" t="s">
        <v>16</v>
      </c>
      <c r="L606" s="1">
        <v>46166.641068067132</v>
      </c>
    </row>
    <row r="607" spans="1:12" x14ac:dyDescent="0.25">
      <c r="A607" t="s">
        <v>713</v>
      </c>
      <c r="B607" t="str">
        <f>resultado_db_usuario_10[[#This Row],[metodo]]&amp;" "&amp;SUBSTITUTE(resultado_db_usuario_10[[#This Row],[rota]],"/api/v1","")</f>
        <v>GET /relatorios/</v>
      </c>
      <c r="C607" t="s">
        <v>12</v>
      </c>
      <c r="D607" t="s">
        <v>27</v>
      </c>
      <c r="E607" t="s">
        <v>28</v>
      </c>
      <c r="F607">
        <v>200</v>
      </c>
      <c r="G607" s="2">
        <v>3.13</v>
      </c>
      <c r="H607" s="1">
        <v>46166.641068356483</v>
      </c>
      <c r="I607" s="1">
        <v>46166.641068391204</v>
      </c>
      <c r="J607" t="s">
        <v>15</v>
      </c>
      <c r="K607" t="s">
        <v>16</v>
      </c>
      <c r="L607" s="1">
        <v>46166.64106840278</v>
      </c>
    </row>
    <row r="608" spans="1:12" x14ac:dyDescent="0.25">
      <c r="A608" t="s">
        <v>734</v>
      </c>
      <c r="B608" t="str">
        <f>resultado_db_usuario_10[[#This Row],[metodo]]&amp;" "&amp;SUBSTITUTE(resultado_db_usuario_10[[#This Row],[rota]],"/api/v1","")</f>
        <v>GET /relatorios/</v>
      </c>
      <c r="C608" t="s">
        <v>12</v>
      </c>
      <c r="D608" t="s">
        <v>27</v>
      </c>
      <c r="E608" t="s">
        <v>28</v>
      </c>
      <c r="F608">
        <v>200</v>
      </c>
      <c r="G608" s="2">
        <v>3.47</v>
      </c>
      <c r="H608" s="1">
        <v>46166.641069016201</v>
      </c>
      <c r="I608" s="1">
        <v>46166.641069062498</v>
      </c>
      <c r="J608" t="s">
        <v>15</v>
      </c>
      <c r="K608" t="s">
        <v>16</v>
      </c>
      <c r="L608" s="1">
        <v>46166.641069074074</v>
      </c>
    </row>
    <row r="609" spans="1:12" x14ac:dyDescent="0.25">
      <c r="A609" t="s">
        <v>739</v>
      </c>
      <c r="B609" t="str">
        <f>resultado_db_usuario_10[[#This Row],[metodo]]&amp;" "&amp;SUBSTITUTE(resultado_db_usuario_10[[#This Row],[rota]],"/api/v1","")</f>
        <v>GET /relatorios/</v>
      </c>
      <c r="C609" t="s">
        <v>12</v>
      </c>
      <c r="D609" t="s">
        <v>27</v>
      </c>
      <c r="E609" t="s">
        <v>28</v>
      </c>
      <c r="F609">
        <v>200</v>
      </c>
      <c r="G609" s="2">
        <v>8.68</v>
      </c>
      <c r="H609" s="1">
        <v>46166.641069178244</v>
      </c>
      <c r="I609" s="1">
        <v>46166.64106927083</v>
      </c>
      <c r="J609" t="s">
        <v>15</v>
      </c>
      <c r="K609" t="s">
        <v>16</v>
      </c>
      <c r="L609" s="1">
        <v>46166.641069293983</v>
      </c>
    </row>
    <row r="610" spans="1:12" x14ac:dyDescent="0.25">
      <c r="A610" t="s">
        <v>752</v>
      </c>
      <c r="B610" t="str">
        <f>resultado_db_usuario_10[[#This Row],[metodo]]&amp;" "&amp;SUBSTITUTE(resultado_db_usuario_10[[#This Row],[rota]],"/api/v1","")</f>
        <v>GET /relatorios/</v>
      </c>
      <c r="C610" t="s">
        <v>12</v>
      </c>
      <c r="D610" t="s">
        <v>27</v>
      </c>
      <c r="E610" t="s">
        <v>28</v>
      </c>
      <c r="F610">
        <v>200</v>
      </c>
      <c r="G610" s="2">
        <v>8.09</v>
      </c>
      <c r="H610" s="1">
        <v>46166.641069571757</v>
      </c>
      <c r="I610" s="1">
        <v>46166.641069664351</v>
      </c>
      <c r="J610" t="s">
        <v>15</v>
      </c>
      <c r="K610" t="s">
        <v>16</v>
      </c>
      <c r="L610" s="1">
        <v>46166.641069687503</v>
      </c>
    </row>
    <row r="611" spans="1:12" x14ac:dyDescent="0.25">
      <c r="A611" t="s">
        <v>754</v>
      </c>
      <c r="B611" t="str">
        <f>resultado_db_usuario_10[[#This Row],[metodo]]&amp;" "&amp;SUBSTITUTE(resultado_db_usuario_10[[#This Row],[rota]],"/api/v1","")</f>
        <v>GET /relatorios/</v>
      </c>
      <c r="C611" t="s">
        <v>12</v>
      </c>
      <c r="D611" t="s">
        <v>27</v>
      </c>
      <c r="E611" t="s">
        <v>28</v>
      </c>
      <c r="F611">
        <v>200</v>
      </c>
      <c r="G611" s="2">
        <v>3.33</v>
      </c>
      <c r="H611" s="1">
        <v>46166.641069687503</v>
      </c>
      <c r="I611" s="1">
        <v>46166.6410697338</v>
      </c>
      <c r="J611" t="s">
        <v>15</v>
      </c>
      <c r="K611" t="s">
        <v>16</v>
      </c>
      <c r="L611" s="1">
        <v>46166.641069745368</v>
      </c>
    </row>
    <row r="612" spans="1:12" x14ac:dyDescent="0.25">
      <c r="A612" t="s">
        <v>777</v>
      </c>
      <c r="B612" t="str">
        <f>resultado_db_usuario_10[[#This Row],[metodo]]&amp;" "&amp;SUBSTITUTE(resultado_db_usuario_10[[#This Row],[rota]],"/api/v1","")</f>
        <v>GET /relatorios/</v>
      </c>
      <c r="C612" t="s">
        <v>12</v>
      </c>
      <c r="D612" t="s">
        <v>27</v>
      </c>
      <c r="E612" t="s">
        <v>28</v>
      </c>
      <c r="F612">
        <v>200</v>
      </c>
      <c r="G612" s="2">
        <v>3.12</v>
      </c>
      <c r="H612" s="1">
        <v>46166.641070601851</v>
      </c>
      <c r="I612" s="1">
        <v>46166.641070636571</v>
      </c>
      <c r="J612" t="s">
        <v>15</v>
      </c>
      <c r="K612" t="s">
        <v>16</v>
      </c>
      <c r="L612" s="1">
        <v>46166.641070648147</v>
      </c>
    </row>
    <row r="613" spans="1:12" x14ac:dyDescent="0.25">
      <c r="A613" t="s">
        <v>785</v>
      </c>
      <c r="B613" t="str">
        <f>resultado_db_usuario_10[[#This Row],[metodo]]&amp;" "&amp;SUBSTITUTE(resultado_db_usuario_10[[#This Row],[rota]],"/api/v1","")</f>
        <v>GET /relatorios/</v>
      </c>
      <c r="C613" t="s">
        <v>12</v>
      </c>
      <c r="D613" t="s">
        <v>27</v>
      </c>
      <c r="E613" t="s">
        <v>28</v>
      </c>
      <c r="F613">
        <v>200</v>
      </c>
      <c r="G613" s="2">
        <v>11.02</v>
      </c>
      <c r="H613" s="1">
        <v>46166.641070787038</v>
      </c>
      <c r="I613" s="1">
        <v>46166.641070914353</v>
      </c>
      <c r="J613" t="s">
        <v>15</v>
      </c>
      <c r="K613" t="s">
        <v>16</v>
      </c>
      <c r="L613" s="1">
        <v>46166.641070937498</v>
      </c>
    </row>
    <row r="614" spans="1:12" x14ac:dyDescent="0.25">
      <c r="A614" t="s">
        <v>791</v>
      </c>
      <c r="B614" t="str">
        <f>resultado_db_usuario_10[[#This Row],[metodo]]&amp;" "&amp;SUBSTITUTE(resultado_db_usuario_10[[#This Row],[rota]],"/api/v1","")</f>
        <v>GET /relatorios/</v>
      </c>
      <c r="C614" t="s">
        <v>12</v>
      </c>
      <c r="D614" t="s">
        <v>27</v>
      </c>
      <c r="E614" t="s">
        <v>28</v>
      </c>
      <c r="F614">
        <v>200</v>
      </c>
      <c r="G614" s="2">
        <v>5.35</v>
      </c>
      <c r="H614" s="1">
        <v>46166.641071087965</v>
      </c>
      <c r="I614" s="1">
        <v>46166.64107114583</v>
      </c>
      <c r="J614" t="s">
        <v>15</v>
      </c>
      <c r="K614" t="s">
        <v>16</v>
      </c>
      <c r="L614" s="1">
        <v>46166.641071168982</v>
      </c>
    </row>
    <row r="615" spans="1:12" x14ac:dyDescent="0.25">
      <c r="A615" t="s">
        <v>797</v>
      </c>
      <c r="B615" t="str">
        <f>resultado_db_usuario_10[[#This Row],[metodo]]&amp;" "&amp;SUBSTITUTE(resultado_db_usuario_10[[#This Row],[rota]],"/api/v1","")</f>
        <v>GET /relatorios/</v>
      </c>
      <c r="C615" t="s">
        <v>12</v>
      </c>
      <c r="D615" t="s">
        <v>27</v>
      </c>
      <c r="E615" t="s">
        <v>28</v>
      </c>
      <c r="F615">
        <v>200</v>
      </c>
      <c r="G615" s="2">
        <v>5.32</v>
      </c>
      <c r="H615" s="1">
        <v>46166.641071238424</v>
      </c>
      <c r="I615" s="1">
        <v>46166.641071296297</v>
      </c>
      <c r="J615" t="s">
        <v>15</v>
      </c>
      <c r="K615" t="s">
        <v>16</v>
      </c>
      <c r="L615" s="1">
        <v>46166.641071307873</v>
      </c>
    </row>
    <row r="616" spans="1:12" x14ac:dyDescent="0.25">
      <c r="A616" t="s">
        <v>800</v>
      </c>
      <c r="B616" t="str">
        <f>resultado_db_usuario_10[[#This Row],[metodo]]&amp;" "&amp;SUBSTITUTE(resultado_db_usuario_10[[#This Row],[rota]],"/api/v1","")</f>
        <v>GET /relatorios/</v>
      </c>
      <c r="C616" t="s">
        <v>12</v>
      </c>
      <c r="D616" t="s">
        <v>27</v>
      </c>
      <c r="E616" t="s">
        <v>28</v>
      </c>
      <c r="F616">
        <v>200</v>
      </c>
      <c r="G616" s="2">
        <v>4.8</v>
      </c>
      <c r="H616" s="1">
        <v>46166.641071331018</v>
      </c>
      <c r="I616" s="1">
        <v>46166.641071388891</v>
      </c>
      <c r="J616" t="s">
        <v>15</v>
      </c>
      <c r="K616" t="s">
        <v>16</v>
      </c>
      <c r="L616" s="1">
        <v>46166.64107140046</v>
      </c>
    </row>
    <row r="617" spans="1:12" x14ac:dyDescent="0.25">
      <c r="A617" t="s">
        <v>829</v>
      </c>
      <c r="B617" t="str">
        <f>resultado_db_usuario_10[[#This Row],[metodo]]&amp;" "&amp;SUBSTITUTE(resultado_db_usuario_10[[#This Row],[rota]],"/api/v1","")</f>
        <v>GET /relatorios/</v>
      </c>
      <c r="C617" t="s">
        <v>12</v>
      </c>
      <c r="D617" t="s">
        <v>27</v>
      </c>
      <c r="E617" t="s">
        <v>28</v>
      </c>
      <c r="F617">
        <v>200</v>
      </c>
      <c r="G617" s="2">
        <v>10.52</v>
      </c>
      <c r="H617" s="1">
        <v>46166.641072326391</v>
      </c>
      <c r="I617" s="1">
        <v>46166.641072442129</v>
      </c>
      <c r="J617" t="s">
        <v>15</v>
      </c>
      <c r="K617" t="s">
        <v>16</v>
      </c>
      <c r="L617" s="1">
        <v>46166.641072465274</v>
      </c>
    </row>
    <row r="618" spans="1:12" x14ac:dyDescent="0.25">
      <c r="A618" t="s">
        <v>837</v>
      </c>
      <c r="B618" t="str">
        <f>resultado_db_usuario_10[[#This Row],[metodo]]&amp;" "&amp;SUBSTITUTE(resultado_db_usuario_10[[#This Row],[rota]],"/api/v1","")</f>
        <v>GET /relatorios/</v>
      </c>
      <c r="C618" t="s">
        <v>12</v>
      </c>
      <c r="D618" t="s">
        <v>27</v>
      </c>
      <c r="E618" t="s">
        <v>28</v>
      </c>
      <c r="F618">
        <v>200</v>
      </c>
      <c r="G618" s="2">
        <v>13.78</v>
      </c>
      <c r="H618" s="1">
        <v>46166.641072650462</v>
      </c>
      <c r="I618" s="1">
        <v>46166.641072812497</v>
      </c>
      <c r="J618" t="s">
        <v>15</v>
      </c>
      <c r="K618" t="s">
        <v>16</v>
      </c>
      <c r="L618" s="1">
        <v>46166.64107283565</v>
      </c>
    </row>
    <row r="619" spans="1:12" x14ac:dyDescent="0.25">
      <c r="A619" t="s">
        <v>845</v>
      </c>
      <c r="B619" t="str">
        <f>resultado_db_usuario_10[[#This Row],[metodo]]&amp;" "&amp;SUBSTITUTE(resultado_db_usuario_10[[#This Row],[rota]],"/api/v1","")</f>
        <v>GET /relatorios/</v>
      </c>
      <c r="C619" t="s">
        <v>12</v>
      </c>
      <c r="D619" t="s">
        <v>27</v>
      </c>
      <c r="E619" t="s">
        <v>28</v>
      </c>
      <c r="F619">
        <v>200</v>
      </c>
      <c r="G619" s="2">
        <v>10.59</v>
      </c>
      <c r="H619" s="1">
        <v>46166.641073090279</v>
      </c>
      <c r="I619" s="1">
        <v>46166.641073206018</v>
      </c>
      <c r="J619" t="s">
        <v>15</v>
      </c>
      <c r="K619" t="s">
        <v>16</v>
      </c>
      <c r="L619" s="1">
        <v>46166.64107322917</v>
      </c>
    </row>
    <row r="620" spans="1:12" x14ac:dyDescent="0.25">
      <c r="A620" t="s">
        <v>855</v>
      </c>
      <c r="B620" t="str">
        <f>resultado_db_usuario_10[[#This Row],[metodo]]&amp;" "&amp;SUBSTITUTE(resultado_db_usuario_10[[#This Row],[rota]],"/api/v1","")</f>
        <v>GET /relatorios/</v>
      </c>
      <c r="C620" t="s">
        <v>12</v>
      </c>
      <c r="D620" t="s">
        <v>27</v>
      </c>
      <c r="E620" t="s">
        <v>28</v>
      </c>
      <c r="F620">
        <v>200</v>
      </c>
      <c r="G620" s="2">
        <v>4.82</v>
      </c>
      <c r="H620" s="1">
        <v>46166.641073425926</v>
      </c>
      <c r="I620" s="1">
        <v>46166.641073483799</v>
      </c>
      <c r="J620" t="s">
        <v>15</v>
      </c>
      <c r="K620" t="s">
        <v>16</v>
      </c>
      <c r="L620" s="1">
        <v>46166.641073506944</v>
      </c>
    </row>
    <row r="621" spans="1:12" x14ac:dyDescent="0.25">
      <c r="A621" t="s">
        <v>860</v>
      </c>
      <c r="B621" t="str">
        <f>resultado_db_usuario_10[[#This Row],[metodo]]&amp;" "&amp;SUBSTITUTE(resultado_db_usuario_10[[#This Row],[rota]],"/api/v1","")</f>
        <v>GET /relatorios/</v>
      </c>
      <c r="C621" t="s">
        <v>12</v>
      </c>
      <c r="D621" t="s">
        <v>27</v>
      </c>
      <c r="E621" t="s">
        <v>28</v>
      </c>
      <c r="F621">
        <v>200</v>
      </c>
      <c r="G621" s="2">
        <v>8.23</v>
      </c>
      <c r="H621" s="1">
        <v>46166.641073495368</v>
      </c>
      <c r="I621" s="1">
        <v>46166.641073587962</v>
      </c>
      <c r="J621" t="s">
        <v>15</v>
      </c>
      <c r="K621" t="s">
        <v>16</v>
      </c>
      <c r="L621" s="1">
        <v>46166.641073611114</v>
      </c>
    </row>
    <row r="622" spans="1:12" x14ac:dyDescent="0.25">
      <c r="A622" t="s">
        <v>863</v>
      </c>
      <c r="B622" t="str">
        <f>resultado_db_usuario_10[[#This Row],[metodo]]&amp;" "&amp;SUBSTITUTE(resultado_db_usuario_10[[#This Row],[rota]],"/api/v1","")</f>
        <v>GET /relatorios/</v>
      </c>
      <c r="C622" t="s">
        <v>12</v>
      </c>
      <c r="D622" t="s">
        <v>27</v>
      </c>
      <c r="E622" t="s">
        <v>28</v>
      </c>
      <c r="F622">
        <v>200</v>
      </c>
      <c r="G622" s="2">
        <v>5.69</v>
      </c>
      <c r="H622" s="1">
        <v>46166.641073611114</v>
      </c>
      <c r="I622" s="1">
        <v>46166.641073680556</v>
      </c>
      <c r="J622" t="s">
        <v>15</v>
      </c>
      <c r="K622" t="s">
        <v>16</v>
      </c>
      <c r="L622" s="1">
        <v>46166.641073692132</v>
      </c>
    </row>
    <row r="623" spans="1:12" x14ac:dyDescent="0.25">
      <c r="A623" t="s">
        <v>864</v>
      </c>
      <c r="B623" t="str">
        <f>resultado_db_usuario_10[[#This Row],[metodo]]&amp;" "&amp;SUBSTITUTE(resultado_db_usuario_10[[#This Row],[rota]],"/api/v1","")</f>
        <v>GET /relatorios/</v>
      </c>
      <c r="C623" t="s">
        <v>12</v>
      </c>
      <c r="D623" t="s">
        <v>27</v>
      </c>
      <c r="E623" t="s">
        <v>28</v>
      </c>
      <c r="F623">
        <v>200</v>
      </c>
      <c r="G623" s="2">
        <v>7.59</v>
      </c>
      <c r="H623" s="1">
        <v>46166.641073622683</v>
      </c>
      <c r="I623" s="1">
        <v>46166.6410737037</v>
      </c>
      <c r="J623" t="s">
        <v>15</v>
      </c>
      <c r="K623" t="s">
        <v>16</v>
      </c>
      <c r="L623" s="1">
        <v>46166.641073726852</v>
      </c>
    </row>
    <row r="624" spans="1:12" x14ac:dyDescent="0.25">
      <c r="A624" t="s">
        <v>901</v>
      </c>
      <c r="B624" t="str">
        <f>resultado_db_usuario_10[[#This Row],[metodo]]&amp;" "&amp;SUBSTITUTE(resultado_db_usuario_10[[#This Row],[rota]],"/api/v1","")</f>
        <v>GET /relatorios/</v>
      </c>
      <c r="C624" t="s">
        <v>12</v>
      </c>
      <c r="D624" t="s">
        <v>27</v>
      </c>
      <c r="E624" t="s">
        <v>28</v>
      </c>
      <c r="F624">
        <v>200</v>
      </c>
      <c r="G624" s="2">
        <v>10.71</v>
      </c>
      <c r="H624" s="1">
        <v>46166.641074687497</v>
      </c>
      <c r="I624" s="1">
        <v>46166.641074814812</v>
      </c>
      <c r="J624" t="s">
        <v>15</v>
      </c>
      <c r="K624" t="s">
        <v>16</v>
      </c>
      <c r="L624" s="1">
        <v>46166.641074837964</v>
      </c>
    </row>
    <row r="625" spans="1:12" x14ac:dyDescent="0.25">
      <c r="A625" t="s">
        <v>913</v>
      </c>
      <c r="B625" t="str">
        <f>resultado_db_usuario_10[[#This Row],[metodo]]&amp;" "&amp;SUBSTITUTE(resultado_db_usuario_10[[#This Row],[rota]],"/api/v1","")</f>
        <v>GET /relatorios/</v>
      </c>
      <c r="C625" t="s">
        <v>12</v>
      </c>
      <c r="D625" t="s">
        <v>27</v>
      </c>
      <c r="E625" t="s">
        <v>28</v>
      </c>
      <c r="F625">
        <v>200</v>
      </c>
      <c r="G625" s="2">
        <v>16.77</v>
      </c>
      <c r="H625" s="1">
        <v>46166.641075104169</v>
      </c>
      <c r="I625" s="1">
        <v>46166.641075300926</v>
      </c>
      <c r="J625" t="s">
        <v>15</v>
      </c>
      <c r="K625" t="s">
        <v>16</v>
      </c>
      <c r="L625" s="1">
        <v>46166.641075324071</v>
      </c>
    </row>
    <row r="626" spans="1:12" x14ac:dyDescent="0.25">
      <c r="A626" t="s">
        <v>928</v>
      </c>
      <c r="B626" t="str">
        <f>resultado_db_usuario_10[[#This Row],[metodo]]&amp;" "&amp;SUBSTITUTE(resultado_db_usuario_10[[#This Row],[rota]],"/api/v1","")</f>
        <v>GET /relatorios/</v>
      </c>
      <c r="C626" t="s">
        <v>12</v>
      </c>
      <c r="D626" t="s">
        <v>27</v>
      </c>
      <c r="E626" t="s">
        <v>28</v>
      </c>
      <c r="F626">
        <v>200</v>
      </c>
      <c r="G626" s="2">
        <v>14.44</v>
      </c>
      <c r="H626" s="1">
        <v>46166.641075729167</v>
      </c>
      <c r="I626" s="1">
        <v>46166.641075902779</v>
      </c>
      <c r="J626" t="s">
        <v>15</v>
      </c>
      <c r="K626" t="s">
        <v>16</v>
      </c>
      <c r="L626" s="1">
        <v>46166.641075914355</v>
      </c>
    </row>
    <row r="627" spans="1:12" x14ac:dyDescent="0.25">
      <c r="A627" t="s">
        <v>935</v>
      </c>
      <c r="B627" t="str">
        <f>resultado_db_usuario_10[[#This Row],[metodo]]&amp;" "&amp;SUBSTITUTE(resultado_db_usuario_10[[#This Row],[rota]],"/api/v1","")</f>
        <v>GET /relatorios/</v>
      </c>
      <c r="C627" t="s">
        <v>12</v>
      </c>
      <c r="D627" t="s">
        <v>27</v>
      </c>
      <c r="E627" t="s">
        <v>28</v>
      </c>
      <c r="F627">
        <v>200</v>
      </c>
      <c r="G627" s="2">
        <v>13.77</v>
      </c>
      <c r="H627" s="1">
        <v>46166.641075995372</v>
      </c>
      <c r="I627" s="1">
        <v>46166.641076145832</v>
      </c>
      <c r="J627" t="s">
        <v>15</v>
      </c>
      <c r="K627" t="s">
        <v>16</v>
      </c>
      <c r="L627" s="1">
        <v>46166.641076168984</v>
      </c>
    </row>
    <row r="628" spans="1:12" x14ac:dyDescent="0.25">
      <c r="A628" t="s">
        <v>946</v>
      </c>
      <c r="B628" t="str">
        <f>resultado_db_usuario_10[[#This Row],[metodo]]&amp;" "&amp;SUBSTITUTE(resultado_db_usuario_10[[#This Row],[rota]],"/api/v1","")</f>
        <v>GET /relatorios/</v>
      </c>
      <c r="C628" t="s">
        <v>12</v>
      </c>
      <c r="D628" t="s">
        <v>27</v>
      </c>
      <c r="E628" t="s">
        <v>28</v>
      </c>
      <c r="F628">
        <v>200</v>
      </c>
      <c r="G628" s="2">
        <v>14.22</v>
      </c>
      <c r="H628" s="1">
        <v>46166.64107636574</v>
      </c>
      <c r="I628" s="1">
        <v>46166.641076527776</v>
      </c>
      <c r="J628" t="s">
        <v>15</v>
      </c>
      <c r="K628" t="s">
        <v>16</v>
      </c>
      <c r="L628" s="1">
        <v>46166.641076539352</v>
      </c>
    </row>
    <row r="629" spans="1:12" x14ac:dyDescent="0.25">
      <c r="A629" t="s">
        <v>948</v>
      </c>
      <c r="B629" t="str">
        <f>resultado_db_usuario_10[[#This Row],[metodo]]&amp;" "&amp;SUBSTITUTE(resultado_db_usuario_10[[#This Row],[rota]],"/api/v1","")</f>
        <v>GET /relatorios/</v>
      </c>
      <c r="C629" t="s">
        <v>12</v>
      </c>
      <c r="D629" t="s">
        <v>27</v>
      </c>
      <c r="E629" t="s">
        <v>28</v>
      </c>
      <c r="F629">
        <v>200</v>
      </c>
      <c r="G629" s="2">
        <v>10.11</v>
      </c>
      <c r="H629" s="1">
        <v>46166.641076481479</v>
      </c>
      <c r="I629" s="1">
        <v>46166.641076597225</v>
      </c>
      <c r="J629" t="s">
        <v>15</v>
      </c>
      <c r="K629" t="s">
        <v>16</v>
      </c>
      <c r="L629" s="1">
        <v>46166.64107662037</v>
      </c>
    </row>
    <row r="630" spans="1:12" x14ac:dyDescent="0.25">
      <c r="A630" t="s">
        <v>949</v>
      </c>
      <c r="B630" t="str">
        <f>resultado_db_usuario_10[[#This Row],[metodo]]&amp;" "&amp;SUBSTITUTE(resultado_db_usuario_10[[#This Row],[rota]],"/api/v1","")</f>
        <v>GET /relatorios/</v>
      </c>
      <c r="C630" t="s">
        <v>12</v>
      </c>
      <c r="D630" t="s">
        <v>27</v>
      </c>
      <c r="E630" t="s">
        <v>28</v>
      </c>
      <c r="F630">
        <v>200</v>
      </c>
      <c r="G630" s="2">
        <v>9.58</v>
      </c>
      <c r="H630" s="1">
        <v>46166.641076504631</v>
      </c>
      <c r="I630" s="1">
        <v>46166.64107662037</v>
      </c>
      <c r="J630" t="s">
        <v>15</v>
      </c>
      <c r="K630" t="s">
        <v>16</v>
      </c>
      <c r="L630" s="1">
        <v>46166.641076631946</v>
      </c>
    </row>
    <row r="631" spans="1:12" x14ac:dyDescent="0.25">
      <c r="A631" t="s">
        <v>950</v>
      </c>
      <c r="B631" t="str">
        <f>resultado_db_usuario_10[[#This Row],[metodo]]&amp;" "&amp;SUBSTITUTE(resultado_db_usuario_10[[#This Row],[rota]],"/api/v1","")</f>
        <v>GET /relatorios/</v>
      </c>
      <c r="C631" t="s">
        <v>12</v>
      </c>
      <c r="D631" t="s">
        <v>27</v>
      </c>
      <c r="E631" t="s">
        <v>28</v>
      </c>
      <c r="F631">
        <v>200</v>
      </c>
      <c r="G631" s="2">
        <v>9.5500000000000007</v>
      </c>
      <c r="H631" s="1">
        <v>46166.641076539352</v>
      </c>
      <c r="I631" s="1">
        <v>46166.641076643522</v>
      </c>
      <c r="J631" t="s">
        <v>15</v>
      </c>
      <c r="K631" t="s">
        <v>16</v>
      </c>
      <c r="L631" s="1">
        <v>46166.641076666667</v>
      </c>
    </row>
    <row r="632" spans="1:12" x14ac:dyDescent="0.25">
      <c r="A632" t="s">
        <v>962</v>
      </c>
      <c r="B632" t="str">
        <f>resultado_db_usuario_10[[#This Row],[metodo]]&amp;" "&amp;SUBSTITUTE(resultado_db_usuario_10[[#This Row],[rota]],"/api/v1","")</f>
        <v>GET /relatorios/</v>
      </c>
      <c r="C632" t="s">
        <v>12</v>
      </c>
      <c r="D632" t="s">
        <v>27</v>
      </c>
      <c r="E632" t="s">
        <v>28</v>
      </c>
      <c r="F632">
        <v>200</v>
      </c>
      <c r="G632" s="2">
        <v>10.75</v>
      </c>
      <c r="H632" s="1">
        <v>46166.641076828702</v>
      </c>
      <c r="I632" s="1">
        <v>46166.641076956017</v>
      </c>
      <c r="J632" t="s">
        <v>15</v>
      </c>
      <c r="K632" t="s">
        <v>16</v>
      </c>
      <c r="L632" s="1">
        <v>46166.641076967593</v>
      </c>
    </row>
    <row r="633" spans="1:12" x14ac:dyDescent="0.25">
      <c r="A633" t="s">
        <v>976</v>
      </c>
      <c r="B633" t="str">
        <f>resultado_db_usuario_10[[#This Row],[metodo]]&amp;" "&amp;SUBSTITUTE(resultado_db_usuario_10[[#This Row],[rota]],"/api/v1","")</f>
        <v>GET /relatorios/</v>
      </c>
      <c r="C633" t="s">
        <v>12</v>
      </c>
      <c r="D633" t="s">
        <v>27</v>
      </c>
      <c r="E633" t="s">
        <v>28</v>
      </c>
      <c r="F633">
        <v>200</v>
      </c>
      <c r="G633" s="2">
        <v>11.35</v>
      </c>
      <c r="H633" s="1">
        <v>46166.641077372682</v>
      </c>
      <c r="I633" s="1">
        <v>46166.641077511573</v>
      </c>
      <c r="J633" t="s">
        <v>15</v>
      </c>
      <c r="K633" t="s">
        <v>16</v>
      </c>
      <c r="L633" s="1">
        <v>46166.641077523149</v>
      </c>
    </row>
    <row r="634" spans="1:12" x14ac:dyDescent="0.25">
      <c r="A634" t="s">
        <v>1007</v>
      </c>
      <c r="B634" t="str">
        <f>resultado_db_usuario_10[[#This Row],[metodo]]&amp;" "&amp;SUBSTITUTE(resultado_db_usuario_10[[#This Row],[rota]],"/api/v1","")</f>
        <v>GET /relatorios/</v>
      </c>
      <c r="C634" t="s">
        <v>12</v>
      </c>
      <c r="D634" t="s">
        <v>27</v>
      </c>
      <c r="E634" t="s">
        <v>28</v>
      </c>
      <c r="F634">
        <v>200</v>
      </c>
      <c r="G634" s="2">
        <v>14.37</v>
      </c>
      <c r="H634" s="1">
        <v>46166.641078101849</v>
      </c>
      <c r="I634" s="1">
        <v>46166.641078263892</v>
      </c>
      <c r="J634" t="s">
        <v>15</v>
      </c>
      <c r="K634" t="s">
        <v>16</v>
      </c>
      <c r="L634" s="1">
        <v>46166.641078287037</v>
      </c>
    </row>
    <row r="635" spans="1:12" x14ac:dyDescent="0.25">
      <c r="A635" t="s">
        <v>1021</v>
      </c>
      <c r="B635" t="str">
        <f>resultado_db_usuario_10[[#This Row],[metodo]]&amp;" "&amp;SUBSTITUTE(resultado_db_usuario_10[[#This Row],[rota]],"/api/v1","")</f>
        <v>GET /relatorios/</v>
      </c>
      <c r="C635" t="s">
        <v>12</v>
      </c>
      <c r="D635" t="s">
        <v>27</v>
      </c>
      <c r="E635" t="s">
        <v>28</v>
      </c>
      <c r="F635">
        <v>200</v>
      </c>
      <c r="G635" s="2">
        <v>32.97</v>
      </c>
      <c r="H635" s="1">
        <v>46166.641078599539</v>
      </c>
      <c r="I635" s="1">
        <v>46166.641078981484</v>
      </c>
      <c r="J635" t="s">
        <v>15</v>
      </c>
      <c r="K635" t="s">
        <v>16</v>
      </c>
      <c r="L635" s="1">
        <v>46166.641078993052</v>
      </c>
    </row>
    <row r="636" spans="1:12" x14ac:dyDescent="0.25">
      <c r="A636" t="s">
        <v>1037</v>
      </c>
      <c r="B636" t="str">
        <f>resultado_db_usuario_10[[#This Row],[metodo]]&amp;" "&amp;SUBSTITUTE(resultado_db_usuario_10[[#This Row],[rota]],"/api/v1","")</f>
        <v>GET /relatorios/</v>
      </c>
      <c r="C636" t="s">
        <v>12</v>
      </c>
      <c r="D636" t="s">
        <v>27</v>
      </c>
      <c r="E636" t="s">
        <v>28</v>
      </c>
      <c r="F636">
        <v>200</v>
      </c>
      <c r="G636" s="2">
        <v>8.1999999999999993</v>
      </c>
      <c r="H636" s="1">
        <v>46166.641079293979</v>
      </c>
      <c r="I636" s="1">
        <v>46166.641079386573</v>
      </c>
      <c r="J636" t="s">
        <v>15</v>
      </c>
      <c r="K636" t="s">
        <v>16</v>
      </c>
      <c r="L636" s="1">
        <v>46166.641079398149</v>
      </c>
    </row>
    <row r="637" spans="1:12" x14ac:dyDescent="0.25">
      <c r="A637" t="s">
        <v>1048</v>
      </c>
      <c r="B637" t="str">
        <f>resultado_db_usuario_10[[#This Row],[metodo]]&amp;" "&amp;SUBSTITUTE(resultado_db_usuario_10[[#This Row],[rota]],"/api/v1","")</f>
        <v>GET /relatorios/</v>
      </c>
      <c r="C637" t="s">
        <v>12</v>
      </c>
      <c r="D637" t="s">
        <v>27</v>
      </c>
      <c r="E637" t="s">
        <v>28</v>
      </c>
      <c r="F637">
        <v>200</v>
      </c>
      <c r="G637" s="2">
        <v>12.52</v>
      </c>
      <c r="H637" s="1">
        <v>46166.641079513887</v>
      </c>
      <c r="I637" s="1">
        <v>46166.641079652778</v>
      </c>
      <c r="J637" t="s">
        <v>15</v>
      </c>
      <c r="K637" t="s">
        <v>16</v>
      </c>
      <c r="L637" s="1">
        <v>46166.641079675923</v>
      </c>
    </row>
    <row r="638" spans="1:12" x14ac:dyDescent="0.25">
      <c r="A638" t="s">
        <v>1056</v>
      </c>
      <c r="B638" t="str">
        <f>resultado_db_usuario_10[[#This Row],[metodo]]&amp;" "&amp;SUBSTITUTE(resultado_db_usuario_10[[#This Row],[rota]],"/api/v1","")</f>
        <v>GET /relatorios/</v>
      </c>
      <c r="C638" t="s">
        <v>12</v>
      </c>
      <c r="D638" t="s">
        <v>27</v>
      </c>
      <c r="E638" t="s">
        <v>28</v>
      </c>
      <c r="F638">
        <v>200</v>
      </c>
      <c r="G638" s="2">
        <v>10.94</v>
      </c>
      <c r="H638" s="1">
        <v>46166.641079768517</v>
      </c>
      <c r="I638" s="1">
        <v>46166.641079895831</v>
      </c>
      <c r="J638" t="s">
        <v>15</v>
      </c>
      <c r="K638" t="s">
        <v>16</v>
      </c>
      <c r="L638" s="1">
        <v>46166.641079907407</v>
      </c>
    </row>
    <row r="639" spans="1:12" x14ac:dyDescent="0.25">
      <c r="A639" t="s">
        <v>1059</v>
      </c>
      <c r="B639" t="str">
        <f>resultado_db_usuario_10[[#This Row],[metodo]]&amp;" "&amp;SUBSTITUTE(resultado_db_usuario_10[[#This Row],[rota]],"/api/v1","")</f>
        <v>GET /relatorios/</v>
      </c>
      <c r="C639" t="s">
        <v>12</v>
      </c>
      <c r="D639" t="s">
        <v>27</v>
      </c>
      <c r="E639" t="s">
        <v>28</v>
      </c>
      <c r="F639">
        <v>200</v>
      </c>
      <c r="G639" s="2">
        <v>13.01</v>
      </c>
      <c r="H639" s="1">
        <v>46166.64107982639</v>
      </c>
      <c r="I639" s="1">
        <v>46166.641079976849</v>
      </c>
      <c r="J639" t="s">
        <v>15</v>
      </c>
      <c r="K639" t="s">
        <v>16</v>
      </c>
      <c r="L639" s="1">
        <v>46166.641079988425</v>
      </c>
    </row>
    <row r="640" spans="1:12" x14ac:dyDescent="0.25">
      <c r="A640" t="s">
        <v>1060</v>
      </c>
      <c r="B640" t="str">
        <f>resultado_db_usuario_10[[#This Row],[metodo]]&amp;" "&amp;SUBSTITUTE(resultado_db_usuario_10[[#This Row],[rota]],"/api/v1","")</f>
        <v>GET /relatorios/</v>
      </c>
      <c r="C640" t="s">
        <v>12</v>
      </c>
      <c r="D640" t="s">
        <v>27</v>
      </c>
      <c r="E640" t="s">
        <v>28</v>
      </c>
      <c r="F640">
        <v>200</v>
      </c>
      <c r="G640" s="2">
        <v>14.04</v>
      </c>
      <c r="H640" s="1">
        <v>46166.64107982639</v>
      </c>
      <c r="I640" s="1">
        <v>46166.641079988425</v>
      </c>
      <c r="J640" t="s">
        <v>15</v>
      </c>
      <c r="K640" t="s">
        <v>16</v>
      </c>
      <c r="L640" s="1">
        <v>46166.641080011577</v>
      </c>
    </row>
    <row r="641" spans="1:12" x14ac:dyDescent="0.25">
      <c r="A641" t="s">
        <v>1062</v>
      </c>
      <c r="B641" t="str">
        <f>resultado_db_usuario_10[[#This Row],[metodo]]&amp;" "&amp;SUBSTITUTE(resultado_db_usuario_10[[#This Row],[rota]],"/api/v1","")</f>
        <v>GET /relatorios/</v>
      </c>
      <c r="C641" t="s">
        <v>12</v>
      </c>
      <c r="D641" t="s">
        <v>27</v>
      </c>
      <c r="E641" t="s">
        <v>28</v>
      </c>
      <c r="F641">
        <v>200</v>
      </c>
      <c r="G641" s="2">
        <v>14.42</v>
      </c>
      <c r="H641" s="1">
        <v>46166.64107986111</v>
      </c>
      <c r="I641" s="1">
        <v>46166.641080023146</v>
      </c>
      <c r="J641" t="s">
        <v>15</v>
      </c>
      <c r="K641" t="s">
        <v>16</v>
      </c>
      <c r="L641" s="1">
        <v>46166.641080034722</v>
      </c>
    </row>
    <row r="642" spans="1:12" x14ac:dyDescent="0.25">
      <c r="A642" t="s">
        <v>1079</v>
      </c>
      <c r="B642" t="str">
        <f>resultado_db_usuario_10[[#This Row],[metodo]]&amp;" "&amp;SUBSTITUTE(resultado_db_usuario_10[[#This Row],[rota]],"/api/v1","")</f>
        <v>GET /relatorios/</v>
      </c>
      <c r="C642" t="s">
        <v>12</v>
      </c>
      <c r="D642" t="s">
        <v>27</v>
      </c>
      <c r="E642" t="s">
        <v>28</v>
      </c>
      <c r="F642">
        <v>200</v>
      </c>
      <c r="G642" s="2">
        <v>7.74</v>
      </c>
      <c r="H642" s="1">
        <v>46166.64108040509</v>
      </c>
      <c r="I642" s="1">
        <v>46166.641080497684</v>
      </c>
      <c r="J642" t="s">
        <v>15</v>
      </c>
      <c r="K642" t="s">
        <v>16</v>
      </c>
      <c r="L642" s="1">
        <v>46166.64108050926</v>
      </c>
    </row>
    <row r="643" spans="1:12" x14ac:dyDescent="0.25">
      <c r="A643" t="s">
        <v>1094</v>
      </c>
      <c r="B643" t="str">
        <f>resultado_db_usuario_10[[#This Row],[metodo]]&amp;" "&amp;SUBSTITUTE(resultado_db_usuario_10[[#This Row],[rota]],"/api/v1","")</f>
        <v>GET /relatorios/</v>
      </c>
      <c r="C643" t="s">
        <v>12</v>
      </c>
      <c r="D643" t="s">
        <v>27</v>
      </c>
      <c r="E643" t="s">
        <v>28</v>
      </c>
      <c r="F643">
        <v>200</v>
      </c>
      <c r="G643" s="2">
        <v>10.39</v>
      </c>
      <c r="H643" s="1">
        <v>46166.641080740737</v>
      </c>
      <c r="I643" s="1">
        <v>46166.641080856483</v>
      </c>
      <c r="J643" t="s">
        <v>15</v>
      </c>
      <c r="K643" t="s">
        <v>16</v>
      </c>
      <c r="L643" s="1">
        <v>46166.641080868052</v>
      </c>
    </row>
    <row r="644" spans="1:12" x14ac:dyDescent="0.25">
      <c r="A644" t="s">
        <v>1131</v>
      </c>
      <c r="B644" t="str">
        <f>resultado_db_usuario_10[[#This Row],[metodo]]&amp;" "&amp;SUBSTITUTE(resultado_db_usuario_10[[#This Row],[rota]],"/api/v1","")</f>
        <v>GET /relatorios/</v>
      </c>
      <c r="C644" t="s">
        <v>12</v>
      </c>
      <c r="D644" t="s">
        <v>27</v>
      </c>
      <c r="E644" t="s">
        <v>28</v>
      </c>
      <c r="F644">
        <v>200</v>
      </c>
      <c r="G644" s="2">
        <v>12.75</v>
      </c>
      <c r="H644" s="1">
        <v>46166.641081469905</v>
      </c>
      <c r="I644" s="1">
        <v>46166.641081620372</v>
      </c>
      <c r="J644" t="s">
        <v>15</v>
      </c>
      <c r="K644" t="s">
        <v>16</v>
      </c>
      <c r="L644" s="1">
        <v>46166.641081643516</v>
      </c>
    </row>
    <row r="645" spans="1:12" x14ac:dyDescent="0.25">
      <c r="A645" t="s">
        <v>1146</v>
      </c>
      <c r="B645" t="str">
        <f>resultado_db_usuario_10[[#This Row],[metodo]]&amp;" "&amp;SUBSTITUTE(resultado_db_usuario_10[[#This Row],[rota]],"/api/v1","")</f>
        <v>GET /relatorios/</v>
      </c>
      <c r="C645" t="s">
        <v>12</v>
      </c>
      <c r="D645" t="s">
        <v>27</v>
      </c>
      <c r="E645" t="s">
        <v>28</v>
      </c>
      <c r="F645">
        <v>200</v>
      </c>
      <c r="G645" s="2">
        <v>17.27</v>
      </c>
      <c r="H645" s="1">
        <v>46166.641082106478</v>
      </c>
      <c r="I645" s="1">
        <v>46166.641082303242</v>
      </c>
      <c r="J645" t="s">
        <v>15</v>
      </c>
      <c r="K645" t="s">
        <v>16</v>
      </c>
      <c r="L645" s="1">
        <v>46166.641082326387</v>
      </c>
    </row>
    <row r="646" spans="1:12" x14ac:dyDescent="0.25">
      <c r="A646" t="s">
        <v>1163</v>
      </c>
      <c r="B646" t="str">
        <f>resultado_db_usuario_10[[#This Row],[metodo]]&amp;" "&amp;SUBSTITUTE(resultado_db_usuario_10[[#This Row],[rota]],"/api/v1","")</f>
        <v>GET /relatorios/</v>
      </c>
      <c r="C646" t="s">
        <v>12</v>
      </c>
      <c r="D646" t="s">
        <v>27</v>
      </c>
      <c r="E646" t="s">
        <v>28</v>
      </c>
      <c r="F646">
        <v>200</v>
      </c>
      <c r="G646" s="2">
        <v>8.0299999999999994</v>
      </c>
      <c r="H646" s="1">
        <v>46166.641082627313</v>
      </c>
      <c r="I646" s="1">
        <v>46166.641082719907</v>
      </c>
      <c r="J646" t="s">
        <v>15</v>
      </c>
      <c r="K646" t="s">
        <v>16</v>
      </c>
      <c r="L646" s="1">
        <v>46166.641082743059</v>
      </c>
    </row>
    <row r="647" spans="1:12" x14ac:dyDescent="0.25">
      <c r="A647" t="s">
        <v>1169</v>
      </c>
      <c r="B647" t="str">
        <f>resultado_db_usuario_10[[#This Row],[metodo]]&amp;" "&amp;SUBSTITUTE(resultado_db_usuario_10[[#This Row],[rota]],"/api/v1","")</f>
        <v>GET /relatorios/</v>
      </c>
      <c r="C647" t="s">
        <v>12</v>
      </c>
      <c r="D647" t="s">
        <v>27</v>
      </c>
      <c r="E647" t="s">
        <v>28</v>
      </c>
      <c r="F647">
        <v>200</v>
      </c>
      <c r="G647" s="2">
        <v>14.6</v>
      </c>
      <c r="H647" s="1">
        <v>46166.641082824077</v>
      </c>
      <c r="I647" s="1">
        <v>46166.641082997688</v>
      </c>
      <c r="J647" t="s">
        <v>15</v>
      </c>
      <c r="K647" t="s">
        <v>16</v>
      </c>
      <c r="L647" s="1">
        <v>46166.641083009257</v>
      </c>
    </row>
    <row r="648" spans="1:12" x14ac:dyDescent="0.25">
      <c r="A648" t="s">
        <v>1172</v>
      </c>
      <c r="B648" t="str">
        <f>resultado_db_usuario_10[[#This Row],[metodo]]&amp;" "&amp;SUBSTITUTE(resultado_db_usuario_10[[#This Row],[rota]],"/api/v1","")</f>
        <v>GET /relatorios/</v>
      </c>
      <c r="C648" t="s">
        <v>12</v>
      </c>
      <c r="D648" t="s">
        <v>27</v>
      </c>
      <c r="E648" t="s">
        <v>28</v>
      </c>
      <c r="F648">
        <v>200</v>
      </c>
      <c r="G648" s="2">
        <v>19.309999999999999</v>
      </c>
      <c r="H648" s="1">
        <v>46166.641082847222</v>
      </c>
      <c r="I648" s="1">
        <v>46166.64108306713</v>
      </c>
      <c r="J648" t="s">
        <v>15</v>
      </c>
      <c r="K648" t="s">
        <v>16</v>
      </c>
      <c r="L648" s="1">
        <v>46166.641083101851</v>
      </c>
    </row>
    <row r="649" spans="1:12" x14ac:dyDescent="0.25">
      <c r="A649" t="s">
        <v>1173</v>
      </c>
      <c r="B649" t="str">
        <f>resultado_db_usuario_10[[#This Row],[metodo]]&amp;" "&amp;SUBSTITUTE(resultado_db_usuario_10[[#This Row],[rota]],"/api/v1","")</f>
        <v>GET /relatorios/</v>
      </c>
      <c r="C649" t="s">
        <v>12</v>
      </c>
      <c r="D649" t="s">
        <v>27</v>
      </c>
      <c r="E649" t="s">
        <v>28</v>
      </c>
      <c r="F649">
        <v>200</v>
      </c>
      <c r="G649" s="2">
        <v>25.32</v>
      </c>
      <c r="H649" s="1">
        <v>46166.641082858798</v>
      </c>
      <c r="I649" s="1">
        <v>46166.641083148148</v>
      </c>
      <c r="J649" t="s">
        <v>15</v>
      </c>
      <c r="K649" t="s">
        <v>16</v>
      </c>
      <c r="L649" s="1">
        <v>46166.641083171293</v>
      </c>
    </row>
    <row r="650" spans="1:12" x14ac:dyDescent="0.25">
      <c r="A650" t="s">
        <v>1177</v>
      </c>
      <c r="B650" t="str">
        <f>resultado_db_usuario_10[[#This Row],[metodo]]&amp;" "&amp;SUBSTITUTE(resultado_db_usuario_10[[#This Row],[rota]],"/api/v1","")</f>
        <v>GET /relatorios/</v>
      </c>
      <c r="C650" t="s">
        <v>12</v>
      </c>
      <c r="D650" t="s">
        <v>27</v>
      </c>
      <c r="E650" t="s">
        <v>28</v>
      </c>
      <c r="F650">
        <v>200</v>
      </c>
      <c r="G650" s="2">
        <v>29.29</v>
      </c>
      <c r="H650" s="1">
        <v>46166.641082881943</v>
      </c>
      <c r="I650" s="1">
        <v>46166.641083229166</v>
      </c>
      <c r="J650" t="s">
        <v>15</v>
      </c>
      <c r="K650" t="s">
        <v>16</v>
      </c>
      <c r="L650" s="1">
        <v>46166.641083252318</v>
      </c>
    </row>
    <row r="651" spans="1:12" x14ac:dyDescent="0.25">
      <c r="A651" t="s">
        <v>1181</v>
      </c>
      <c r="B651" t="str">
        <f>resultado_db_usuario_10[[#This Row],[metodo]]&amp;" "&amp;SUBSTITUTE(resultado_db_usuario_10[[#This Row],[rota]],"/api/v1","")</f>
        <v>GET /relatorios/</v>
      </c>
      <c r="C651" t="s">
        <v>12</v>
      </c>
      <c r="D651" t="s">
        <v>27</v>
      </c>
      <c r="E651" t="s">
        <v>28</v>
      </c>
      <c r="F651">
        <v>200</v>
      </c>
      <c r="G651" s="2">
        <v>17.98</v>
      </c>
      <c r="H651" s="1">
        <v>46166.641083263887</v>
      </c>
      <c r="I651" s="1">
        <v>46166.641083472219</v>
      </c>
      <c r="J651" t="s">
        <v>15</v>
      </c>
      <c r="K651" t="s">
        <v>16</v>
      </c>
      <c r="L651" s="1">
        <v>46166.641083495371</v>
      </c>
    </row>
    <row r="652" spans="1:12" x14ac:dyDescent="0.25">
      <c r="A652" t="s">
        <v>1201</v>
      </c>
      <c r="B652" t="str">
        <f>resultado_db_usuario_10[[#This Row],[metodo]]&amp;" "&amp;SUBSTITUTE(resultado_db_usuario_10[[#This Row],[rota]],"/api/v1","")</f>
        <v>GET /relatorios/</v>
      </c>
      <c r="C652" t="s">
        <v>12</v>
      </c>
      <c r="D652" t="s">
        <v>27</v>
      </c>
      <c r="E652" t="s">
        <v>28</v>
      </c>
      <c r="F652">
        <v>200</v>
      </c>
      <c r="G652" s="2">
        <v>9.5500000000000007</v>
      </c>
      <c r="H652" s="1">
        <v>46166.641084027775</v>
      </c>
      <c r="I652" s="1">
        <v>46166.641084143521</v>
      </c>
      <c r="J652" t="s">
        <v>15</v>
      </c>
      <c r="K652" t="s">
        <v>16</v>
      </c>
      <c r="L652" s="1">
        <v>46166.64108415509</v>
      </c>
    </row>
    <row r="653" spans="1:12" x14ac:dyDescent="0.25">
      <c r="A653" t="s">
        <v>1212</v>
      </c>
      <c r="B653" t="str">
        <f>resultado_db_usuario_10[[#This Row],[metodo]]&amp;" "&amp;SUBSTITUTE(resultado_db_usuario_10[[#This Row],[rota]],"/api/v1","")</f>
        <v>GET /relatorios/</v>
      </c>
      <c r="C653" t="s">
        <v>12</v>
      </c>
      <c r="D653" t="s">
        <v>27</v>
      </c>
      <c r="E653" t="s">
        <v>28</v>
      </c>
      <c r="F653">
        <v>200</v>
      </c>
      <c r="G653" s="2">
        <v>10.84</v>
      </c>
      <c r="H653" s="1">
        <v>46166.641084236115</v>
      </c>
      <c r="I653" s="1">
        <v>46166.641084363429</v>
      </c>
      <c r="J653" t="s">
        <v>15</v>
      </c>
      <c r="K653" t="s">
        <v>16</v>
      </c>
      <c r="L653" s="1">
        <v>46166.641084374998</v>
      </c>
    </row>
    <row r="654" spans="1:12" x14ac:dyDescent="0.25">
      <c r="A654" t="s">
        <v>1241</v>
      </c>
      <c r="B654" t="str">
        <f>resultado_db_usuario_10[[#This Row],[metodo]]&amp;" "&amp;SUBSTITUTE(resultado_db_usuario_10[[#This Row],[rota]],"/api/v1","")</f>
        <v>GET /relatorios/</v>
      </c>
      <c r="C654" t="s">
        <v>12</v>
      </c>
      <c r="D654" t="s">
        <v>27</v>
      </c>
      <c r="E654" t="s">
        <v>28</v>
      </c>
      <c r="F654">
        <v>200</v>
      </c>
      <c r="G654" s="2">
        <v>14.08</v>
      </c>
      <c r="H654" s="1">
        <v>46166.641084965275</v>
      </c>
      <c r="I654" s="1">
        <v>46166.641085127318</v>
      </c>
      <c r="J654" t="s">
        <v>15</v>
      </c>
      <c r="K654" t="s">
        <v>16</v>
      </c>
      <c r="L654" s="1">
        <v>46166.641085138886</v>
      </c>
    </row>
    <row r="655" spans="1:12" x14ac:dyDescent="0.25">
      <c r="A655" t="s">
        <v>1261</v>
      </c>
      <c r="B655" t="str">
        <f>resultado_db_usuario_10[[#This Row],[metodo]]&amp;" "&amp;SUBSTITUTE(resultado_db_usuario_10[[#This Row],[rota]],"/api/v1","")</f>
        <v>GET /relatorios/</v>
      </c>
      <c r="C655" t="s">
        <v>12</v>
      </c>
      <c r="D655" t="s">
        <v>27</v>
      </c>
      <c r="E655" t="s">
        <v>28</v>
      </c>
      <c r="F655">
        <v>200</v>
      </c>
      <c r="G655" s="2">
        <v>15.56</v>
      </c>
      <c r="H655" s="1">
        <v>46166.641085555559</v>
      </c>
      <c r="I655" s="1">
        <v>46166.64108572917</v>
      </c>
      <c r="J655" t="s">
        <v>15</v>
      </c>
      <c r="K655" t="s">
        <v>16</v>
      </c>
      <c r="L655" s="1">
        <v>46166.641085752315</v>
      </c>
    </row>
    <row r="656" spans="1:12" x14ac:dyDescent="0.25">
      <c r="A656" t="s">
        <v>1280</v>
      </c>
      <c r="B656" t="str">
        <f>resultado_db_usuario_10[[#This Row],[metodo]]&amp;" "&amp;SUBSTITUTE(resultado_db_usuario_10[[#This Row],[rota]],"/api/v1","")</f>
        <v>GET /relatorios/</v>
      </c>
      <c r="C656" t="s">
        <v>12</v>
      </c>
      <c r="D656" t="s">
        <v>27</v>
      </c>
      <c r="E656" t="s">
        <v>28</v>
      </c>
      <c r="F656">
        <v>200</v>
      </c>
      <c r="G656" s="2">
        <v>10.24</v>
      </c>
      <c r="H656" s="1">
        <v>46166.641086157404</v>
      </c>
      <c r="I656" s="1">
        <v>46166.641086284719</v>
      </c>
      <c r="J656" t="s">
        <v>15</v>
      </c>
      <c r="K656" t="s">
        <v>16</v>
      </c>
      <c r="L656" s="1">
        <v>46166.641086296295</v>
      </c>
    </row>
    <row r="657" spans="1:12" x14ac:dyDescent="0.25">
      <c r="A657" t="s">
        <v>1281</v>
      </c>
      <c r="B657" t="str">
        <f>resultado_db_usuario_10[[#This Row],[metodo]]&amp;" "&amp;SUBSTITUTE(resultado_db_usuario_10[[#This Row],[rota]],"/api/v1","")</f>
        <v>GET /relatorios/</v>
      </c>
      <c r="C657" t="s">
        <v>12</v>
      </c>
      <c r="D657" t="s">
        <v>27</v>
      </c>
      <c r="E657" t="s">
        <v>28</v>
      </c>
      <c r="F657">
        <v>200</v>
      </c>
      <c r="G657" s="2">
        <v>9.48</v>
      </c>
      <c r="H657" s="1">
        <v>46166.641086192132</v>
      </c>
      <c r="I657" s="1">
        <v>46166.641086307871</v>
      </c>
      <c r="J657" t="s">
        <v>15</v>
      </c>
      <c r="K657" t="s">
        <v>16</v>
      </c>
      <c r="L657" s="1">
        <v>46166.641086319447</v>
      </c>
    </row>
    <row r="658" spans="1:12" x14ac:dyDescent="0.25">
      <c r="A658" t="s">
        <v>1282</v>
      </c>
      <c r="B658" t="str">
        <f>resultado_db_usuario_10[[#This Row],[metodo]]&amp;" "&amp;SUBSTITUTE(resultado_db_usuario_10[[#This Row],[rota]],"/api/v1","")</f>
        <v>GET /relatorios/</v>
      </c>
      <c r="C658" t="s">
        <v>12</v>
      </c>
      <c r="D658" t="s">
        <v>27</v>
      </c>
      <c r="E658" t="s">
        <v>28</v>
      </c>
      <c r="F658">
        <v>200</v>
      </c>
      <c r="G658" s="2">
        <v>10.27</v>
      </c>
      <c r="H658" s="1">
        <v>46166.641086203701</v>
      </c>
      <c r="I658" s="1">
        <v>46166.641086319447</v>
      </c>
      <c r="J658" t="s">
        <v>15</v>
      </c>
      <c r="K658" t="s">
        <v>16</v>
      </c>
      <c r="L658" s="1">
        <v>46166.641086342592</v>
      </c>
    </row>
    <row r="659" spans="1:12" x14ac:dyDescent="0.25">
      <c r="A659" t="s">
        <v>1283</v>
      </c>
      <c r="B659" t="str">
        <f>resultado_db_usuario_10[[#This Row],[metodo]]&amp;" "&amp;SUBSTITUTE(resultado_db_usuario_10[[#This Row],[rota]],"/api/v1","")</f>
        <v>GET /relatorios/</v>
      </c>
      <c r="C659" t="s">
        <v>12</v>
      </c>
      <c r="D659" t="s">
        <v>27</v>
      </c>
      <c r="E659" t="s">
        <v>28</v>
      </c>
      <c r="F659">
        <v>200</v>
      </c>
      <c r="G659" s="2">
        <v>11.52</v>
      </c>
      <c r="H659" s="1">
        <v>46166.641086203701</v>
      </c>
      <c r="I659" s="1">
        <v>46166.641086342592</v>
      </c>
      <c r="J659" t="s">
        <v>15</v>
      </c>
      <c r="K659" t="s">
        <v>16</v>
      </c>
      <c r="L659" s="1">
        <v>46166.641086354168</v>
      </c>
    </row>
    <row r="660" spans="1:12" x14ac:dyDescent="0.25">
      <c r="A660" t="s">
        <v>1284</v>
      </c>
      <c r="B660" t="str">
        <f>resultado_db_usuario_10[[#This Row],[metodo]]&amp;" "&amp;SUBSTITUTE(resultado_db_usuario_10[[#This Row],[rota]],"/api/v1","")</f>
        <v>GET /relatorios/</v>
      </c>
      <c r="C660" t="s">
        <v>12</v>
      </c>
      <c r="D660" t="s">
        <v>27</v>
      </c>
      <c r="E660" t="s">
        <v>28</v>
      </c>
      <c r="F660">
        <v>200</v>
      </c>
      <c r="G660" s="2">
        <v>10.59</v>
      </c>
      <c r="H660" s="1">
        <v>46166.641086238429</v>
      </c>
      <c r="I660" s="1">
        <v>46166.641086354168</v>
      </c>
      <c r="J660" t="s">
        <v>15</v>
      </c>
      <c r="K660" t="s">
        <v>16</v>
      </c>
      <c r="L660" s="1">
        <v>46166.641086365744</v>
      </c>
    </row>
    <row r="661" spans="1:12" x14ac:dyDescent="0.25">
      <c r="A661" t="s">
        <v>1297</v>
      </c>
      <c r="B661" t="str">
        <f>resultado_db_usuario_10[[#This Row],[metodo]]&amp;" "&amp;SUBSTITUTE(resultado_db_usuario_10[[#This Row],[rota]],"/api/v1","")</f>
        <v>GET /relatorios/</v>
      </c>
      <c r="C661" t="s">
        <v>12</v>
      </c>
      <c r="D661" t="s">
        <v>27</v>
      </c>
      <c r="E661" t="s">
        <v>28</v>
      </c>
      <c r="F661">
        <v>200</v>
      </c>
      <c r="G661" s="2">
        <v>12.85</v>
      </c>
      <c r="H661" s="1">
        <v>46166.641086550924</v>
      </c>
      <c r="I661" s="1">
        <v>46166.641086701391</v>
      </c>
      <c r="J661" t="s">
        <v>15</v>
      </c>
      <c r="K661" t="s">
        <v>16</v>
      </c>
      <c r="L661" s="1">
        <v>46166.64108671296</v>
      </c>
    </row>
    <row r="662" spans="1:12" x14ac:dyDescent="0.25">
      <c r="A662" t="s">
        <v>1313</v>
      </c>
      <c r="B662" t="str">
        <f>resultado_db_usuario_10[[#This Row],[metodo]]&amp;" "&amp;SUBSTITUTE(resultado_db_usuario_10[[#This Row],[rota]],"/api/v1","")</f>
        <v>GET /relatorios/</v>
      </c>
      <c r="C662" t="s">
        <v>12</v>
      </c>
      <c r="D662" t="s">
        <v>27</v>
      </c>
      <c r="E662" t="s">
        <v>28</v>
      </c>
      <c r="F662">
        <v>200</v>
      </c>
      <c r="G662" s="2">
        <v>7.3</v>
      </c>
      <c r="H662" s="1">
        <v>46166.641087071759</v>
      </c>
      <c r="I662" s="1">
        <v>46166.641087152777</v>
      </c>
      <c r="J662" t="s">
        <v>15</v>
      </c>
      <c r="K662" t="s">
        <v>16</v>
      </c>
      <c r="L662" s="1">
        <v>46166.641087164353</v>
      </c>
    </row>
    <row r="663" spans="1:12" x14ac:dyDescent="0.25">
      <c r="A663" t="s">
        <v>1328</v>
      </c>
      <c r="B663" t="str">
        <f>resultado_db_usuario_10[[#This Row],[metodo]]&amp;" "&amp;SUBSTITUTE(resultado_db_usuario_10[[#This Row],[rota]],"/api/v1","")</f>
        <v>GET /relatorios/</v>
      </c>
      <c r="C663" t="s">
        <v>12</v>
      </c>
      <c r="D663" t="s">
        <v>27</v>
      </c>
      <c r="E663" t="s">
        <v>28</v>
      </c>
      <c r="F663">
        <v>200</v>
      </c>
      <c r="G663" s="2">
        <v>9.36</v>
      </c>
      <c r="H663" s="1">
        <v>46166.641087361109</v>
      </c>
      <c r="I663" s="1">
        <v>46166.641087476855</v>
      </c>
      <c r="J663" t="s">
        <v>15</v>
      </c>
      <c r="K663" t="s">
        <v>16</v>
      </c>
      <c r="L663" s="1">
        <v>46166.641087488424</v>
      </c>
    </row>
    <row r="664" spans="1:12" x14ac:dyDescent="0.25">
      <c r="A664" t="s">
        <v>1357</v>
      </c>
      <c r="B664" t="str">
        <f>resultado_db_usuario_10[[#This Row],[metodo]]&amp;" "&amp;SUBSTITUTE(resultado_db_usuario_10[[#This Row],[rota]],"/api/v1","")</f>
        <v>GET /relatorios/</v>
      </c>
      <c r="C664" t="s">
        <v>12</v>
      </c>
      <c r="D664" t="s">
        <v>27</v>
      </c>
      <c r="E664" t="s">
        <v>28</v>
      </c>
      <c r="F664">
        <v>200</v>
      </c>
      <c r="G664" s="2">
        <v>20.41</v>
      </c>
      <c r="H664" s="1">
        <v>46166.641088182871</v>
      </c>
      <c r="I664" s="1">
        <v>46166.641088414355</v>
      </c>
      <c r="J664" t="s">
        <v>15</v>
      </c>
      <c r="K664" t="s">
        <v>16</v>
      </c>
      <c r="L664" s="1">
        <v>46166.6410884375</v>
      </c>
    </row>
    <row r="665" spans="1:12" x14ac:dyDescent="0.25">
      <c r="A665" t="s">
        <v>1374</v>
      </c>
      <c r="B665" t="str">
        <f>resultado_db_usuario_10[[#This Row],[metodo]]&amp;" "&amp;SUBSTITUTE(resultado_db_usuario_10[[#This Row],[rota]],"/api/v1","")</f>
        <v>GET /relatorios/</v>
      </c>
      <c r="C665" t="s">
        <v>12</v>
      </c>
      <c r="D665" t="s">
        <v>27</v>
      </c>
      <c r="E665" t="s">
        <v>28</v>
      </c>
      <c r="F665">
        <v>200</v>
      </c>
      <c r="G665" s="2">
        <v>11.33</v>
      </c>
      <c r="H665" s="1">
        <v>46166.641088703705</v>
      </c>
      <c r="I665" s="1">
        <v>46166.64108883102</v>
      </c>
      <c r="J665" t="s">
        <v>15</v>
      </c>
      <c r="K665" t="s">
        <v>16</v>
      </c>
      <c r="L665" s="1">
        <v>46166.641088854165</v>
      </c>
    </row>
    <row r="666" spans="1:12" x14ac:dyDescent="0.25">
      <c r="A666" t="s">
        <v>1386</v>
      </c>
      <c r="B666" t="str">
        <f>resultado_db_usuario_10[[#This Row],[metodo]]&amp;" "&amp;SUBSTITUTE(resultado_db_usuario_10[[#This Row],[rota]],"/api/v1","")</f>
        <v>GET /relatorios/</v>
      </c>
      <c r="C666" t="s">
        <v>12</v>
      </c>
      <c r="D666" t="s">
        <v>27</v>
      </c>
      <c r="E666" t="s">
        <v>28</v>
      </c>
      <c r="F666">
        <v>200</v>
      </c>
      <c r="G666" s="2">
        <v>7.86</v>
      </c>
      <c r="H666" s="1">
        <v>46166.64108908565</v>
      </c>
      <c r="I666" s="1">
        <v>46166.641089178243</v>
      </c>
      <c r="J666" t="s">
        <v>15</v>
      </c>
      <c r="K666" t="s">
        <v>16</v>
      </c>
      <c r="L666" s="1">
        <v>46166.641089189812</v>
      </c>
    </row>
    <row r="667" spans="1:12" x14ac:dyDescent="0.25">
      <c r="A667" t="s">
        <v>1387</v>
      </c>
      <c r="B667" t="str">
        <f>resultado_db_usuario_10[[#This Row],[metodo]]&amp;" "&amp;SUBSTITUTE(resultado_db_usuario_10[[#This Row],[rota]],"/api/v1","")</f>
        <v>GET /relatorios/</v>
      </c>
      <c r="C667" t="s">
        <v>12</v>
      </c>
      <c r="D667" t="s">
        <v>27</v>
      </c>
      <c r="E667" t="s">
        <v>28</v>
      </c>
      <c r="F667">
        <v>200</v>
      </c>
      <c r="G667" s="2">
        <v>6.78</v>
      </c>
      <c r="H667" s="1">
        <v>46166.64108912037</v>
      </c>
      <c r="I667" s="1">
        <v>46166.641089201388</v>
      </c>
      <c r="J667" t="s">
        <v>15</v>
      </c>
      <c r="K667" t="s">
        <v>16</v>
      </c>
      <c r="L667" s="1">
        <v>46166.641089212964</v>
      </c>
    </row>
    <row r="668" spans="1:12" x14ac:dyDescent="0.25">
      <c r="A668" t="s">
        <v>1390</v>
      </c>
      <c r="B668" t="str">
        <f>resultado_db_usuario_10[[#This Row],[metodo]]&amp;" "&amp;SUBSTITUTE(resultado_db_usuario_10[[#This Row],[rota]],"/api/v1","")</f>
        <v>GET /relatorios/</v>
      </c>
      <c r="C668" t="s">
        <v>12</v>
      </c>
      <c r="D668" t="s">
        <v>27</v>
      </c>
      <c r="E668" t="s">
        <v>28</v>
      </c>
      <c r="F668">
        <v>200</v>
      </c>
      <c r="G668" s="2">
        <v>10.27</v>
      </c>
      <c r="H668" s="1">
        <v>46166.641089143515</v>
      </c>
      <c r="I668" s="1">
        <v>46166.64108927083</v>
      </c>
      <c r="J668" t="s">
        <v>15</v>
      </c>
      <c r="K668" t="s">
        <v>16</v>
      </c>
      <c r="L668" s="1">
        <v>46166.641089282406</v>
      </c>
    </row>
    <row r="669" spans="1:12" x14ac:dyDescent="0.25">
      <c r="A669" t="s">
        <v>1391</v>
      </c>
      <c r="B669" t="str">
        <f>resultado_db_usuario_10[[#This Row],[metodo]]&amp;" "&amp;SUBSTITUTE(resultado_db_usuario_10[[#This Row],[rota]],"/api/v1","")</f>
        <v>GET /relatorios/</v>
      </c>
      <c r="C669" t="s">
        <v>12</v>
      </c>
      <c r="D669" t="s">
        <v>27</v>
      </c>
      <c r="E669" t="s">
        <v>28</v>
      </c>
      <c r="F669">
        <v>200</v>
      </c>
      <c r="G669" s="2">
        <v>11.36</v>
      </c>
      <c r="H669" s="1">
        <v>46166.641089155091</v>
      </c>
      <c r="I669" s="1">
        <v>46166.641089282406</v>
      </c>
      <c r="J669" t="s">
        <v>15</v>
      </c>
      <c r="K669" t="s">
        <v>16</v>
      </c>
      <c r="L669" s="1">
        <v>46166.641089305558</v>
      </c>
    </row>
    <row r="670" spans="1:12" x14ac:dyDescent="0.25">
      <c r="A670" t="s">
        <v>1405</v>
      </c>
      <c r="B670" t="str">
        <f>resultado_db_usuario_10[[#This Row],[metodo]]&amp;" "&amp;SUBSTITUTE(resultado_db_usuario_10[[#This Row],[rota]],"/api/v1","")</f>
        <v>GET /relatorios/</v>
      </c>
      <c r="C670" t="s">
        <v>12</v>
      </c>
      <c r="D670" t="s">
        <v>27</v>
      </c>
      <c r="E670" t="s">
        <v>28</v>
      </c>
      <c r="F670">
        <v>200</v>
      </c>
      <c r="G670" s="2">
        <v>11.33</v>
      </c>
      <c r="H670" s="1">
        <v>46166.641089606484</v>
      </c>
      <c r="I670" s="1">
        <v>46166.641089745368</v>
      </c>
      <c r="J670" t="s">
        <v>15</v>
      </c>
      <c r="K670" t="s">
        <v>16</v>
      </c>
      <c r="L670" s="1">
        <v>46166.641089756944</v>
      </c>
    </row>
    <row r="671" spans="1:12" x14ac:dyDescent="0.25">
      <c r="A671" t="s">
        <v>1422</v>
      </c>
      <c r="B671" t="str">
        <f>resultado_db_usuario_10[[#This Row],[metodo]]&amp;" "&amp;SUBSTITUTE(resultado_db_usuario_10[[#This Row],[rota]],"/api/v1","")</f>
        <v>GET /relatorios/</v>
      </c>
      <c r="C671" t="s">
        <v>12</v>
      </c>
      <c r="D671" t="s">
        <v>27</v>
      </c>
      <c r="E671" t="s">
        <v>28</v>
      </c>
      <c r="F671">
        <v>200</v>
      </c>
      <c r="G671" s="2">
        <v>9.33</v>
      </c>
      <c r="H671" s="1">
        <v>46166.641090081015</v>
      </c>
      <c r="I671" s="1">
        <v>46166.641090185185</v>
      </c>
      <c r="J671" t="s">
        <v>15</v>
      </c>
      <c r="K671" t="s">
        <v>16</v>
      </c>
      <c r="L671" s="1">
        <v>46166.641090196761</v>
      </c>
    </row>
    <row r="672" spans="1:12" x14ac:dyDescent="0.25">
      <c r="A672" t="s">
        <v>1435</v>
      </c>
      <c r="B672" t="str">
        <f>resultado_db_usuario_10[[#This Row],[metodo]]&amp;" "&amp;SUBSTITUTE(resultado_db_usuario_10[[#This Row],[rota]],"/api/v1","")</f>
        <v>GET /relatorios/</v>
      </c>
      <c r="C672" t="s">
        <v>12</v>
      </c>
      <c r="D672" t="s">
        <v>27</v>
      </c>
      <c r="E672" t="s">
        <v>28</v>
      </c>
      <c r="F672">
        <v>200</v>
      </c>
      <c r="G672" s="2">
        <v>7.73</v>
      </c>
      <c r="H672" s="1">
        <v>46166.641090393518</v>
      </c>
      <c r="I672" s="1">
        <v>46166.641090486111</v>
      </c>
      <c r="J672" t="s">
        <v>15</v>
      </c>
      <c r="K672" t="s">
        <v>16</v>
      </c>
      <c r="L672" s="1">
        <v>46166.641090509256</v>
      </c>
    </row>
    <row r="673" spans="1:12" x14ac:dyDescent="0.25">
      <c r="A673" t="s">
        <v>1456</v>
      </c>
      <c r="B673" t="str">
        <f>resultado_db_usuario_10[[#This Row],[metodo]]&amp;" "&amp;SUBSTITUTE(resultado_db_usuario_10[[#This Row],[rota]],"/api/v1","")</f>
        <v>GET /relatorios/</v>
      </c>
      <c r="C673" t="s">
        <v>12</v>
      </c>
      <c r="D673" t="s">
        <v>27</v>
      </c>
      <c r="E673" t="s">
        <v>28</v>
      </c>
      <c r="F673">
        <v>200</v>
      </c>
      <c r="G673" s="2">
        <v>15.5</v>
      </c>
      <c r="H673" s="1">
        <v>46166.641091076388</v>
      </c>
      <c r="I673" s="1">
        <v>46166.64109125</v>
      </c>
      <c r="J673" t="s">
        <v>15</v>
      </c>
      <c r="K673" t="s">
        <v>16</v>
      </c>
      <c r="L673" s="1">
        <v>46166.641091261576</v>
      </c>
    </row>
    <row r="674" spans="1:12" x14ac:dyDescent="0.25">
      <c r="A674" t="s">
        <v>1470</v>
      </c>
      <c r="B674" t="str">
        <f>resultado_db_usuario_10[[#This Row],[metodo]]&amp;" "&amp;SUBSTITUTE(resultado_db_usuario_10[[#This Row],[rota]],"/api/v1","")</f>
        <v>GET /relatorios/</v>
      </c>
      <c r="C674" t="s">
        <v>12</v>
      </c>
      <c r="D674" t="s">
        <v>27</v>
      </c>
      <c r="E674" t="s">
        <v>28</v>
      </c>
      <c r="F674">
        <v>200</v>
      </c>
      <c r="G674" s="2">
        <v>10.51</v>
      </c>
      <c r="H674" s="1">
        <v>46166.64109153935</v>
      </c>
      <c r="I674" s="1">
        <v>46166.641091655096</v>
      </c>
      <c r="J674" t="s">
        <v>15</v>
      </c>
      <c r="K674" t="s">
        <v>16</v>
      </c>
      <c r="L674" s="1">
        <v>46166.641091678241</v>
      </c>
    </row>
    <row r="675" spans="1:12" x14ac:dyDescent="0.25">
      <c r="A675" t="s">
        <v>1475</v>
      </c>
      <c r="B675" t="str">
        <f>resultado_db_usuario_10[[#This Row],[metodo]]&amp;" "&amp;SUBSTITUTE(resultado_db_usuario_10[[#This Row],[rota]],"/api/v1","")</f>
        <v>GET /relatorios/</v>
      </c>
      <c r="C675" t="s">
        <v>12</v>
      </c>
      <c r="D675" t="s">
        <v>27</v>
      </c>
      <c r="E675" t="s">
        <v>28</v>
      </c>
      <c r="F675">
        <v>200</v>
      </c>
      <c r="G675" s="2">
        <v>4.8600000000000003</v>
      </c>
      <c r="H675" s="1">
        <v>46166.641091712961</v>
      </c>
      <c r="I675" s="1">
        <v>46166.641091770834</v>
      </c>
      <c r="J675" t="s">
        <v>15</v>
      </c>
      <c r="K675" t="s">
        <v>16</v>
      </c>
      <c r="L675" s="1">
        <v>46166.641091782411</v>
      </c>
    </row>
    <row r="676" spans="1:12" x14ac:dyDescent="0.25">
      <c r="A676" t="s">
        <v>1481</v>
      </c>
      <c r="B676" t="str">
        <f>resultado_db_usuario_10[[#This Row],[metodo]]&amp;" "&amp;SUBSTITUTE(resultado_db_usuario_10[[#This Row],[rota]],"/api/v1","")</f>
        <v>GET /relatorios/</v>
      </c>
      <c r="C676" t="s">
        <v>12</v>
      </c>
      <c r="D676" t="s">
        <v>27</v>
      </c>
      <c r="E676" t="s">
        <v>28</v>
      </c>
      <c r="F676">
        <v>200</v>
      </c>
      <c r="G676" s="2">
        <v>8.43</v>
      </c>
      <c r="H676" s="1">
        <v>46166.641091851852</v>
      </c>
      <c r="I676" s="1">
        <v>46166.641091944446</v>
      </c>
      <c r="J676" t="s">
        <v>15</v>
      </c>
      <c r="K676" t="s">
        <v>16</v>
      </c>
      <c r="L676" s="1">
        <v>46166.641091967591</v>
      </c>
    </row>
    <row r="677" spans="1:12" x14ac:dyDescent="0.25">
      <c r="A677" t="s">
        <v>1485</v>
      </c>
      <c r="B677" t="str">
        <f>resultado_db_usuario_10[[#This Row],[metodo]]&amp;" "&amp;SUBSTITUTE(resultado_db_usuario_10[[#This Row],[rota]],"/api/v1","")</f>
        <v>GET /relatorios/</v>
      </c>
      <c r="C677" t="s">
        <v>12</v>
      </c>
      <c r="D677" t="s">
        <v>27</v>
      </c>
      <c r="E677" t="s">
        <v>28</v>
      </c>
      <c r="F677">
        <v>200</v>
      </c>
      <c r="G677" s="2">
        <v>12.39</v>
      </c>
      <c r="H677" s="1">
        <v>46166.641091898149</v>
      </c>
      <c r="I677" s="1">
        <v>46166.64109203704</v>
      </c>
      <c r="J677" t="s">
        <v>15</v>
      </c>
      <c r="K677" t="s">
        <v>16</v>
      </c>
      <c r="L677" s="1">
        <v>46166.641092060185</v>
      </c>
    </row>
    <row r="678" spans="1:12" x14ac:dyDescent="0.25">
      <c r="A678" t="s">
        <v>1497</v>
      </c>
      <c r="B678" t="str">
        <f>resultado_db_usuario_10[[#This Row],[metodo]]&amp;" "&amp;SUBSTITUTE(resultado_db_usuario_10[[#This Row],[rota]],"/api/v1","")</f>
        <v>GET /relatorios/</v>
      </c>
      <c r="C678" t="s">
        <v>12</v>
      </c>
      <c r="D678" t="s">
        <v>27</v>
      </c>
      <c r="E678" t="s">
        <v>28</v>
      </c>
      <c r="F678">
        <v>200</v>
      </c>
      <c r="G678" s="2">
        <v>11.41</v>
      </c>
      <c r="H678" s="1">
        <v>46166.641092256941</v>
      </c>
      <c r="I678" s="1">
        <v>46166.641092395832</v>
      </c>
      <c r="J678" t="s">
        <v>15</v>
      </c>
      <c r="K678" t="s">
        <v>16</v>
      </c>
      <c r="L678" s="1">
        <v>46166.641092407408</v>
      </c>
    </row>
    <row r="679" spans="1:12" x14ac:dyDescent="0.25">
      <c r="A679" t="s">
        <v>1511</v>
      </c>
      <c r="B679" t="str">
        <f>resultado_db_usuario_10[[#This Row],[metodo]]&amp;" "&amp;SUBSTITUTE(resultado_db_usuario_10[[#This Row],[rota]],"/api/v1","")</f>
        <v>GET /relatorios/</v>
      </c>
      <c r="C679" t="s">
        <v>12</v>
      </c>
      <c r="D679" t="s">
        <v>27</v>
      </c>
      <c r="E679" t="s">
        <v>28</v>
      </c>
      <c r="F679">
        <v>200</v>
      </c>
      <c r="G679" s="2">
        <v>6.99</v>
      </c>
      <c r="H679" s="1">
        <v>46166.64109261574</v>
      </c>
      <c r="I679" s="1">
        <v>46166.641092696758</v>
      </c>
      <c r="J679" t="s">
        <v>15</v>
      </c>
      <c r="K679" t="s">
        <v>16</v>
      </c>
      <c r="L679" s="1">
        <v>46166.641092708334</v>
      </c>
    </row>
    <row r="680" spans="1:12" x14ac:dyDescent="0.25">
      <c r="A680" t="s">
        <v>1527</v>
      </c>
      <c r="B680" t="str">
        <f>resultado_db_usuario_10[[#This Row],[metodo]]&amp;" "&amp;SUBSTITUTE(resultado_db_usuario_10[[#This Row],[rota]],"/api/v1","")</f>
        <v>GET /relatorios/</v>
      </c>
      <c r="C680" t="s">
        <v>12</v>
      </c>
      <c r="D680" t="s">
        <v>27</v>
      </c>
      <c r="E680" t="s">
        <v>28</v>
      </c>
      <c r="F680">
        <v>200</v>
      </c>
      <c r="G680" s="2">
        <v>8.7899999999999991</v>
      </c>
      <c r="H680" s="1">
        <v>46166.641092997685</v>
      </c>
      <c r="I680" s="1">
        <v>46166.641093101854</v>
      </c>
      <c r="J680" t="s">
        <v>15</v>
      </c>
      <c r="K680" t="s">
        <v>16</v>
      </c>
      <c r="L680" s="1">
        <v>46166.641093113423</v>
      </c>
    </row>
    <row r="681" spans="1:12" x14ac:dyDescent="0.25">
      <c r="A681" t="s">
        <v>1549</v>
      </c>
      <c r="B681" t="str">
        <f>resultado_db_usuario_10[[#This Row],[metodo]]&amp;" "&amp;SUBSTITUTE(resultado_db_usuario_10[[#This Row],[rota]],"/api/v1","")</f>
        <v>GET /relatorios/</v>
      </c>
      <c r="C681" t="s">
        <v>12</v>
      </c>
      <c r="D681" t="s">
        <v>27</v>
      </c>
      <c r="E681" t="s">
        <v>28</v>
      </c>
      <c r="F681">
        <v>200</v>
      </c>
      <c r="G681" s="2">
        <v>7.98</v>
      </c>
      <c r="H681" s="1">
        <v>46166.641093773149</v>
      </c>
      <c r="I681" s="1">
        <v>46166.641093865743</v>
      </c>
      <c r="J681" t="s">
        <v>15</v>
      </c>
      <c r="K681" t="s">
        <v>16</v>
      </c>
      <c r="L681" s="1">
        <v>46166.641093877312</v>
      </c>
    </row>
    <row r="682" spans="1:12" x14ac:dyDescent="0.25">
      <c r="A682" t="s">
        <v>1560</v>
      </c>
      <c r="B682" t="str">
        <f>resultado_db_usuario_10[[#This Row],[metodo]]&amp;" "&amp;SUBSTITUTE(resultado_db_usuario_10[[#This Row],[rota]],"/api/v1","")</f>
        <v>GET /relatorios/</v>
      </c>
      <c r="C682" t="s">
        <v>12</v>
      </c>
      <c r="D682" t="s">
        <v>27</v>
      </c>
      <c r="E682" t="s">
        <v>28</v>
      </c>
      <c r="F682">
        <v>200</v>
      </c>
      <c r="G682" s="2">
        <v>11.73</v>
      </c>
      <c r="H682" s="1">
        <v>46166.641094039354</v>
      </c>
      <c r="I682" s="1">
        <v>46166.641094178238</v>
      </c>
      <c r="J682" t="s">
        <v>15</v>
      </c>
      <c r="K682" t="s">
        <v>16</v>
      </c>
      <c r="L682" s="1">
        <v>46166.641094189814</v>
      </c>
    </row>
    <row r="683" spans="1:12" x14ac:dyDescent="0.25">
      <c r="A683" t="s">
        <v>1566</v>
      </c>
      <c r="B683" t="str">
        <f>resultado_db_usuario_10[[#This Row],[metodo]]&amp;" "&amp;SUBSTITUTE(resultado_db_usuario_10[[#This Row],[rota]],"/api/v1","")</f>
        <v>GET /relatorios/</v>
      </c>
      <c r="C683" t="s">
        <v>12</v>
      </c>
      <c r="D683" t="s">
        <v>27</v>
      </c>
      <c r="E683" t="s">
        <v>28</v>
      </c>
      <c r="F683">
        <v>200</v>
      </c>
      <c r="G683" s="2" t="s">
        <v>1567</v>
      </c>
      <c r="H683" s="1">
        <v>46166.641094224535</v>
      </c>
      <c r="I683" s="1">
        <v>46166.641094293984</v>
      </c>
      <c r="J683" t="s">
        <v>15</v>
      </c>
      <c r="K683" t="s">
        <v>16</v>
      </c>
      <c r="L683" s="1">
        <v>46166.641094305553</v>
      </c>
    </row>
    <row r="684" spans="1:12" x14ac:dyDescent="0.25">
      <c r="A684" t="s">
        <v>1571</v>
      </c>
      <c r="B684" t="str">
        <f>resultado_db_usuario_10[[#This Row],[metodo]]&amp;" "&amp;SUBSTITUTE(resultado_db_usuario_10[[#This Row],[rota]],"/api/v1","")</f>
        <v>GET /relatorios/</v>
      </c>
      <c r="C684" t="s">
        <v>12</v>
      </c>
      <c r="D684" t="s">
        <v>27</v>
      </c>
      <c r="E684" t="s">
        <v>28</v>
      </c>
      <c r="F684">
        <v>200</v>
      </c>
      <c r="G684" s="2">
        <v>9.67</v>
      </c>
      <c r="H684" s="1">
        <v>46166.641094282408</v>
      </c>
      <c r="I684" s="1">
        <v>46166.641094386578</v>
      </c>
      <c r="J684" t="s">
        <v>15</v>
      </c>
      <c r="K684" t="s">
        <v>16</v>
      </c>
      <c r="L684" s="1">
        <v>46166.641094409722</v>
      </c>
    </row>
    <row r="685" spans="1:12" x14ac:dyDescent="0.25">
      <c r="A685" t="s">
        <v>1576</v>
      </c>
      <c r="B685" t="str">
        <f>resultado_db_usuario_10[[#This Row],[metodo]]&amp;" "&amp;SUBSTITUTE(resultado_db_usuario_10[[#This Row],[rota]],"/api/v1","")</f>
        <v>GET /relatorios/</v>
      </c>
      <c r="C685" t="s">
        <v>12</v>
      </c>
      <c r="D685" t="s">
        <v>27</v>
      </c>
      <c r="E685" t="s">
        <v>28</v>
      </c>
      <c r="F685">
        <v>200</v>
      </c>
      <c r="G685" s="2">
        <v>6.99</v>
      </c>
      <c r="H685" s="1">
        <v>46166.641094432867</v>
      </c>
      <c r="I685" s="1">
        <v>46166.641094513892</v>
      </c>
      <c r="J685" t="s">
        <v>15</v>
      </c>
      <c r="K685" t="s">
        <v>16</v>
      </c>
      <c r="L685" s="1">
        <v>46166.641094537037</v>
      </c>
    </row>
    <row r="686" spans="1:12" x14ac:dyDescent="0.25">
      <c r="A686" t="s">
        <v>1584</v>
      </c>
      <c r="B686" t="str">
        <f>resultado_db_usuario_10[[#This Row],[metodo]]&amp;" "&amp;SUBSTITUTE(resultado_db_usuario_10[[#This Row],[rota]],"/api/v1","")</f>
        <v>GET /relatorios/</v>
      </c>
      <c r="C686" t="s">
        <v>12</v>
      </c>
      <c r="D686" t="s">
        <v>27</v>
      </c>
      <c r="E686" t="s">
        <v>28</v>
      </c>
      <c r="F686">
        <v>200</v>
      </c>
      <c r="G686" s="2">
        <v>9.08</v>
      </c>
      <c r="H686" s="1">
        <v>46166.641094675928</v>
      </c>
      <c r="I686" s="1">
        <v>46166.64109478009</v>
      </c>
      <c r="J686" t="s">
        <v>15</v>
      </c>
      <c r="K686" t="s">
        <v>16</v>
      </c>
      <c r="L686" s="1">
        <v>46166.641094791667</v>
      </c>
    </row>
    <row r="687" spans="1:12" x14ac:dyDescent="0.25">
      <c r="A687" t="s">
        <v>1612</v>
      </c>
      <c r="B687" t="str">
        <f>resultado_db_usuario_10[[#This Row],[metodo]]&amp;" "&amp;SUBSTITUTE(resultado_db_usuario_10[[#This Row],[rota]],"/api/v1","")</f>
        <v>GET /relatorios/</v>
      </c>
      <c r="C687" t="s">
        <v>12</v>
      </c>
      <c r="D687" t="s">
        <v>27</v>
      </c>
      <c r="E687" t="s">
        <v>28</v>
      </c>
      <c r="F687">
        <v>200</v>
      </c>
      <c r="G687" s="2">
        <v>8.18</v>
      </c>
      <c r="H687" s="1">
        <v>46166.641095462961</v>
      </c>
      <c r="I687" s="1">
        <v>46166.641095555555</v>
      </c>
      <c r="J687" t="s">
        <v>15</v>
      </c>
      <c r="K687" t="s">
        <v>16</v>
      </c>
      <c r="L687" s="1">
        <v>46166.641095567131</v>
      </c>
    </row>
    <row r="688" spans="1:12" x14ac:dyDescent="0.25">
      <c r="A688" t="s">
        <v>1632</v>
      </c>
      <c r="B688" t="str">
        <f>resultado_db_usuario_10[[#This Row],[metodo]]&amp;" "&amp;SUBSTITUTE(resultado_db_usuario_10[[#This Row],[rota]],"/api/v1","")</f>
        <v>GET /relatorios/</v>
      </c>
      <c r="C688" t="s">
        <v>12</v>
      </c>
      <c r="D688" t="s">
        <v>27</v>
      </c>
      <c r="E688" t="s">
        <v>28</v>
      </c>
      <c r="F688">
        <v>200</v>
      </c>
      <c r="G688" s="2">
        <v>5.18</v>
      </c>
      <c r="H688" s="1">
        <v>46166.641096087966</v>
      </c>
      <c r="I688" s="1">
        <v>46166.641096157407</v>
      </c>
      <c r="J688" t="s">
        <v>15</v>
      </c>
      <c r="K688" t="s">
        <v>16</v>
      </c>
      <c r="L688" s="1">
        <v>46166.641096168983</v>
      </c>
    </row>
    <row r="689" spans="1:12" x14ac:dyDescent="0.25">
      <c r="A689" t="s">
        <v>1636</v>
      </c>
      <c r="B689" t="str">
        <f>resultado_db_usuario_10[[#This Row],[metodo]]&amp;" "&amp;SUBSTITUTE(resultado_db_usuario_10[[#This Row],[rota]],"/api/v1","")</f>
        <v>GET /relatorios/</v>
      </c>
      <c r="C689" t="s">
        <v>12</v>
      </c>
      <c r="D689" t="s">
        <v>27</v>
      </c>
      <c r="E689" t="s">
        <v>28</v>
      </c>
      <c r="F689">
        <v>200</v>
      </c>
      <c r="G689" s="2">
        <v>8.52</v>
      </c>
      <c r="H689" s="1">
        <v>46166.64109621528</v>
      </c>
      <c r="I689" s="1">
        <v>46166.641096319443</v>
      </c>
      <c r="J689" t="s">
        <v>15</v>
      </c>
      <c r="K689" t="s">
        <v>16</v>
      </c>
      <c r="L689" s="1">
        <v>46166.641096331019</v>
      </c>
    </row>
    <row r="690" spans="1:12" x14ac:dyDescent="0.25">
      <c r="A690" t="s">
        <v>1639</v>
      </c>
      <c r="B690" t="str">
        <f>resultado_db_usuario_10[[#This Row],[metodo]]&amp;" "&amp;SUBSTITUTE(resultado_db_usuario_10[[#This Row],[rota]],"/api/v1","")</f>
        <v>GET /relatorios/</v>
      </c>
      <c r="C690" t="s">
        <v>12</v>
      </c>
      <c r="D690" t="s">
        <v>27</v>
      </c>
      <c r="E690" t="s">
        <v>28</v>
      </c>
      <c r="F690">
        <v>200</v>
      </c>
      <c r="G690" s="2">
        <v>12.9</v>
      </c>
      <c r="H690" s="1">
        <v>46166.641096273146</v>
      </c>
      <c r="I690" s="1">
        <v>46166.641096423613</v>
      </c>
      <c r="J690" t="s">
        <v>15</v>
      </c>
      <c r="K690" t="s">
        <v>16</v>
      </c>
      <c r="L690" s="1">
        <v>46166.641096435182</v>
      </c>
    </row>
    <row r="691" spans="1:12" x14ac:dyDescent="0.25">
      <c r="A691" t="s">
        <v>1643</v>
      </c>
      <c r="B691" t="str">
        <f>resultado_db_usuario_10[[#This Row],[metodo]]&amp;" "&amp;SUBSTITUTE(resultado_db_usuario_10[[#This Row],[rota]],"/api/v1","")</f>
        <v>GET /relatorios/</v>
      </c>
      <c r="C691" t="s">
        <v>12</v>
      </c>
      <c r="D691" t="s">
        <v>27</v>
      </c>
      <c r="E691" t="s">
        <v>28</v>
      </c>
      <c r="F691">
        <v>200</v>
      </c>
      <c r="G691" s="2">
        <v>5.52</v>
      </c>
      <c r="H691" s="1">
        <v>46166.641096435182</v>
      </c>
      <c r="I691" s="1">
        <v>46166.641096504631</v>
      </c>
      <c r="J691" t="s">
        <v>15</v>
      </c>
      <c r="K691" t="s">
        <v>16</v>
      </c>
      <c r="L691" s="1">
        <v>46166.641096527776</v>
      </c>
    </row>
    <row r="692" spans="1:12" x14ac:dyDescent="0.25">
      <c r="A692" t="s">
        <v>1656</v>
      </c>
      <c r="B692" t="str">
        <f>resultado_db_usuario_10[[#This Row],[metodo]]&amp;" "&amp;SUBSTITUTE(resultado_db_usuario_10[[#This Row],[rota]],"/api/v1","")</f>
        <v>GET /relatorios/</v>
      </c>
      <c r="C692" t="s">
        <v>12</v>
      </c>
      <c r="D692" t="s">
        <v>27</v>
      </c>
      <c r="E692" t="s">
        <v>28</v>
      </c>
      <c r="F692">
        <v>200</v>
      </c>
      <c r="G692" s="2">
        <v>4.17</v>
      </c>
      <c r="H692" s="1">
        <v>46166.641096840278</v>
      </c>
      <c r="I692" s="1">
        <v>46166.641096886575</v>
      </c>
      <c r="J692" t="s">
        <v>15</v>
      </c>
      <c r="K692" t="s">
        <v>16</v>
      </c>
      <c r="L692" s="1">
        <v>46166.64109690972</v>
      </c>
    </row>
    <row r="693" spans="1:12" x14ac:dyDescent="0.25">
      <c r="A693" t="s">
        <v>1684</v>
      </c>
      <c r="B693" t="str">
        <f>resultado_db_usuario_10[[#This Row],[metodo]]&amp;" "&amp;SUBSTITUTE(resultado_db_usuario_10[[#This Row],[rota]],"/api/v1","")</f>
        <v>GET /relatorios/</v>
      </c>
      <c r="C693" t="s">
        <v>12</v>
      </c>
      <c r="D693" t="s">
        <v>27</v>
      </c>
      <c r="E693" t="s">
        <v>28</v>
      </c>
      <c r="F693">
        <v>200</v>
      </c>
      <c r="G693" s="2">
        <v>6.78</v>
      </c>
      <c r="H693" s="1">
        <v>46166.641097557869</v>
      </c>
      <c r="I693" s="1">
        <v>46166.641097627318</v>
      </c>
      <c r="J693" t="s">
        <v>15</v>
      </c>
      <c r="K693" t="s">
        <v>16</v>
      </c>
      <c r="L693" s="1">
        <v>46166.641097650463</v>
      </c>
    </row>
    <row r="694" spans="1:12" x14ac:dyDescent="0.25">
      <c r="A694" t="s">
        <v>1698</v>
      </c>
      <c r="B694" t="str">
        <f>resultado_db_usuario_10[[#This Row],[metodo]]&amp;" "&amp;SUBSTITUTE(resultado_db_usuario_10[[#This Row],[rota]],"/api/v1","")</f>
        <v>GET /relatorios/</v>
      </c>
      <c r="C694" t="s">
        <v>12</v>
      </c>
      <c r="D694" t="s">
        <v>27</v>
      </c>
      <c r="E694" t="s">
        <v>28</v>
      </c>
      <c r="F694">
        <v>200</v>
      </c>
      <c r="G694" s="2">
        <v>6.2</v>
      </c>
      <c r="H694" s="1">
        <v>46166.641097962965</v>
      </c>
      <c r="I694" s="1">
        <v>46166.641098032407</v>
      </c>
      <c r="J694" t="s">
        <v>15</v>
      </c>
      <c r="K694" t="s">
        <v>16</v>
      </c>
      <c r="L694" s="1">
        <v>46166.641098055552</v>
      </c>
    </row>
    <row r="695" spans="1:12" x14ac:dyDescent="0.25">
      <c r="A695" t="s">
        <v>1701</v>
      </c>
      <c r="B695" t="str">
        <f>resultado_db_usuario_10[[#This Row],[metodo]]&amp;" "&amp;SUBSTITUTE(resultado_db_usuario_10[[#This Row],[rota]],"/api/v1","")</f>
        <v>GET /relatorios/</v>
      </c>
      <c r="C695" t="s">
        <v>12</v>
      </c>
      <c r="D695" t="s">
        <v>27</v>
      </c>
      <c r="E695" t="s">
        <v>28</v>
      </c>
      <c r="F695">
        <v>200</v>
      </c>
      <c r="G695" s="2">
        <v>7.94</v>
      </c>
      <c r="H695" s="1">
        <v>46166.64109809028</v>
      </c>
      <c r="I695" s="1">
        <v>46166.641098182874</v>
      </c>
      <c r="J695" t="s">
        <v>15</v>
      </c>
      <c r="K695" t="s">
        <v>16</v>
      </c>
      <c r="L695" s="1">
        <v>46166.641098194443</v>
      </c>
    </row>
    <row r="696" spans="1:12" x14ac:dyDescent="0.25">
      <c r="A696" t="s">
        <v>1705</v>
      </c>
      <c r="B696" t="str">
        <f>resultado_db_usuario_10[[#This Row],[metodo]]&amp;" "&amp;SUBSTITUTE(resultado_db_usuario_10[[#This Row],[rota]],"/api/v1","")</f>
        <v>GET /relatorios/</v>
      </c>
      <c r="C696" t="s">
        <v>12</v>
      </c>
      <c r="D696" t="s">
        <v>27</v>
      </c>
      <c r="E696" t="s">
        <v>28</v>
      </c>
      <c r="F696">
        <v>200</v>
      </c>
      <c r="G696" s="2">
        <v>3.02</v>
      </c>
      <c r="H696" s="1">
        <v>46166.641098252316</v>
      </c>
      <c r="I696" s="1">
        <v>46166.641098287037</v>
      </c>
      <c r="J696" t="s">
        <v>15</v>
      </c>
      <c r="K696" t="s">
        <v>16</v>
      </c>
      <c r="L696" s="1">
        <v>46166.641098298613</v>
      </c>
    </row>
    <row r="697" spans="1:12" x14ac:dyDescent="0.25">
      <c r="A697" t="s">
        <v>1718</v>
      </c>
      <c r="B697" t="str">
        <f>resultado_db_usuario_10[[#This Row],[metodo]]&amp;" "&amp;SUBSTITUTE(resultado_db_usuario_10[[#This Row],[rota]],"/api/v1","")</f>
        <v>GET /relatorios/</v>
      </c>
      <c r="C697" t="s">
        <v>12</v>
      </c>
      <c r="D697" t="s">
        <v>27</v>
      </c>
      <c r="E697" t="s">
        <v>28</v>
      </c>
      <c r="F697">
        <v>200</v>
      </c>
      <c r="G697" s="2">
        <v>5.75</v>
      </c>
      <c r="H697" s="1">
        <v>46166.641098576387</v>
      </c>
      <c r="I697" s="1">
        <v>46166.641098645836</v>
      </c>
      <c r="J697" t="s">
        <v>15</v>
      </c>
      <c r="K697" t="s">
        <v>16</v>
      </c>
      <c r="L697" s="1">
        <v>46166.641098657405</v>
      </c>
    </row>
    <row r="698" spans="1:12" x14ac:dyDescent="0.25">
      <c r="A698" t="s">
        <v>1736</v>
      </c>
      <c r="B698" t="str">
        <f>resultado_db_usuario_10[[#This Row],[metodo]]&amp;" "&amp;SUBSTITUTE(resultado_db_usuario_10[[#This Row],[rota]],"/api/v1","")</f>
        <v>GET /relatorios/</v>
      </c>
      <c r="C698" t="s">
        <v>12</v>
      </c>
      <c r="D698" t="s">
        <v>27</v>
      </c>
      <c r="E698" t="s">
        <v>28</v>
      </c>
      <c r="F698">
        <v>200</v>
      </c>
      <c r="G698" s="2">
        <v>7.67</v>
      </c>
      <c r="H698" s="1">
        <v>46166.641099074077</v>
      </c>
      <c r="I698" s="1">
        <v>46166.641099155095</v>
      </c>
      <c r="J698" t="s">
        <v>15</v>
      </c>
      <c r="K698" t="s">
        <v>16</v>
      </c>
      <c r="L698" s="1">
        <v>46166.64109917824</v>
      </c>
    </row>
    <row r="699" spans="1:12" x14ac:dyDescent="0.25">
      <c r="A699" t="s">
        <v>1746</v>
      </c>
      <c r="B699" t="str">
        <f>resultado_db_usuario_10[[#This Row],[metodo]]&amp;" "&amp;SUBSTITUTE(resultado_db_usuario_10[[#This Row],[rota]],"/api/v1","")</f>
        <v>GET /relatorios/</v>
      </c>
      <c r="C699" t="s">
        <v>12</v>
      </c>
      <c r="D699" t="s">
        <v>27</v>
      </c>
      <c r="E699" t="s">
        <v>28</v>
      </c>
      <c r="F699">
        <v>200</v>
      </c>
      <c r="G699" s="2">
        <v>2.33</v>
      </c>
      <c r="H699" s="1">
        <v>46166.641099398148</v>
      </c>
      <c r="I699" s="1">
        <v>46166.641099421293</v>
      </c>
      <c r="J699" t="s">
        <v>15</v>
      </c>
      <c r="K699" t="s">
        <v>16</v>
      </c>
      <c r="L699" s="1">
        <v>46166.641099444445</v>
      </c>
    </row>
    <row r="700" spans="1:12" x14ac:dyDescent="0.25">
      <c r="A700" t="s">
        <v>1759</v>
      </c>
      <c r="B700" t="str">
        <f>resultado_db_usuario_10[[#This Row],[metodo]]&amp;" "&amp;SUBSTITUTE(resultado_db_usuario_10[[#This Row],[rota]],"/api/v1","")</f>
        <v>GET /relatorios/</v>
      </c>
      <c r="C700" t="s">
        <v>12</v>
      </c>
      <c r="D700" t="s">
        <v>27</v>
      </c>
      <c r="E700" t="s">
        <v>28</v>
      </c>
      <c r="F700">
        <v>200</v>
      </c>
      <c r="G700" s="2">
        <v>6.17</v>
      </c>
      <c r="H700" s="1">
        <v>46166.641099756947</v>
      </c>
      <c r="I700" s="1">
        <v>46166.641099826389</v>
      </c>
      <c r="J700" t="s">
        <v>15</v>
      </c>
      <c r="K700" t="s">
        <v>16</v>
      </c>
      <c r="L700" s="1">
        <v>46166.641099837965</v>
      </c>
    </row>
    <row r="701" spans="1:12" x14ac:dyDescent="0.25">
      <c r="A701" t="s">
        <v>1768</v>
      </c>
      <c r="B701" t="str">
        <f>resultado_db_usuario_10[[#This Row],[metodo]]&amp;" "&amp;SUBSTITUTE(resultado_db_usuario_10[[#This Row],[rota]],"/api/v1","")</f>
        <v>GET /relatorios/</v>
      </c>
      <c r="C701" t="s">
        <v>12</v>
      </c>
      <c r="D701" t="s">
        <v>27</v>
      </c>
      <c r="E701" t="s">
        <v>28</v>
      </c>
      <c r="F701">
        <v>200</v>
      </c>
      <c r="G701" s="2">
        <v>2.41</v>
      </c>
      <c r="H701" s="1">
        <v>46166.641100046298</v>
      </c>
      <c r="I701" s="1">
        <v>46166.641100081019</v>
      </c>
      <c r="J701" t="s">
        <v>15</v>
      </c>
      <c r="K701" t="s">
        <v>16</v>
      </c>
      <c r="L701" s="1">
        <v>46166.641100092595</v>
      </c>
    </row>
    <row r="702" spans="1:12" x14ac:dyDescent="0.25">
      <c r="A702" t="s">
        <v>663</v>
      </c>
      <c r="B702" t="str">
        <f>resultado_db_usuario_10[[#This Row],[metodo]]&amp;" "&amp;SUBSTITUTE(resultado_db_usuario_10[[#This Row],[rota]],"/api/v1","")</f>
        <v>GET /testes/</v>
      </c>
      <c r="C702" t="s">
        <v>12</v>
      </c>
      <c r="D702" t="s">
        <v>30</v>
      </c>
      <c r="E702" t="s">
        <v>31</v>
      </c>
      <c r="F702">
        <v>200</v>
      </c>
      <c r="G702" s="2">
        <v>2.82</v>
      </c>
      <c r="H702" s="1">
        <v>46166.641066064818</v>
      </c>
      <c r="I702" s="1">
        <v>46166.641066087963</v>
      </c>
      <c r="J702" t="s">
        <v>15</v>
      </c>
      <c r="K702" t="s">
        <v>16</v>
      </c>
      <c r="L702" s="1">
        <v>46166.641066111108</v>
      </c>
    </row>
    <row r="703" spans="1:12" x14ac:dyDescent="0.25">
      <c r="A703" t="s">
        <v>680</v>
      </c>
      <c r="B703" t="str">
        <f>resultado_db_usuario_10[[#This Row],[metodo]]&amp;" "&amp;SUBSTITUTE(resultado_db_usuario_10[[#This Row],[rota]],"/api/v1","")</f>
        <v>GET /testes/</v>
      </c>
      <c r="C703" t="s">
        <v>12</v>
      </c>
      <c r="D703" t="s">
        <v>30</v>
      </c>
      <c r="E703" t="s">
        <v>31</v>
      </c>
      <c r="F703">
        <v>200</v>
      </c>
      <c r="G703" s="2">
        <v>4.1399999999999997</v>
      </c>
      <c r="H703" s="1">
        <v>46166.64106707176</v>
      </c>
      <c r="I703" s="1">
        <v>46166.641067118057</v>
      </c>
      <c r="J703" t="s">
        <v>15</v>
      </c>
      <c r="K703" t="s">
        <v>16</v>
      </c>
      <c r="L703" s="1">
        <v>46166.641067129633</v>
      </c>
    </row>
    <row r="704" spans="1:12" x14ac:dyDescent="0.25">
      <c r="A704" t="s">
        <v>682</v>
      </c>
      <c r="B704" t="str">
        <f>resultado_db_usuario_10[[#This Row],[metodo]]&amp;" "&amp;SUBSTITUTE(resultado_db_usuario_10[[#This Row],[rota]],"/api/v1","")</f>
        <v>GET /testes/</v>
      </c>
      <c r="C704" t="s">
        <v>12</v>
      </c>
      <c r="D704" t="s">
        <v>30</v>
      </c>
      <c r="E704" t="s">
        <v>31</v>
      </c>
      <c r="F704">
        <v>200</v>
      </c>
      <c r="G704" s="2">
        <v>1.96</v>
      </c>
      <c r="H704" s="1">
        <v>46166.641067175929</v>
      </c>
      <c r="I704" s="1">
        <v>46166.641067199074</v>
      </c>
      <c r="J704" t="s">
        <v>15</v>
      </c>
      <c r="K704" t="s">
        <v>16</v>
      </c>
      <c r="L704" s="1">
        <v>46166.641067222219</v>
      </c>
    </row>
    <row r="705" spans="1:12" x14ac:dyDescent="0.25">
      <c r="A705" t="s">
        <v>702</v>
      </c>
      <c r="B705" t="str">
        <f>resultado_db_usuario_10[[#This Row],[metodo]]&amp;" "&amp;SUBSTITUTE(resultado_db_usuario_10[[#This Row],[rota]],"/api/v1","")</f>
        <v>GET /testes/</v>
      </c>
      <c r="C705" t="s">
        <v>12</v>
      </c>
      <c r="D705" t="s">
        <v>30</v>
      </c>
      <c r="E705" t="s">
        <v>31</v>
      </c>
      <c r="F705">
        <v>200</v>
      </c>
      <c r="G705" s="2">
        <v>3.61</v>
      </c>
      <c r="H705" s="1">
        <v>46166.641067997683</v>
      </c>
      <c r="I705" s="1">
        <v>46166.64106804398</v>
      </c>
      <c r="J705" t="s">
        <v>15</v>
      </c>
      <c r="K705" t="s">
        <v>16</v>
      </c>
      <c r="L705" s="1">
        <v>46166.641068055556</v>
      </c>
    </row>
    <row r="706" spans="1:12" x14ac:dyDescent="0.25">
      <c r="A706" t="s">
        <v>705</v>
      </c>
      <c r="B706" t="str">
        <f>resultado_db_usuario_10[[#This Row],[metodo]]&amp;" "&amp;SUBSTITUTE(resultado_db_usuario_10[[#This Row],[rota]],"/api/v1","")</f>
        <v>GET /testes/</v>
      </c>
      <c r="C706" t="s">
        <v>12</v>
      </c>
      <c r="D706" t="s">
        <v>30</v>
      </c>
      <c r="E706" t="s">
        <v>31</v>
      </c>
      <c r="F706">
        <v>200</v>
      </c>
      <c r="G706" s="2">
        <v>4.93</v>
      </c>
      <c r="H706" s="1">
        <v>46166.641068101853</v>
      </c>
      <c r="I706" s="1">
        <v>46166.641068159719</v>
      </c>
      <c r="J706" t="s">
        <v>15</v>
      </c>
      <c r="K706" t="s">
        <v>16</v>
      </c>
      <c r="L706" s="1">
        <v>46166.641068182871</v>
      </c>
    </row>
    <row r="707" spans="1:12" x14ac:dyDescent="0.25">
      <c r="A707" t="s">
        <v>717</v>
      </c>
      <c r="B707" t="str">
        <f>resultado_db_usuario_10[[#This Row],[metodo]]&amp;" "&amp;SUBSTITUTE(resultado_db_usuario_10[[#This Row],[rota]],"/api/v1","")</f>
        <v>GET /testes/</v>
      </c>
      <c r="C707" t="s">
        <v>12</v>
      </c>
      <c r="D707" t="s">
        <v>30</v>
      </c>
      <c r="E707" t="s">
        <v>31</v>
      </c>
      <c r="F707">
        <v>200</v>
      </c>
      <c r="G707" s="2">
        <v>3.99</v>
      </c>
      <c r="H707" s="1">
        <v>46166.641068425924</v>
      </c>
      <c r="I707" s="1">
        <v>46166.641068472221</v>
      </c>
      <c r="J707" t="s">
        <v>15</v>
      </c>
      <c r="K707" t="s">
        <v>16</v>
      </c>
      <c r="L707" s="1">
        <v>46166.641068483797</v>
      </c>
    </row>
    <row r="708" spans="1:12" x14ac:dyDescent="0.25">
      <c r="A708" t="s">
        <v>737</v>
      </c>
      <c r="B708" t="str">
        <f>resultado_db_usuario_10[[#This Row],[metodo]]&amp;" "&amp;SUBSTITUTE(resultado_db_usuario_10[[#This Row],[rota]],"/api/v1","")</f>
        <v>GET /testes/</v>
      </c>
      <c r="C708" t="s">
        <v>12</v>
      </c>
      <c r="D708" t="s">
        <v>30</v>
      </c>
      <c r="E708" t="s">
        <v>31</v>
      </c>
      <c r="F708">
        <v>200</v>
      </c>
      <c r="G708" s="2">
        <v>5.48</v>
      </c>
      <c r="H708" s="1">
        <v>46166.64106908565</v>
      </c>
      <c r="I708" s="1">
        <v>46166.641069155092</v>
      </c>
      <c r="J708" t="s">
        <v>15</v>
      </c>
      <c r="K708" t="s">
        <v>16</v>
      </c>
      <c r="L708" s="1">
        <v>46166.641069166668</v>
      </c>
    </row>
    <row r="709" spans="1:12" x14ac:dyDescent="0.25">
      <c r="A709" t="s">
        <v>743</v>
      </c>
      <c r="B709" t="str">
        <f>resultado_db_usuario_10[[#This Row],[metodo]]&amp;" "&amp;SUBSTITUTE(resultado_db_usuario_10[[#This Row],[rota]],"/api/v1","")</f>
        <v>GET /testes/</v>
      </c>
      <c r="C709" t="s">
        <v>12</v>
      </c>
      <c r="D709" t="s">
        <v>30</v>
      </c>
      <c r="E709" t="s">
        <v>31</v>
      </c>
      <c r="F709">
        <v>200</v>
      </c>
      <c r="G709" s="2">
        <v>7.7</v>
      </c>
      <c r="H709" s="1">
        <v>46166.641069317127</v>
      </c>
      <c r="I709" s="1">
        <v>46166.641069409721</v>
      </c>
      <c r="J709" t="s">
        <v>15</v>
      </c>
      <c r="K709" t="s">
        <v>16</v>
      </c>
      <c r="L709" s="1">
        <v>46166.641069432873</v>
      </c>
    </row>
    <row r="710" spans="1:12" x14ac:dyDescent="0.25">
      <c r="A710" t="s">
        <v>755</v>
      </c>
      <c r="B710" t="str">
        <f>resultado_db_usuario_10[[#This Row],[metodo]]&amp;" "&amp;SUBSTITUTE(resultado_db_usuario_10[[#This Row],[rota]],"/api/v1","")</f>
        <v>GET /testes/</v>
      </c>
      <c r="C710" t="s">
        <v>12</v>
      </c>
      <c r="D710" t="s">
        <v>30</v>
      </c>
      <c r="E710" t="s">
        <v>31</v>
      </c>
      <c r="F710">
        <v>200</v>
      </c>
      <c r="G710" s="2">
        <v>4.05</v>
      </c>
      <c r="H710" s="1">
        <v>46166.641069699072</v>
      </c>
      <c r="I710" s="1">
        <v>46166.641069745368</v>
      </c>
      <c r="J710" t="s">
        <v>15</v>
      </c>
      <c r="K710" t="s">
        <v>16</v>
      </c>
      <c r="L710" s="1">
        <v>46166.641069768521</v>
      </c>
    </row>
    <row r="711" spans="1:12" x14ac:dyDescent="0.25">
      <c r="A711" t="s">
        <v>757</v>
      </c>
      <c r="B711" t="str">
        <f>resultado_db_usuario_10[[#This Row],[metodo]]&amp;" "&amp;SUBSTITUTE(resultado_db_usuario_10[[#This Row],[rota]],"/api/v1","")</f>
        <v>GET /testes/</v>
      </c>
      <c r="C711" t="s">
        <v>12</v>
      </c>
      <c r="D711" t="s">
        <v>30</v>
      </c>
      <c r="E711" t="s">
        <v>31</v>
      </c>
      <c r="F711">
        <v>200</v>
      </c>
      <c r="G711" s="2">
        <v>2.88</v>
      </c>
      <c r="H711" s="1">
        <v>46166.641069780089</v>
      </c>
      <c r="I711" s="1">
        <v>46166.641069814817</v>
      </c>
      <c r="J711" t="s">
        <v>15</v>
      </c>
      <c r="K711" t="s">
        <v>16</v>
      </c>
      <c r="L711" s="1">
        <v>46166.641069826386</v>
      </c>
    </row>
    <row r="712" spans="1:12" x14ac:dyDescent="0.25">
      <c r="A712" t="s">
        <v>782</v>
      </c>
      <c r="B712" t="str">
        <f>resultado_db_usuario_10[[#This Row],[metodo]]&amp;" "&amp;SUBSTITUTE(resultado_db_usuario_10[[#This Row],[rota]],"/api/v1","")</f>
        <v>GET /testes/</v>
      </c>
      <c r="C712" t="s">
        <v>12</v>
      </c>
      <c r="D712" t="s">
        <v>30</v>
      </c>
      <c r="E712" t="s">
        <v>31</v>
      </c>
      <c r="F712">
        <v>200</v>
      </c>
      <c r="G712" s="2">
        <v>9.93</v>
      </c>
      <c r="H712" s="1">
        <v>46166.641070740741</v>
      </c>
      <c r="I712" s="1">
        <v>46166.64107085648</v>
      </c>
      <c r="J712" t="s">
        <v>15</v>
      </c>
      <c r="K712" t="s">
        <v>16</v>
      </c>
      <c r="L712" s="1">
        <v>46166.641070868056</v>
      </c>
    </row>
    <row r="713" spans="1:12" x14ac:dyDescent="0.25">
      <c r="A713" t="s">
        <v>789</v>
      </c>
      <c r="B713" t="str">
        <f>resultado_db_usuario_10[[#This Row],[metodo]]&amp;" "&amp;SUBSTITUTE(resultado_db_usuario_10[[#This Row],[rota]],"/api/v1","")</f>
        <v>GET /testes/</v>
      </c>
      <c r="C713" t="s">
        <v>12</v>
      </c>
      <c r="D713" t="s">
        <v>30</v>
      </c>
      <c r="E713" t="s">
        <v>31</v>
      </c>
      <c r="F713">
        <v>200</v>
      </c>
      <c r="G713" s="2">
        <v>7.78</v>
      </c>
      <c r="H713" s="1">
        <v>46166.641070983795</v>
      </c>
      <c r="I713" s="1">
        <v>46166.641071064812</v>
      </c>
      <c r="J713" t="s">
        <v>15</v>
      </c>
      <c r="K713" t="s">
        <v>16</v>
      </c>
      <c r="L713" s="1">
        <v>46166.641071087965</v>
      </c>
    </row>
    <row r="714" spans="1:12" x14ac:dyDescent="0.25">
      <c r="A714" t="s">
        <v>795</v>
      </c>
      <c r="B714" t="str">
        <f>resultado_db_usuario_10[[#This Row],[metodo]]&amp;" "&amp;SUBSTITUTE(resultado_db_usuario_10[[#This Row],[rota]],"/api/v1","")</f>
        <v>GET /testes/</v>
      </c>
      <c r="C714" t="s">
        <v>12</v>
      </c>
      <c r="D714" t="s">
        <v>30</v>
      </c>
      <c r="E714" t="s">
        <v>31</v>
      </c>
      <c r="F714">
        <v>200</v>
      </c>
      <c r="G714" s="2">
        <v>3.53</v>
      </c>
      <c r="H714" s="1">
        <v>46166.641071215279</v>
      </c>
      <c r="I714" s="1">
        <v>46166.64107125</v>
      </c>
      <c r="J714" t="s">
        <v>15</v>
      </c>
      <c r="K714" t="s">
        <v>16</v>
      </c>
      <c r="L714" s="1">
        <v>46166.641071273145</v>
      </c>
    </row>
    <row r="715" spans="1:12" x14ac:dyDescent="0.25">
      <c r="A715" t="s">
        <v>801</v>
      </c>
      <c r="B715" t="str">
        <f>resultado_db_usuario_10[[#This Row],[metodo]]&amp;" "&amp;SUBSTITUTE(resultado_db_usuario_10[[#This Row],[rota]],"/api/v1","")</f>
        <v>GET /testes/</v>
      </c>
      <c r="C715" t="s">
        <v>12</v>
      </c>
      <c r="D715" t="s">
        <v>30</v>
      </c>
      <c r="E715" t="s">
        <v>31</v>
      </c>
      <c r="F715">
        <v>200</v>
      </c>
      <c r="G715" s="2">
        <v>6.34</v>
      </c>
      <c r="H715" s="1">
        <v>46166.64107135417</v>
      </c>
      <c r="I715" s="1">
        <v>46166.641071435188</v>
      </c>
      <c r="J715" t="s">
        <v>15</v>
      </c>
      <c r="K715" t="s">
        <v>16</v>
      </c>
      <c r="L715" s="1">
        <v>46166.641071446757</v>
      </c>
    </row>
    <row r="716" spans="1:12" x14ac:dyDescent="0.25">
      <c r="A716" t="s">
        <v>803</v>
      </c>
      <c r="B716" t="str">
        <f>resultado_db_usuario_10[[#This Row],[metodo]]&amp;" "&amp;SUBSTITUTE(resultado_db_usuario_10[[#This Row],[rota]],"/api/v1","")</f>
        <v>GET /testes/</v>
      </c>
      <c r="C716" t="s">
        <v>12</v>
      </c>
      <c r="D716" t="s">
        <v>30</v>
      </c>
      <c r="E716" t="s">
        <v>31</v>
      </c>
      <c r="F716">
        <v>200</v>
      </c>
      <c r="G716" s="2">
        <v>5.68</v>
      </c>
      <c r="H716" s="1">
        <v>46166.641071458333</v>
      </c>
      <c r="I716" s="1">
        <v>46166.641071527774</v>
      </c>
      <c r="J716" t="s">
        <v>15</v>
      </c>
      <c r="K716" t="s">
        <v>16</v>
      </c>
      <c r="L716" s="1">
        <v>46166.64107153935</v>
      </c>
    </row>
    <row r="717" spans="1:12" x14ac:dyDescent="0.25">
      <c r="A717" t="s">
        <v>834</v>
      </c>
      <c r="B717" t="str">
        <f>resultado_db_usuario_10[[#This Row],[metodo]]&amp;" "&amp;SUBSTITUTE(resultado_db_usuario_10[[#This Row],[rota]],"/api/v1","")</f>
        <v>GET /testes/</v>
      </c>
      <c r="C717" t="s">
        <v>12</v>
      </c>
      <c r="D717" t="s">
        <v>30</v>
      </c>
      <c r="E717" t="s">
        <v>31</v>
      </c>
      <c r="F717">
        <v>200</v>
      </c>
      <c r="G717" s="2">
        <v>8.82</v>
      </c>
      <c r="H717" s="1">
        <v>46166.641072546299</v>
      </c>
      <c r="I717" s="1">
        <v>46166.641072638886</v>
      </c>
      <c r="J717" t="s">
        <v>15</v>
      </c>
      <c r="K717" t="s">
        <v>16</v>
      </c>
      <c r="L717" s="1">
        <v>46166.641072662038</v>
      </c>
    </row>
    <row r="718" spans="1:12" x14ac:dyDescent="0.25">
      <c r="A718" t="s">
        <v>842</v>
      </c>
      <c r="B718" t="str">
        <f>resultado_db_usuario_10[[#This Row],[metodo]]&amp;" "&amp;SUBSTITUTE(resultado_db_usuario_10[[#This Row],[rota]],"/api/v1","")</f>
        <v>GET /testes/</v>
      </c>
      <c r="C718" t="s">
        <v>12</v>
      </c>
      <c r="D718" t="s">
        <v>30</v>
      </c>
      <c r="E718" t="s">
        <v>31</v>
      </c>
      <c r="F718">
        <v>200</v>
      </c>
      <c r="G718" s="2">
        <v>10.15</v>
      </c>
      <c r="H718" s="1">
        <v>46166.641073043982</v>
      </c>
      <c r="I718" s="1">
        <v>46166.641073171297</v>
      </c>
      <c r="J718" t="s">
        <v>15</v>
      </c>
      <c r="K718" t="s">
        <v>16</v>
      </c>
      <c r="L718" s="1">
        <v>46166.641073182873</v>
      </c>
    </row>
    <row r="719" spans="1:12" x14ac:dyDescent="0.25">
      <c r="A719" t="s">
        <v>851</v>
      </c>
      <c r="B719" t="str">
        <f>resultado_db_usuario_10[[#This Row],[metodo]]&amp;" "&amp;SUBSTITUTE(resultado_db_usuario_10[[#This Row],[rota]],"/api/v1","")</f>
        <v>GET /testes/</v>
      </c>
      <c r="C719" t="s">
        <v>12</v>
      </c>
      <c r="D719" t="s">
        <v>30</v>
      </c>
      <c r="E719" t="s">
        <v>31</v>
      </c>
      <c r="F719">
        <v>200</v>
      </c>
      <c r="G719" s="2">
        <v>5.54</v>
      </c>
      <c r="H719" s="1">
        <v>46166.641073321756</v>
      </c>
      <c r="I719" s="1">
        <v>46166.641073379629</v>
      </c>
      <c r="J719" t="s">
        <v>15</v>
      </c>
      <c r="K719" t="s">
        <v>16</v>
      </c>
      <c r="L719" s="1">
        <v>46166.641073402781</v>
      </c>
    </row>
    <row r="720" spans="1:12" x14ac:dyDescent="0.25">
      <c r="A720" t="s">
        <v>861</v>
      </c>
      <c r="B720" t="str">
        <f>resultado_db_usuario_10[[#This Row],[metodo]]&amp;" "&amp;SUBSTITUTE(resultado_db_usuario_10[[#This Row],[rota]],"/api/v1","")</f>
        <v>GET /testes/</v>
      </c>
      <c r="C720" t="s">
        <v>12</v>
      </c>
      <c r="D720" t="s">
        <v>30</v>
      </c>
      <c r="E720" t="s">
        <v>31</v>
      </c>
      <c r="F720">
        <v>200</v>
      </c>
      <c r="G720" s="2">
        <v>5.48</v>
      </c>
      <c r="H720" s="1">
        <v>46166.641073564817</v>
      </c>
      <c r="I720" s="1">
        <v>46166.641073634259</v>
      </c>
      <c r="J720" t="s">
        <v>15</v>
      </c>
      <c r="K720" t="s">
        <v>16</v>
      </c>
      <c r="L720" s="1">
        <v>46166.641073645835</v>
      </c>
    </row>
    <row r="721" spans="1:12" x14ac:dyDescent="0.25">
      <c r="A721" t="s">
        <v>866</v>
      </c>
      <c r="B721" t="str">
        <f>resultado_db_usuario_10[[#This Row],[metodo]]&amp;" "&amp;SUBSTITUTE(resultado_db_usuario_10[[#This Row],[rota]],"/api/v1","")</f>
        <v>GET /testes/</v>
      </c>
      <c r="C721" t="s">
        <v>12</v>
      </c>
      <c r="D721" t="s">
        <v>30</v>
      </c>
      <c r="E721" t="s">
        <v>31</v>
      </c>
      <c r="F721">
        <v>200</v>
      </c>
      <c r="G721" s="2">
        <v>8.7799999999999994</v>
      </c>
      <c r="H721" s="1">
        <v>46166.641073645835</v>
      </c>
      <c r="I721" s="1">
        <v>46166.641073749997</v>
      </c>
      <c r="J721" t="s">
        <v>15</v>
      </c>
      <c r="K721" t="s">
        <v>16</v>
      </c>
      <c r="L721" s="1">
        <v>46166.641073761573</v>
      </c>
    </row>
    <row r="722" spans="1:12" x14ac:dyDescent="0.25">
      <c r="A722" t="s">
        <v>868</v>
      </c>
      <c r="B722" t="str">
        <f>resultado_db_usuario_10[[#This Row],[metodo]]&amp;" "&amp;SUBSTITUTE(resultado_db_usuario_10[[#This Row],[rota]],"/api/v1","")</f>
        <v>GET /testes/</v>
      </c>
      <c r="C722" t="s">
        <v>12</v>
      </c>
      <c r="D722" t="s">
        <v>30</v>
      </c>
      <c r="E722" t="s">
        <v>31</v>
      </c>
      <c r="F722">
        <v>200</v>
      </c>
      <c r="G722" s="2">
        <v>6.95</v>
      </c>
      <c r="H722" s="1">
        <v>46166.641073784725</v>
      </c>
      <c r="I722" s="1">
        <v>46166.641073865743</v>
      </c>
      <c r="J722" t="s">
        <v>15</v>
      </c>
      <c r="K722" t="s">
        <v>16</v>
      </c>
      <c r="L722" s="1">
        <v>46166.641073877312</v>
      </c>
    </row>
    <row r="723" spans="1:12" x14ac:dyDescent="0.25">
      <c r="A723" t="s">
        <v>870</v>
      </c>
      <c r="B723" t="str">
        <f>resultado_db_usuario_10[[#This Row],[metodo]]&amp;" "&amp;SUBSTITUTE(resultado_db_usuario_10[[#This Row],[rota]],"/api/v1","")</f>
        <v>GET /testes/</v>
      </c>
      <c r="C723" t="s">
        <v>12</v>
      </c>
      <c r="D723" t="s">
        <v>30</v>
      </c>
      <c r="E723" t="s">
        <v>31</v>
      </c>
      <c r="F723">
        <v>200</v>
      </c>
      <c r="G723" s="2">
        <v>8.98</v>
      </c>
      <c r="H723" s="1">
        <v>46166.641073796294</v>
      </c>
      <c r="I723" s="1">
        <v>46166.641073900464</v>
      </c>
      <c r="J723" t="s">
        <v>15</v>
      </c>
      <c r="K723" t="s">
        <v>16</v>
      </c>
      <c r="L723" s="1">
        <v>46166.641073923609</v>
      </c>
    </row>
    <row r="724" spans="1:12" x14ac:dyDescent="0.25">
      <c r="A724" t="s">
        <v>909</v>
      </c>
      <c r="B724" t="str">
        <f>resultado_db_usuario_10[[#This Row],[metodo]]&amp;" "&amp;SUBSTITUTE(resultado_db_usuario_10[[#This Row],[rota]],"/api/v1","")</f>
        <v>GET /testes/</v>
      </c>
      <c r="C724" t="s">
        <v>12</v>
      </c>
      <c r="D724" t="s">
        <v>30</v>
      </c>
      <c r="E724" t="s">
        <v>31</v>
      </c>
      <c r="F724">
        <v>200</v>
      </c>
      <c r="G724" s="2">
        <v>10.45</v>
      </c>
      <c r="H724" s="1">
        <v>46166.641075</v>
      </c>
      <c r="I724" s="1">
        <v>46166.641075127314</v>
      </c>
      <c r="J724" t="s">
        <v>15</v>
      </c>
      <c r="K724" t="s">
        <v>16</v>
      </c>
      <c r="L724" s="1">
        <v>46166.64107513889</v>
      </c>
    </row>
    <row r="725" spans="1:12" x14ac:dyDescent="0.25">
      <c r="A725" t="s">
        <v>921</v>
      </c>
      <c r="B725" t="str">
        <f>resultado_db_usuario_10[[#This Row],[metodo]]&amp;" "&amp;SUBSTITUTE(resultado_db_usuario_10[[#This Row],[rota]],"/api/v1","")</f>
        <v>GET /testes/</v>
      </c>
      <c r="C725" t="s">
        <v>12</v>
      </c>
      <c r="D725" t="s">
        <v>30</v>
      </c>
      <c r="E725" t="s">
        <v>31</v>
      </c>
      <c r="F725">
        <v>200</v>
      </c>
      <c r="G725" s="2">
        <v>11.12</v>
      </c>
      <c r="H725" s="1">
        <v>46166.641075520834</v>
      </c>
      <c r="I725" s="1">
        <v>46166.641075648149</v>
      </c>
      <c r="J725" t="s">
        <v>15</v>
      </c>
      <c r="K725" t="s">
        <v>16</v>
      </c>
      <c r="L725" s="1">
        <v>46166.641075659725</v>
      </c>
    </row>
    <row r="726" spans="1:12" x14ac:dyDescent="0.25">
      <c r="A726" t="s">
        <v>934</v>
      </c>
      <c r="B726" t="str">
        <f>resultado_db_usuario_10[[#This Row],[metodo]]&amp;" "&amp;SUBSTITUTE(resultado_db_usuario_10[[#This Row],[rota]],"/api/v1","")</f>
        <v>GET /testes/</v>
      </c>
      <c r="C726" t="s">
        <v>12</v>
      </c>
      <c r="D726" t="s">
        <v>30</v>
      </c>
      <c r="E726" t="s">
        <v>31</v>
      </c>
      <c r="F726">
        <v>200</v>
      </c>
      <c r="G726" s="2">
        <v>11.09</v>
      </c>
      <c r="H726" s="1">
        <v>46166.641075995372</v>
      </c>
      <c r="I726" s="1">
        <v>46166.641076122687</v>
      </c>
      <c r="J726" t="s">
        <v>15</v>
      </c>
      <c r="K726" t="s">
        <v>16</v>
      </c>
      <c r="L726" s="1">
        <v>46166.641076145832</v>
      </c>
    </row>
    <row r="727" spans="1:12" x14ac:dyDescent="0.25">
      <c r="A727" t="s">
        <v>943</v>
      </c>
      <c r="B727" t="str">
        <f>resultado_db_usuario_10[[#This Row],[metodo]]&amp;" "&amp;SUBSTITUTE(resultado_db_usuario_10[[#This Row],[rota]],"/api/v1","")</f>
        <v>GET /testes/</v>
      </c>
      <c r="C727" t="s">
        <v>12</v>
      </c>
      <c r="D727" t="s">
        <v>30</v>
      </c>
      <c r="E727" t="s">
        <v>31</v>
      </c>
      <c r="F727">
        <v>200</v>
      </c>
      <c r="G727" s="2">
        <v>13.88</v>
      </c>
      <c r="H727" s="1">
        <v>46166.641076273147</v>
      </c>
      <c r="I727" s="1">
        <v>46166.641076435182</v>
      </c>
      <c r="J727" t="s">
        <v>15</v>
      </c>
      <c r="K727" t="s">
        <v>16</v>
      </c>
      <c r="L727" s="1">
        <v>46166.641076446758</v>
      </c>
    </row>
    <row r="728" spans="1:12" x14ac:dyDescent="0.25">
      <c r="A728" t="s">
        <v>955</v>
      </c>
      <c r="B728" t="str">
        <f>resultado_db_usuario_10[[#This Row],[metodo]]&amp;" "&amp;SUBSTITUTE(resultado_db_usuario_10[[#This Row],[rota]],"/api/v1","")</f>
        <v>GET /testes/</v>
      </c>
      <c r="C728" t="s">
        <v>12</v>
      </c>
      <c r="D728" t="s">
        <v>30</v>
      </c>
      <c r="E728" t="s">
        <v>31</v>
      </c>
      <c r="F728">
        <v>200</v>
      </c>
      <c r="G728" s="2">
        <v>11.71</v>
      </c>
      <c r="H728" s="1">
        <v>46166.641076631946</v>
      </c>
      <c r="I728" s="1">
        <v>46166.641076770837</v>
      </c>
      <c r="J728" t="s">
        <v>15</v>
      </c>
      <c r="K728" t="s">
        <v>16</v>
      </c>
      <c r="L728" s="1">
        <v>46166.641076782405</v>
      </c>
    </row>
    <row r="729" spans="1:12" x14ac:dyDescent="0.25">
      <c r="A729" t="s">
        <v>957</v>
      </c>
      <c r="B729" t="str">
        <f>resultado_db_usuario_10[[#This Row],[metodo]]&amp;" "&amp;SUBSTITUTE(resultado_db_usuario_10[[#This Row],[rota]],"/api/v1","")</f>
        <v>GET /testes/</v>
      </c>
      <c r="C729" t="s">
        <v>12</v>
      </c>
      <c r="D729" t="s">
        <v>30</v>
      </c>
      <c r="E729" t="s">
        <v>31</v>
      </c>
      <c r="F729">
        <v>200</v>
      </c>
      <c r="G729" s="2">
        <v>10.18</v>
      </c>
      <c r="H729" s="1">
        <v>46166.64107672454</v>
      </c>
      <c r="I729" s="1">
        <v>46166.641076840278</v>
      </c>
      <c r="J729" t="s">
        <v>15</v>
      </c>
      <c r="K729" t="s">
        <v>16</v>
      </c>
      <c r="L729" s="1">
        <v>46166.641076863423</v>
      </c>
    </row>
    <row r="730" spans="1:12" x14ac:dyDescent="0.25">
      <c r="A730" t="s">
        <v>958</v>
      </c>
      <c r="B730" t="str">
        <f>resultado_db_usuario_10[[#This Row],[metodo]]&amp;" "&amp;SUBSTITUTE(resultado_db_usuario_10[[#This Row],[rota]],"/api/v1","")</f>
        <v>GET /testes/</v>
      </c>
      <c r="C730" t="s">
        <v>12</v>
      </c>
      <c r="D730" t="s">
        <v>30</v>
      </c>
      <c r="E730" t="s">
        <v>31</v>
      </c>
      <c r="F730">
        <v>200</v>
      </c>
      <c r="G730" s="2">
        <v>9.7899999999999991</v>
      </c>
      <c r="H730" s="1">
        <v>46166.641076747685</v>
      </c>
      <c r="I730" s="1">
        <v>46166.641076863423</v>
      </c>
      <c r="J730" t="s">
        <v>15</v>
      </c>
      <c r="K730" t="s">
        <v>16</v>
      </c>
      <c r="L730" s="1">
        <v>46166.641076886575</v>
      </c>
    </row>
    <row r="731" spans="1:12" x14ac:dyDescent="0.25">
      <c r="A731" t="s">
        <v>959</v>
      </c>
      <c r="B731" t="str">
        <f>resultado_db_usuario_10[[#This Row],[metodo]]&amp;" "&amp;SUBSTITUTE(resultado_db_usuario_10[[#This Row],[rota]],"/api/v1","")</f>
        <v>GET /testes/</v>
      </c>
      <c r="C731" t="s">
        <v>12</v>
      </c>
      <c r="D731" t="s">
        <v>30</v>
      </c>
      <c r="E731" t="s">
        <v>31</v>
      </c>
      <c r="F731">
        <v>200</v>
      </c>
      <c r="G731" s="2">
        <v>10.09</v>
      </c>
      <c r="H731" s="1">
        <v>46166.641076770837</v>
      </c>
      <c r="I731" s="1">
        <v>46166.641076898151</v>
      </c>
      <c r="J731" t="s">
        <v>15</v>
      </c>
      <c r="K731" t="s">
        <v>16</v>
      </c>
      <c r="L731" s="1">
        <v>46166.64107690972</v>
      </c>
    </row>
    <row r="732" spans="1:12" x14ac:dyDescent="0.25">
      <c r="A732" t="s">
        <v>967</v>
      </c>
      <c r="B732" t="str">
        <f>resultado_db_usuario_10[[#This Row],[metodo]]&amp;" "&amp;SUBSTITUTE(resultado_db_usuario_10[[#This Row],[rota]],"/api/v1","")</f>
        <v>GET /testes/</v>
      </c>
      <c r="C732" t="s">
        <v>12</v>
      </c>
      <c r="D732" t="s">
        <v>30</v>
      </c>
      <c r="E732" t="s">
        <v>31</v>
      </c>
      <c r="F732">
        <v>200</v>
      </c>
      <c r="G732" s="2">
        <v>11.57</v>
      </c>
      <c r="H732" s="1">
        <v>46166.641077060187</v>
      </c>
      <c r="I732" s="1">
        <v>46166.641077199078</v>
      </c>
      <c r="J732" t="s">
        <v>15</v>
      </c>
      <c r="K732" t="s">
        <v>16</v>
      </c>
      <c r="L732" s="1">
        <v>46166.641077210646</v>
      </c>
    </row>
    <row r="733" spans="1:12" x14ac:dyDescent="0.25">
      <c r="A733" t="s">
        <v>988</v>
      </c>
      <c r="B733" t="str">
        <f>resultado_db_usuario_10[[#This Row],[metodo]]&amp;" "&amp;SUBSTITUTE(resultado_db_usuario_10[[#This Row],[rota]],"/api/v1","")</f>
        <v>GET /testes/</v>
      </c>
      <c r="C733" t="s">
        <v>12</v>
      </c>
      <c r="D733" t="s">
        <v>30</v>
      </c>
      <c r="E733" t="s">
        <v>31</v>
      </c>
      <c r="F733">
        <v>200</v>
      </c>
      <c r="G733" s="2">
        <v>10.1</v>
      </c>
      <c r="H733" s="1">
        <v>46166.64107766204</v>
      </c>
      <c r="I733" s="1">
        <v>46166.641077789354</v>
      </c>
      <c r="J733" t="s">
        <v>15</v>
      </c>
      <c r="K733" t="s">
        <v>16</v>
      </c>
      <c r="L733" s="1">
        <v>46166.641077800923</v>
      </c>
    </row>
    <row r="734" spans="1:12" x14ac:dyDescent="0.25">
      <c r="A734" t="s">
        <v>1014</v>
      </c>
      <c r="B734" t="str">
        <f>resultado_db_usuario_10[[#This Row],[metodo]]&amp;" "&amp;SUBSTITUTE(resultado_db_usuario_10[[#This Row],[rota]],"/api/v1","")</f>
        <v>GET /testes/</v>
      </c>
      <c r="C734" t="s">
        <v>12</v>
      </c>
      <c r="D734" t="s">
        <v>30</v>
      </c>
      <c r="E734" t="s">
        <v>31</v>
      </c>
      <c r="F734">
        <v>200</v>
      </c>
      <c r="G734" s="2">
        <v>13.31</v>
      </c>
      <c r="H734" s="1">
        <v>46166.641078460649</v>
      </c>
      <c r="I734" s="1">
        <v>46166.641078622684</v>
      </c>
      <c r="J734" t="s">
        <v>15</v>
      </c>
      <c r="K734" t="s">
        <v>16</v>
      </c>
      <c r="L734" s="1">
        <v>46166.641078645836</v>
      </c>
    </row>
    <row r="735" spans="1:12" x14ac:dyDescent="0.25">
      <c r="A735" t="s">
        <v>1029</v>
      </c>
      <c r="B735" t="str">
        <f>resultado_db_usuario_10[[#This Row],[metodo]]&amp;" "&amp;SUBSTITUTE(resultado_db_usuario_10[[#This Row],[rota]],"/api/v1","")</f>
        <v>GET /testes/</v>
      </c>
      <c r="C735" t="s">
        <v>12</v>
      </c>
      <c r="D735" t="s">
        <v>30</v>
      </c>
      <c r="E735" t="s">
        <v>31</v>
      </c>
      <c r="F735">
        <v>200</v>
      </c>
      <c r="G735" s="2">
        <v>8.7799999999999994</v>
      </c>
      <c r="H735" s="1">
        <v>46166.641079085646</v>
      </c>
      <c r="I735" s="1">
        <v>46166.641079189816</v>
      </c>
      <c r="J735" t="s">
        <v>15</v>
      </c>
      <c r="K735" t="s">
        <v>16</v>
      </c>
      <c r="L735" s="1">
        <v>46166.641079212961</v>
      </c>
    </row>
    <row r="736" spans="1:12" x14ac:dyDescent="0.25">
      <c r="A736" t="s">
        <v>1047</v>
      </c>
      <c r="B736" t="str">
        <f>resultado_db_usuario_10[[#This Row],[metodo]]&amp;" "&amp;SUBSTITUTE(resultado_db_usuario_10[[#This Row],[rota]],"/api/v1","")</f>
        <v>GET /testes/</v>
      </c>
      <c r="C736" t="s">
        <v>12</v>
      </c>
      <c r="D736" t="s">
        <v>30</v>
      </c>
      <c r="E736" t="s">
        <v>31</v>
      </c>
      <c r="F736">
        <v>200</v>
      </c>
      <c r="G736" s="2">
        <v>11.33</v>
      </c>
      <c r="H736" s="1">
        <v>46166.641079502311</v>
      </c>
      <c r="I736" s="1">
        <v>46166.641079641202</v>
      </c>
      <c r="J736" t="s">
        <v>15</v>
      </c>
      <c r="K736" t="s">
        <v>16</v>
      </c>
      <c r="L736" s="1">
        <v>46166.641079652778</v>
      </c>
    </row>
    <row r="737" spans="1:12" x14ac:dyDescent="0.25">
      <c r="A737" t="s">
        <v>1058</v>
      </c>
      <c r="B737" t="str">
        <f>resultado_db_usuario_10[[#This Row],[metodo]]&amp;" "&amp;SUBSTITUTE(resultado_db_usuario_10[[#This Row],[rota]],"/api/v1","")</f>
        <v>GET /testes/</v>
      </c>
      <c r="C737" t="s">
        <v>12</v>
      </c>
      <c r="D737" t="s">
        <v>30</v>
      </c>
      <c r="E737" t="s">
        <v>31</v>
      </c>
      <c r="F737">
        <v>200</v>
      </c>
      <c r="G737" s="2">
        <v>12.26</v>
      </c>
      <c r="H737" s="1">
        <v>46166.641079803238</v>
      </c>
      <c r="I737" s="1">
        <v>46166.641079953704</v>
      </c>
      <c r="J737" t="s">
        <v>15</v>
      </c>
      <c r="K737" t="s">
        <v>16</v>
      </c>
      <c r="L737" s="1">
        <v>46166.64107996528</v>
      </c>
    </row>
    <row r="738" spans="1:12" x14ac:dyDescent="0.25">
      <c r="A738" t="s">
        <v>1068</v>
      </c>
      <c r="B738" t="str">
        <f>resultado_db_usuario_10[[#This Row],[metodo]]&amp;" "&amp;SUBSTITUTE(resultado_db_usuario_10[[#This Row],[rota]],"/api/v1","")</f>
        <v>GET /testes/</v>
      </c>
      <c r="C738" t="s">
        <v>12</v>
      </c>
      <c r="D738" t="s">
        <v>30</v>
      </c>
      <c r="E738" t="s">
        <v>31</v>
      </c>
      <c r="F738">
        <v>200</v>
      </c>
      <c r="G738" s="2">
        <v>9.15</v>
      </c>
      <c r="H738" s="1">
        <v>46166.641080034722</v>
      </c>
      <c r="I738" s="1">
        <v>46166.641080138892</v>
      </c>
      <c r="J738" t="s">
        <v>15</v>
      </c>
      <c r="K738" t="s">
        <v>16</v>
      </c>
      <c r="L738" s="1">
        <v>46166.641080150461</v>
      </c>
    </row>
    <row r="739" spans="1:12" x14ac:dyDescent="0.25">
      <c r="A739" t="s">
        <v>1070</v>
      </c>
      <c r="B739" t="str">
        <f>resultado_db_usuario_10[[#This Row],[metodo]]&amp;" "&amp;SUBSTITUTE(resultado_db_usuario_10[[#This Row],[rota]],"/api/v1","")</f>
        <v>GET /testes/</v>
      </c>
      <c r="C739" t="s">
        <v>12</v>
      </c>
      <c r="D739" t="s">
        <v>30</v>
      </c>
      <c r="E739" t="s">
        <v>31</v>
      </c>
      <c r="F739">
        <v>200</v>
      </c>
      <c r="G739" s="2">
        <v>9.68</v>
      </c>
      <c r="H739" s="1">
        <v>46166.641080069443</v>
      </c>
      <c r="I739" s="1">
        <v>46166.641080185182</v>
      </c>
      <c r="J739" t="s">
        <v>15</v>
      </c>
      <c r="K739" t="s">
        <v>16</v>
      </c>
      <c r="L739" s="1">
        <v>46166.641080196758</v>
      </c>
    </row>
    <row r="740" spans="1:12" x14ac:dyDescent="0.25">
      <c r="A740" t="s">
        <v>1071</v>
      </c>
      <c r="B740" t="str">
        <f>resultado_db_usuario_10[[#This Row],[metodo]]&amp;" "&amp;SUBSTITUTE(resultado_db_usuario_10[[#This Row],[rota]],"/api/v1","")</f>
        <v>GET /testes/</v>
      </c>
      <c r="C740" t="s">
        <v>12</v>
      </c>
      <c r="D740" t="s">
        <v>30</v>
      </c>
      <c r="E740" t="s">
        <v>31</v>
      </c>
      <c r="F740">
        <v>200</v>
      </c>
      <c r="G740" s="2">
        <v>10.65</v>
      </c>
      <c r="H740" s="1">
        <v>46166.641080081019</v>
      </c>
      <c r="I740" s="1">
        <v>46166.641080196758</v>
      </c>
      <c r="J740" t="s">
        <v>15</v>
      </c>
      <c r="K740" t="s">
        <v>16</v>
      </c>
      <c r="L740" s="1">
        <v>46166.64108021991</v>
      </c>
    </row>
    <row r="741" spans="1:12" x14ac:dyDescent="0.25">
      <c r="A741" t="s">
        <v>1073</v>
      </c>
      <c r="B741" t="str">
        <f>resultado_db_usuario_10[[#This Row],[metodo]]&amp;" "&amp;SUBSTITUTE(resultado_db_usuario_10[[#This Row],[rota]],"/api/v1","")</f>
        <v>GET /testes/</v>
      </c>
      <c r="C741" t="s">
        <v>12</v>
      </c>
      <c r="D741" t="s">
        <v>30</v>
      </c>
      <c r="E741" t="s">
        <v>31</v>
      </c>
      <c r="F741">
        <v>200</v>
      </c>
      <c r="G741" s="2">
        <v>11.62</v>
      </c>
      <c r="H741" s="1">
        <v>46166.64108011574</v>
      </c>
      <c r="I741" s="1">
        <v>46166.641080243055</v>
      </c>
      <c r="J741" t="s">
        <v>15</v>
      </c>
      <c r="K741" t="s">
        <v>16</v>
      </c>
      <c r="L741" s="1">
        <v>46166.641080266207</v>
      </c>
    </row>
    <row r="742" spans="1:12" x14ac:dyDescent="0.25">
      <c r="A742" t="s">
        <v>1092</v>
      </c>
      <c r="B742" t="str">
        <f>resultado_db_usuario_10[[#This Row],[metodo]]&amp;" "&amp;SUBSTITUTE(resultado_db_usuario_10[[#This Row],[rota]],"/api/v1","")</f>
        <v>GET /testes/</v>
      </c>
      <c r="C742" t="s">
        <v>12</v>
      </c>
      <c r="D742" t="s">
        <v>30</v>
      </c>
      <c r="E742" t="s">
        <v>31</v>
      </c>
      <c r="F742">
        <v>200</v>
      </c>
      <c r="G742" s="2">
        <v>10.67</v>
      </c>
      <c r="H742" s="1">
        <v>46166.641080694448</v>
      </c>
      <c r="I742" s="1">
        <v>46166.641080810186</v>
      </c>
      <c r="J742" t="s">
        <v>15</v>
      </c>
      <c r="K742" t="s">
        <v>16</v>
      </c>
      <c r="L742" s="1">
        <v>46166.641080833331</v>
      </c>
    </row>
    <row r="743" spans="1:12" x14ac:dyDescent="0.25">
      <c r="A743" t="s">
        <v>1106</v>
      </c>
      <c r="B743" t="str">
        <f>resultado_db_usuario_10[[#This Row],[metodo]]&amp;" "&amp;SUBSTITUTE(resultado_db_usuario_10[[#This Row],[rota]],"/api/v1","")</f>
        <v>GET /testes/</v>
      </c>
      <c r="C743" t="s">
        <v>12</v>
      </c>
      <c r="D743" t="s">
        <v>30</v>
      </c>
      <c r="E743" t="s">
        <v>31</v>
      </c>
      <c r="F743">
        <v>200</v>
      </c>
      <c r="G743" s="2">
        <v>11.46</v>
      </c>
      <c r="H743" s="1">
        <v>46166.641080983798</v>
      </c>
      <c r="I743" s="1">
        <v>46166.641081111113</v>
      </c>
      <c r="J743" t="s">
        <v>15</v>
      </c>
      <c r="K743" t="s">
        <v>16</v>
      </c>
      <c r="L743" s="1">
        <v>46166.641081134258</v>
      </c>
    </row>
    <row r="744" spans="1:12" x14ac:dyDescent="0.25">
      <c r="A744" t="s">
        <v>1140</v>
      </c>
      <c r="B744" t="str">
        <f>resultado_db_usuario_10[[#This Row],[metodo]]&amp;" "&amp;SUBSTITUTE(resultado_db_usuario_10[[#This Row],[rota]],"/api/v1","")</f>
        <v>GET /testes/</v>
      </c>
      <c r="C744" t="s">
        <v>12</v>
      </c>
      <c r="D744" t="s">
        <v>30</v>
      </c>
      <c r="E744" t="s">
        <v>31</v>
      </c>
      <c r="F744">
        <v>200</v>
      </c>
      <c r="G744" s="2">
        <v>25.09</v>
      </c>
      <c r="H744" s="1">
        <v>46166.641081793983</v>
      </c>
      <c r="I744" s="1">
        <v>46166.641082083333</v>
      </c>
      <c r="J744" t="s">
        <v>15</v>
      </c>
      <c r="K744" t="s">
        <v>16</v>
      </c>
      <c r="L744" s="1">
        <v>46166.64108209491</v>
      </c>
    </row>
    <row r="745" spans="1:12" x14ac:dyDescent="0.25">
      <c r="A745" t="s">
        <v>1155</v>
      </c>
      <c r="B745" t="str">
        <f>resultado_db_usuario_10[[#This Row],[metodo]]&amp;" "&amp;SUBSTITUTE(resultado_db_usuario_10[[#This Row],[rota]],"/api/v1","")</f>
        <v>GET /testes/</v>
      </c>
      <c r="C745" t="s">
        <v>12</v>
      </c>
      <c r="D745" t="s">
        <v>30</v>
      </c>
      <c r="E745" t="s">
        <v>31</v>
      </c>
      <c r="F745">
        <v>200</v>
      </c>
      <c r="G745" s="2">
        <v>9.17</v>
      </c>
      <c r="H745" s="1">
        <v>46166.641082418981</v>
      </c>
      <c r="I745" s="1">
        <v>46166.641082534719</v>
      </c>
      <c r="J745" t="s">
        <v>15</v>
      </c>
      <c r="K745" t="s">
        <v>16</v>
      </c>
      <c r="L745" s="1">
        <v>46166.641082546295</v>
      </c>
    </row>
    <row r="746" spans="1:12" x14ac:dyDescent="0.25">
      <c r="A746" t="s">
        <v>1171</v>
      </c>
      <c r="B746" t="str">
        <f>resultado_db_usuario_10[[#This Row],[metodo]]&amp;" "&amp;SUBSTITUTE(resultado_db_usuario_10[[#This Row],[rota]],"/api/v1","")</f>
        <v>GET /testes/</v>
      </c>
      <c r="C746" t="s">
        <v>12</v>
      </c>
      <c r="D746" t="s">
        <v>30</v>
      </c>
      <c r="E746" t="s">
        <v>31</v>
      </c>
      <c r="F746">
        <v>200</v>
      </c>
      <c r="G746" s="2">
        <v>17.97</v>
      </c>
      <c r="H746" s="1">
        <v>46166.641082835646</v>
      </c>
      <c r="I746" s="1">
        <v>46166.641083043978</v>
      </c>
      <c r="J746" t="s">
        <v>15</v>
      </c>
      <c r="K746" t="s">
        <v>16</v>
      </c>
      <c r="L746" s="1">
        <v>46166.64108306713</v>
      </c>
    </row>
    <row r="747" spans="1:12" x14ac:dyDescent="0.25">
      <c r="A747" t="s">
        <v>1179</v>
      </c>
      <c r="B747" t="str">
        <f>resultado_db_usuario_10[[#This Row],[metodo]]&amp;" "&amp;SUBSTITUTE(resultado_db_usuario_10[[#This Row],[rota]],"/api/v1","")</f>
        <v>GET /testes/</v>
      </c>
      <c r="C747" t="s">
        <v>12</v>
      </c>
      <c r="D747" t="s">
        <v>30</v>
      </c>
      <c r="E747" t="s">
        <v>31</v>
      </c>
      <c r="F747">
        <v>200</v>
      </c>
      <c r="G747" s="2">
        <v>14.09</v>
      </c>
      <c r="H747" s="1">
        <v>46166.641083252318</v>
      </c>
      <c r="I747" s="1">
        <v>46166.64108342593</v>
      </c>
      <c r="J747" t="s">
        <v>15</v>
      </c>
      <c r="K747" t="s">
        <v>16</v>
      </c>
      <c r="L747" s="1">
        <v>46166.641083437498</v>
      </c>
    </row>
    <row r="748" spans="1:12" x14ac:dyDescent="0.25">
      <c r="A748" t="s">
        <v>1182</v>
      </c>
      <c r="B748" t="str">
        <f>resultado_db_usuario_10[[#This Row],[metodo]]&amp;" "&amp;SUBSTITUTE(resultado_db_usuario_10[[#This Row],[rota]],"/api/v1","")</f>
        <v>GET /testes/</v>
      </c>
      <c r="C748" t="s">
        <v>12</v>
      </c>
      <c r="D748" t="s">
        <v>30</v>
      </c>
      <c r="E748" t="s">
        <v>31</v>
      </c>
      <c r="F748">
        <v>200</v>
      </c>
      <c r="G748" s="2">
        <v>17.52</v>
      </c>
      <c r="H748" s="1">
        <v>46166.641083298608</v>
      </c>
      <c r="I748" s="1">
        <v>46166.641083495371</v>
      </c>
      <c r="J748" t="s">
        <v>15</v>
      </c>
      <c r="K748" t="s">
        <v>16</v>
      </c>
      <c r="L748" s="1">
        <v>46166.641083518516</v>
      </c>
    </row>
    <row r="749" spans="1:12" x14ac:dyDescent="0.25">
      <c r="A749" t="s">
        <v>1183</v>
      </c>
      <c r="B749" t="str">
        <f>resultado_db_usuario_10[[#This Row],[metodo]]&amp;" "&amp;SUBSTITUTE(resultado_db_usuario_10[[#This Row],[rota]],"/api/v1","")</f>
        <v>GET /testes/</v>
      </c>
      <c r="C749" t="s">
        <v>12</v>
      </c>
      <c r="D749" t="s">
        <v>30</v>
      </c>
      <c r="E749" t="s">
        <v>31</v>
      </c>
      <c r="F749">
        <v>200</v>
      </c>
      <c r="G749" s="2">
        <v>13.68</v>
      </c>
      <c r="H749" s="1">
        <v>46166.641083368057</v>
      </c>
      <c r="I749" s="1">
        <v>46166.641083530092</v>
      </c>
      <c r="J749" t="s">
        <v>15</v>
      </c>
      <c r="K749" t="s">
        <v>16</v>
      </c>
      <c r="L749" s="1">
        <v>46166.641083553244</v>
      </c>
    </row>
    <row r="750" spans="1:12" x14ac:dyDescent="0.25">
      <c r="A750" t="s">
        <v>1185</v>
      </c>
      <c r="B750" t="str">
        <f>resultado_db_usuario_10[[#This Row],[metodo]]&amp;" "&amp;SUBSTITUTE(resultado_db_usuario_10[[#This Row],[rota]],"/api/v1","")</f>
        <v>GET /testes/</v>
      </c>
      <c r="C750" t="s">
        <v>12</v>
      </c>
      <c r="D750" t="s">
        <v>30</v>
      </c>
      <c r="E750" t="s">
        <v>31</v>
      </c>
      <c r="F750">
        <v>200</v>
      </c>
      <c r="G750" s="2">
        <v>14.61</v>
      </c>
      <c r="H750" s="1">
        <v>46166.641083402777</v>
      </c>
      <c r="I750" s="1">
        <v>46166.641083576389</v>
      </c>
      <c r="J750" t="s">
        <v>15</v>
      </c>
      <c r="K750" t="s">
        <v>16</v>
      </c>
      <c r="L750" s="1">
        <v>46166.641083587965</v>
      </c>
    </row>
    <row r="751" spans="1:12" x14ac:dyDescent="0.25">
      <c r="A751" t="s">
        <v>1188</v>
      </c>
      <c r="B751" t="str">
        <f>resultado_db_usuario_10[[#This Row],[metodo]]&amp;" "&amp;SUBSTITUTE(resultado_db_usuario_10[[#This Row],[rota]],"/api/v1","")</f>
        <v>GET /testes/</v>
      </c>
      <c r="C751" t="s">
        <v>12</v>
      </c>
      <c r="D751" t="s">
        <v>30</v>
      </c>
      <c r="E751" t="s">
        <v>31</v>
      </c>
      <c r="F751">
        <v>200</v>
      </c>
      <c r="G751" s="2">
        <v>9.3699999999999992</v>
      </c>
      <c r="H751" s="1">
        <v>46166.64108361111</v>
      </c>
      <c r="I751" s="1">
        <v>46166.64108371528</v>
      </c>
      <c r="J751" t="s">
        <v>15</v>
      </c>
      <c r="K751" t="s">
        <v>16</v>
      </c>
      <c r="L751" s="1">
        <v>46166.641083738425</v>
      </c>
    </row>
    <row r="752" spans="1:12" x14ac:dyDescent="0.25">
      <c r="A752" t="s">
        <v>1215</v>
      </c>
      <c r="B752" t="str">
        <f>resultado_db_usuario_10[[#This Row],[metodo]]&amp;" "&amp;SUBSTITUTE(resultado_db_usuario_10[[#This Row],[rota]],"/api/v1","")</f>
        <v>GET /testes/</v>
      </c>
      <c r="C752" t="s">
        <v>12</v>
      </c>
      <c r="D752" t="s">
        <v>30</v>
      </c>
      <c r="E752" t="s">
        <v>31</v>
      </c>
      <c r="F752">
        <v>200</v>
      </c>
      <c r="G752" s="2">
        <v>10.09</v>
      </c>
      <c r="H752" s="1">
        <v>46166.64108429398</v>
      </c>
      <c r="I752" s="1">
        <v>46166.641084409719</v>
      </c>
      <c r="J752" t="s">
        <v>15</v>
      </c>
      <c r="K752" t="s">
        <v>16</v>
      </c>
      <c r="L752" s="1">
        <v>46166.641084421295</v>
      </c>
    </row>
    <row r="753" spans="1:12" x14ac:dyDescent="0.25">
      <c r="A753" t="s">
        <v>1226</v>
      </c>
      <c r="B753" t="str">
        <f>resultado_db_usuario_10[[#This Row],[metodo]]&amp;" "&amp;SUBSTITUTE(resultado_db_usuario_10[[#This Row],[rota]],"/api/v1","")</f>
        <v>GET /testes/</v>
      </c>
      <c r="C753" t="s">
        <v>12</v>
      </c>
      <c r="D753" t="s">
        <v>30</v>
      </c>
      <c r="E753" t="s">
        <v>31</v>
      </c>
      <c r="F753">
        <v>200</v>
      </c>
      <c r="G753" s="2">
        <v>13.73</v>
      </c>
      <c r="H753" s="1">
        <v>46166.641084490744</v>
      </c>
      <c r="I753" s="1">
        <v>46166.641084641204</v>
      </c>
      <c r="J753" t="s">
        <v>15</v>
      </c>
      <c r="K753" t="s">
        <v>16</v>
      </c>
      <c r="L753" s="1">
        <v>46166.641084664348</v>
      </c>
    </row>
    <row r="754" spans="1:12" x14ac:dyDescent="0.25">
      <c r="A754" t="s">
        <v>1251</v>
      </c>
      <c r="B754" t="str">
        <f>resultado_db_usuario_10[[#This Row],[metodo]]&amp;" "&amp;SUBSTITUTE(resultado_db_usuario_10[[#This Row],[rota]],"/api/v1","")</f>
        <v>GET /testes/</v>
      </c>
      <c r="C754" t="s">
        <v>12</v>
      </c>
      <c r="D754" t="s">
        <v>30</v>
      </c>
      <c r="E754" t="s">
        <v>31</v>
      </c>
      <c r="F754">
        <v>200</v>
      </c>
      <c r="G754" s="2">
        <v>10.07</v>
      </c>
      <c r="H754" s="1">
        <v>46166.641085393516</v>
      </c>
      <c r="I754" s="1">
        <v>46166.641085509262</v>
      </c>
      <c r="J754" t="s">
        <v>15</v>
      </c>
      <c r="K754" t="s">
        <v>16</v>
      </c>
      <c r="L754" s="1">
        <v>46166.641085532407</v>
      </c>
    </row>
    <row r="755" spans="1:12" x14ac:dyDescent="0.25">
      <c r="A755" t="s">
        <v>1269</v>
      </c>
      <c r="B755" t="str">
        <f>resultado_db_usuario_10[[#This Row],[metodo]]&amp;" "&amp;SUBSTITUTE(resultado_db_usuario_10[[#This Row],[rota]],"/api/v1","")</f>
        <v>GET /testes/</v>
      </c>
      <c r="C755" t="s">
        <v>12</v>
      </c>
      <c r="D755" t="s">
        <v>30</v>
      </c>
      <c r="E755" t="s">
        <v>31</v>
      </c>
      <c r="F755">
        <v>200</v>
      </c>
      <c r="G755" s="2">
        <v>11.58</v>
      </c>
      <c r="H755" s="1">
        <v>46166.641085810188</v>
      </c>
      <c r="I755" s="1">
        <v>46166.641085949072</v>
      </c>
      <c r="J755" t="s">
        <v>15</v>
      </c>
      <c r="K755" t="s">
        <v>16</v>
      </c>
      <c r="L755" s="1">
        <v>46166.641085960648</v>
      </c>
    </row>
    <row r="756" spans="1:12" x14ac:dyDescent="0.25">
      <c r="A756" t="s">
        <v>1290</v>
      </c>
      <c r="B756" t="str">
        <f>resultado_db_usuario_10[[#This Row],[metodo]]&amp;" "&amp;SUBSTITUTE(resultado_db_usuario_10[[#This Row],[rota]],"/api/v1","")</f>
        <v>GET /testes/</v>
      </c>
      <c r="C756" t="s">
        <v>12</v>
      </c>
      <c r="D756" t="s">
        <v>30</v>
      </c>
      <c r="E756" t="s">
        <v>31</v>
      </c>
      <c r="F756">
        <v>200</v>
      </c>
      <c r="G756" s="2">
        <v>12.14</v>
      </c>
      <c r="H756" s="1">
        <v>46166.641086400465</v>
      </c>
      <c r="I756" s="1">
        <v>46166.641086539355</v>
      </c>
      <c r="J756" t="s">
        <v>15</v>
      </c>
      <c r="K756" t="s">
        <v>16</v>
      </c>
      <c r="L756" s="1">
        <v>46166.641086550924</v>
      </c>
    </row>
    <row r="757" spans="1:12" x14ac:dyDescent="0.25">
      <c r="A757" t="s">
        <v>1292</v>
      </c>
      <c r="B757" t="str">
        <f>resultado_db_usuario_10[[#This Row],[metodo]]&amp;" "&amp;SUBSTITUTE(resultado_db_usuario_10[[#This Row],[rota]],"/api/v1","")</f>
        <v>GET /testes/</v>
      </c>
      <c r="C757" t="s">
        <v>12</v>
      </c>
      <c r="D757" t="s">
        <v>30</v>
      </c>
      <c r="E757" t="s">
        <v>31</v>
      </c>
      <c r="F757">
        <v>200</v>
      </c>
      <c r="G757" s="2">
        <v>13.11</v>
      </c>
      <c r="H757" s="1">
        <v>46166.641086435186</v>
      </c>
      <c r="I757" s="1">
        <v>46166.641086585645</v>
      </c>
      <c r="J757" t="s">
        <v>15</v>
      </c>
      <c r="K757" t="s">
        <v>16</v>
      </c>
      <c r="L757" s="1">
        <v>46166.641086597221</v>
      </c>
    </row>
    <row r="758" spans="1:12" x14ac:dyDescent="0.25">
      <c r="A758" t="s">
        <v>1293</v>
      </c>
      <c r="B758" t="str">
        <f>resultado_db_usuario_10[[#This Row],[metodo]]&amp;" "&amp;SUBSTITUTE(resultado_db_usuario_10[[#This Row],[rota]],"/api/v1","")</f>
        <v>GET /testes/</v>
      </c>
      <c r="C758" t="s">
        <v>12</v>
      </c>
      <c r="D758" t="s">
        <v>30</v>
      </c>
      <c r="E758" t="s">
        <v>31</v>
      </c>
      <c r="F758">
        <v>200</v>
      </c>
      <c r="G758" s="2" t="s">
        <v>144</v>
      </c>
      <c r="H758" s="1">
        <v>46166.641086435186</v>
      </c>
      <c r="I758" s="1">
        <v>46166.641086597221</v>
      </c>
      <c r="J758" t="s">
        <v>15</v>
      </c>
      <c r="K758" t="s">
        <v>16</v>
      </c>
      <c r="L758" s="1">
        <v>46166.641086620373</v>
      </c>
    </row>
    <row r="759" spans="1:12" x14ac:dyDescent="0.25">
      <c r="A759" t="s">
        <v>1294</v>
      </c>
      <c r="B759" t="str">
        <f>resultado_db_usuario_10[[#This Row],[metodo]]&amp;" "&amp;SUBSTITUTE(resultado_db_usuario_10[[#This Row],[rota]],"/api/v1","")</f>
        <v>GET /testes/</v>
      </c>
      <c r="C759" t="s">
        <v>12</v>
      </c>
      <c r="D759" t="s">
        <v>30</v>
      </c>
      <c r="E759" t="s">
        <v>31</v>
      </c>
      <c r="F759">
        <v>200</v>
      </c>
      <c r="G759" s="2">
        <v>14.84</v>
      </c>
      <c r="H759" s="1">
        <v>46166.641086446762</v>
      </c>
      <c r="I759" s="1">
        <v>46166.641086620373</v>
      </c>
      <c r="J759" t="s">
        <v>15</v>
      </c>
      <c r="K759" t="s">
        <v>16</v>
      </c>
      <c r="L759" s="1">
        <v>46166.641086631942</v>
      </c>
    </row>
    <row r="760" spans="1:12" x14ac:dyDescent="0.25">
      <c r="A760" t="s">
        <v>1295</v>
      </c>
      <c r="B760" t="str">
        <f>resultado_db_usuario_10[[#This Row],[metodo]]&amp;" "&amp;SUBSTITUTE(resultado_db_usuario_10[[#This Row],[rota]],"/api/v1","")</f>
        <v>GET /testes/</v>
      </c>
      <c r="C760" t="s">
        <v>12</v>
      </c>
      <c r="D760" t="s">
        <v>30</v>
      </c>
      <c r="E760" t="s">
        <v>31</v>
      </c>
      <c r="F760">
        <v>200</v>
      </c>
      <c r="G760" s="2">
        <v>15.89</v>
      </c>
      <c r="H760" s="1">
        <v>46166.64108645833</v>
      </c>
      <c r="I760" s="1">
        <v>46166.641086643518</v>
      </c>
      <c r="J760" t="s">
        <v>15</v>
      </c>
      <c r="K760" t="s">
        <v>16</v>
      </c>
      <c r="L760" s="1">
        <v>46166.64108666667</v>
      </c>
    </row>
    <row r="761" spans="1:12" x14ac:dyDescent="0.25">
      <c r="A761" t="s">
        <v>1302</v>
      </c>
      <c r="B761" t="str">
        <f>resultado_db_usuario_10[[#This Row],[metodo]]&amp;" "&amp;SUBSTITUTE(resultado_db_usuario_10[[#This Row],[rota]],"/api/v1","")</f>
        <v>GET /testes/</v>
      </c>
      <c r="C761" t="s">
        <v>12</v>
      </c>
      <c r="D761" t="s">
        <v>30</v>
      </c>
      <c r="E761" t="s">
        <v>31</v>
      </c>
      <c r="F761">
        <v>200</v>
      </c>
      <c r="G761" s="2">
        <v>5.66</v>
      </c>
      <c r="H761" s="1">
        <v>46166.641086782409</v>
      </c>
      <c r="I761" s="1">
        <v>46166.641086840275</v>
      </c>
      <c r="J761" t="s">
        <v>15</v>
      </c>
      <c r="K761" t="s">
        <v>16</v>
      </c>
      <c r="L761" s="1">
        <v>46166.641086863427</v>
      </c>
    </row>
    <row r="762" spans="1:12" x14ac:dyDescent="0.25">
      <c r="A762" t="s">
        <v>1325</v>
      </c>
      <c r="B762" t="str">
        <f>resultado_db_usuario_10[[#This Row],[metodo]]&amp;" "&amp;SUBSTITUTE(resultado_db_usuario_10[[#This Row],[rota]],"/api/v1","")</f>
        <v>GET /testes/</v>
      </c>
      <c r="C762" t="s">
        <v>12</v>
      </c>
      <c r="D762" t="s">
        <v>30</v>
      </c>
      <c r="E762" t="s">
        <v>31</v>
      </c>
      <c r="F762">
        <v>200</v>
      </c>
      <c r="G762" s="2">
        <v>8.9700000000000006</v>
      </c>
      <c r="H762" s="1">
        <v>46166.641087303244</v>
      </c>
      <c r="I762" s="1">
        <v>46166.641087407406</v>
      </c>
      <c r="J762" t="s">
        <v>15</v>
      </c>
      <c r="K762" t="s">
        <v>16</v>
      </c>
      <c r="L762" s="1">
        <v>46166.641087418982</v>
      </c>
    </row>
    <row r="763" spans="1:12" x14ac:dyDescent="0.25">
      <c r="A763" t="s">
        <v>1341</v>
      </c>
      <c r="B763" t="str">
        <f>resultado_db_usuario_10[[#This Row],[metodo]]&amp;" "&amp;SUBSTITUTE(resultado_db_usuario_10[[#This Row],[rota]],"/api/v1","")</f>
        <v>GET /testes/</v>
      </c>
      <c r="C763" t="s">
        <v>12</v>
      </c>
      <c r="D763" t="s">
        <v>30</v>
      </c>
      <c r="E763" t="s">
        <v>31</v>
      </c>
      <c r="F763">
        <v>200</v>
      </c>
      <c r="G763" s="2">
        <v>14.22</v>
      </c>
      <c r="H763" s="1">
        <v>46166.641087592594</v>
      </c>
      <c r="I763" s="1">
        <v>46166.641087766206</v>
      </c>
      <c r="J763" t="s">
        <v>15</v>
      </c>
      <c r="K763" t="s">
        <v>16</v>
      </c>
      <c r="L763" s="1">
        <v>46166.641087777774</v>
      </c>
    </row>
    <row r="764" spans="1:12" x14ac:dyDescent="0.25">
      <c r="A764" t="s">
        <v>1365</v>
      </c>
      <c r="B764" t="str">
        <f>resultado_db_usuario_10[[#This Row],[metodo]]&amp;" "&amp;SUBSTITUTE(resultado_db_usuario_10[[#This Row],[rota]],"/api/v1","")</f>
        <v>GET /testes/</v>
      </c>
      <c r="C764" t="s">
        <v>12</v>
      </c>
      <c r="D764" t="s">
        <v>30</v>
      </c>
      <c r="E764" t="s">
        <v>31</v>
      </c>
      <c r="F764">
        <v>200</v>
      </c>
      <c r="G764" s="2">
        <v>9.6999999999999993</v>
      </c>
      <c r="H764" s="1">
        <v>46166.641088483797</v>
      </c>
      <c r="I764" s="1">
        <v>46166.641088599536</v>
      </c>
      <c r="J764" t="s">
        <v>15</v>
      </c>
      <c r="K764" t="s">
        <v>16</v>
      </c>
      <c r="L764" s="1">
        <v>46166.641088622688</v>
      </c>
    </row>
    <row r="765" spans="1:12" x14ac:dyDescent="0.25">
      <c r="A765" t="s">
        <v>1382</v>
      </c>
      <c r="B765" t="str">
        <f>resultado_db_usuario_10[[#This Row],[metodo]]&amp;" "&amp;SUBSTITUTE(resultado_db_usuario_10[[#This Row],[rota]],"/api/v1","")</f>
        <v>GET /testes/</v>
      </c>
      <c r="C765" t="s">
        <v>12</v>
      </c>
      <c r="D765" t="s">
        <v>30</v>
      </c>
      <c r="E765" t="s">
        <v>31</v>
      </c>
      <c r="F765">
        <v>200</v>
      </c>
      <c r="G765" s="2">
        <v>10.15</v>
      </c>
      <c r="H765" s="1">
        <v>46166.641088923614</v>
      </c>
      <c r="I765" s="1">
        <v>46166.641089039353</v>
      </c>
      <c r="J765" t="s">
        <v>15</v>
      </c>
      <c r="K765" t="s">
        <v>16</v>
      </c>
      <c r="L765" s="1">
        <v>46166.641089050929</v>
      </c>
    </row>
    <row r="766" spans="1:12" x14ac:dyDescent="0.25">
      <c r="A766" t="s">
        <v>1393</v>
      </c>
      <c r="B766" t="str">
        <f>resultado_db_usuario_10[[#This Row],[metodo]]&amp;" "&amp;SUBSTITUTE(resultado_db_usuario_10[[#This Row],[rota]],"/api/v1","")</f>
        <v>GET /testes/</v>
      </c>
      <c r="C766" t="s">
        <v>12</v>
      </c>
      <c r="D766" t="s">
        <v>30</v>
      </c>
      <c r="E766" t="s">
        <v>31</v>
      </c>
      <c r="F766">
        <v>200</v>
      </c>
      <c r="G766" s="2">
        <v>12.3</v>
      </c>
      <c r="H766" s="1">
        <v>46166.641089305558</v>
      </c>
      <c r="I766" s="1">
        <v>46166.641089444442</v>
      </c>
      <c r="J766" t="s">
        <v>15</v>
      </c>
      <c r="K766" t="s">
        <v>16</v>
      </c>
      <c r="L766" s="1">
        <v>46166.641089456018</v>
      </c>
    </row>
    <row r="767" spans="1:12" x14ac:dyDescent="0.25">
      <c r="A767" t="s">
        <v>1394</v>
      </c>
      <c r="B767" t="str">
        <f>resultado_db_usuario_10[[#This Row],[metodo]]&amp;" "&amp;SUBSTITUTE(resultado_db_usuario_10[[#This Row],[rota]],"/api/v1","")</f>
        <v>GET /testes/</v>
      </c>
      <c r="C767" t="s">
        <v>12</v>
      </c>
      <c r="D767" t="s">
        <v>30</v>
      </c>
      <c r="E767" t="s">
        <v>31</v>
      </c>
      <c r="F767">
        <v>200</v>
      </c>
      <c r="G767" s="2">
        <v>13.09</v>
      </c>
      <c r="H767" s="1">
        <v>46166.641089305558</v>
      </c>
      <c r="I767" s="1">
        <v>46166.641089456018</v>
      </c>
      <c r="J767" t="s">
        <v>15</v>
      </c>
      <c r="K767" t="s">
        <v>16</v>
      </c>
      <c r="L767" s="1">
        <v>46166.64108947917</v>
      </c>
    </row>
    <row r="768" spans="1:12" x14ac:dyDescent="0.25">
      <c r="A768" t="s">
        <v>1399</v>
      </c>
      <c r="B768" t="str">
        <f>resultado_db_usuario_10[[#This Row],[metodo]]&amp;" "&amp;SUBSTITUTE(resultado_db_usuario_10[[#This Row],[rota]],"/api/v1","")</f>
        <v>GET /testes/</v>
      </c>
      <c r="C768" t="s">
        <v>12</v>
      </c>
      <c r="D768" t="s">
        <v>30</v>
      </c>
      <c r="E768" t="s">
        <v>31</v>
      </c>
      <c r="F768">
        <v>200</v>
      </c>
      <c r="G768" s="2">
        <v>13.75</v>
      </c>
      <c r="H768" s="1">
        <v>46166.641089386576</v>
      </c>
      <c r="I768" s="1">
        <v>46166.641089548611</v>
      </c>
      <c r="J768" t="s">
        <v>15</v>
      </c>
      <c r="K768" t="s">
        <v>16</v>
      </c>
      <c r="L768" s="1">
        <v>46166.641089560188</v>
      </c>
    </row>
    <row r="769" spans="1:12" x14ac:dyDescent="0.25">
      <c r="A769" t="s">
        <v>1400</v>
      </c>
      <c r="B769" t="str">
        <f>resultado_db_usuario_10[[#This Row],[metodo]]&amp;" "&amp;SUBSTITUTE(resultado_db_usuario_10[[#This Row],[rota]],"/api/v1","")</f>
        <v>GET /testes/</v>
      </c>
      <c r="C769" t="s">
        <v>12</v>
      </c>
      <c r="D769" t="s">
        <v>30</v>
      </c>
      <c r="E769" t="s">
        <v>31</v>
      </c>
      <c r="F769">
        <v>200</v>
      </c>
      <c r="G769" s="2">
        <v>14.3</v>
      </c>
      <c r="H769" s="1">
        <v>46166.641089398145</v>
      </c>
      <c r="I769" s="1">
        <v>46166.641089560188</v>
      </c>
      <c r="J769" t="s">
        <v>15</v>
      </c>
      <c r="K769" t="s">
        <v>16</v>
      </c>
      <c r="L769" s="1">
        <v>46166.641089571756</v>
      </c>
    </row>
    <row r="770" spans="1:12" x14ac:dyDescent="0.25">
      <c r="A770" t="s">
        <v>1408</v>
      </c>
      <c r="B770" t="str">
        <f>resultado_db_usuario_10[[#This Row],[metodo]]&amp;" "&amp;SUBSTITUTE(resultado_db_usuario_10[[#This Row],[rota]],"/api/v1","")</f>
        <v>GET /testes/</v>
      </c>
      <c r="C770" t="s">
        <v>12</v>
      </c>
      <c r="D770" t="s">
        <v>30</v>
      </c>
      <c r="E770" t="s">
        <v>31</v>
      </c>
      <c r="F770">
        <v>200</v>
      </c>
      <c r="G770" s="2">
        <v>5.37</v>
      </c>
      <c r="H770" s="1">
        <v>46166.641089780096</v>
      </c>
      <c r="I770" s="1">
        <v>46166.641089849538</v>
      </c>
      <c r="J770" t="s">
        <v>15</v>
      </c>
      <c r="K770" t="s">
        <v>16</v>
      </c>
      <c r="L770" s="1">
        <v>46166.641089861114</v>
      </c>
    </row>
    <row r="771" spans="1:12" x14ac:dyDescent="0.25">
      <c r="A771" t="s">
        <v>1433</v>
      </c>
      <c r="B771" t="str">
        <f>resultado_db_usuario_10[[#This Row],[metodo]]&amp;" "&amp;SUBSTITUTE(resultado_db_usuario_10[[#This Row],[rota]],"/api/v1","")</f>
        <v>GET /testes/</v>
      </c>
      <c r="C771" t="s">
        <v>12</v>
      </c>
      <c r="D771" t="s">
        <v>30</v>
      </c>
      <c r="E771" t="s">
        <v>31</v>
      </c>
      <c r="F771">
        <v>200</v>
      </c>
      <c r="G771" s="2">
        <v>8.75</v>
      </c>
      <c r="H771" s="1">
        <v>46166.641090324076</v>
      </c>
      <c r="I771" s="1">
        <v>46166.64109041667</v>
      </c>
      <c r="J771" t="s">
        <v>15</v>
      </c>
      <c r="K771" t="s">
        <v>16</v>
      </c>
      <c r="L771" s="1">
        <v>46166.641090439814</v>
      </c>
    </row>
    <row r="772" spans="1:12" x14ac:dyDescent="0.25">
      <c r="A772" t="s">
        <v>1444</v>
      </c>
      <c r="B772" t="str">
        <f>resultado_db_usuario_10[[#This Row],[metodo]]&amp;" "&amp;SUBSTITUTE(resultado_db_usuario_10[[#This Row],[rota]],"/api/v1","")</f>
        <v>GET /testes/</v>
      </c>
      <c r="C772" t="s">
        <v>12</v>
      </c>
      <c r="D772" t="s">
        <v>30</v>
      </c>
      <c r="E772" t="s">
        <v>31</v>
      </c>
      <c r="F772">
        <v>200</v>
      </c>
      <c r="G772" s="2">
        <v>9.36</v>
      </c>
      <c r="H772" s="1">
        <v>46166.641090648147</v>
      </c>
      <c r="I772" s="1">
        <v>46166.641090752317</v>
      </c>
      <c r="J772" t="s">
        <v>15</v>
      </c>
      <c r="K772" t="s">
        <v>16</v>
      </c>
      <c r="L772" s="1">
        <v>46166.641090763886</v>
      </c>
    </row>
    <row r="773" spans="1:12" x14ac:dyDescent="0.25">
      <c r="A773" t="s">
        <v>1464</v>
      </c>
      <c r="B773" t="str">
        <f>resultado_db_usuario_10[[#This Row],[metodo]]&amp;" "&amp;SUBSTITUTE(resultado_db_usuario_10[[#This Row],[rota]],"/api/v1","")</f>
        <v>GET /testes/</v>
      </c>
      <c r="C773" t="s">
        <v>12</v>
      </c>
      <c r="D773" t="s">
        <v>30</v>
      </c>
      <c r="E773" t="s">
        <v>31</v>
      </c>
      <c r="F773">
        <v>200</v>
      </c>
      <c r="G773" s="2">
        <v>9.33</v>
      </c>
      <c r="H773" s="1">
        <v>46166.641091342593</v>
      </c>
      <c r="I773" s="1">
        <v>46166.641091446756</v>
      </c>
      <c r="J773" t="s">
        <v>15</v>
      </c>
      <c r="K773" t="s">
        <v>16</v>
      </c>
      <c r="L773" s="1">
        <v>46166.641091458332</v>
      </c>
    </row>
    <row r="774" spans="1:12" x14ac:dyDescent="0.25">
      <c r="A774" t="s">
        <v>1478</v>
      </c>
      <c r="B774" t="str">
        <f>resultado_db_usuario_10[[#This Row],[metodo]]&amp;" "&amp;SUBSTITUTE(resultado_db_usuario_10[[#This Row],[rota]],"/api/v1","")</f>
        <v>GET /testes/</v>
      </c>
      <c r="C774" t="s">
        <v>12</v>
      </c>
      <c r="D774" t="s">
        <v>30</v>
      </c>
      <c r="E774" t="s">
        <v>31</v>
      </c>
      <c r="F774">
        <v>200</v>
      </c>
      <c r="G774" s="2">
        <v>7.88</v>
      </c>
      <c r="H774" s="1">
        <v>46166.641091724538</v>
      </c>
      <c r="I774" s="1">
        <v>46166.641091817131</v>
      </c>
      <c r="J774" t="s">
        <v>15</v>
      </c>
      <c r="K774" t="s">
        <v>16</v>
      </c>
      <c r="L774" s="1">
        <v>46166.6410918287</v>
      </c>
    </row>
    <row r="775" spans="1:12" x14ac:dyDescent="0.25">
      <c r="A775" t="s">
        <v>1483</v>
      </c>
      <c r="B775" t="str">
        <f>resultado_db_usuario_10[[#This Row],[metodo]]&amp;" "&amp;SUBSTITUTE(resultado_db_usuario_10[[#This Row],[rota]],"/api/v1","")</f>
        <v>GET /testes/</v>
      </c>
      <c r="C775" t="s">
        <v>12</v>
      </c>
      <c r="D775" t="s">
        <v>30</v>
      </c>
      <c r="E775" t="s">
        <v>31</v>
      </c>
      <c r="F775">
        <v>200</v>
      </c>
      <c r="G775" s="2">
        <v>10.29</v>
      </c>
      <c r="H775" s="1">
        <v>46166.641091886573</v>
      </c>
      <c r="I775" s="1">
        <v>46166.641092002312</v>
      </c>
      <c r="J775" t="s">
        <v>15</v>
      </c>
      <c r="K775" t="s">
        <v>16</v>
      </c>
      <c r="L775" s="1">
        <v>46166.641092025464</v>
      </c>
    </row>
    <row r="776" spans="1:12" x14ac:dyDescent="0.25">
      <c r="A776" t="s">
        <v>1487</v>
      </c>
      <c r="B776" t="str">
        <f>resultado_db_usuario_10[[#This Row],[metodo]]&amp;" "&amp;SUBSTITUTE(resultado_db_usuario_10[[#This Row],[rota]],"/api/v1","")</f>
        <v>GET /testes/</v>
      </c>
      <c r="C776" t="s">
        <v>12</v>
      </c>
      <c r="D776" t="s">
        <v>30</v>
      </c>
      <c r="E776" t="s">
        <v>31</v>
      </c>
      <c r="F776">
        <v>200</v>
      </c>
      <c r="G776" s="2">
        <v>5.19</v>
      </c>
      <c r="H776" s="1">
        <v>46166.641092071761</v>
      </c>
      <c r="I776" s="1">
        <v>46166.641092129626</v>
      </c>
      <c r="J776" t="s">
        <v>15</v>
      </c>
      <c r="K776" t="s">
        <v>16</v>
      </c>
      <c r="L776" s="1">
        <v>46166.641092141203</v>
      </c>
    </row>
    <row r="777" spans="1:12" x14ac:dyDescent="0.25">
      <c r="A777" t="s">
        <v>1490</v>
      </c>
      <c r="B777" t="str">
        <f>resultado_db_usuario_10[[#This Row],[metodo]]&amp;" "&amp;SUBSTITUTE(resultado_db_usuario_10[[#This Row],[rota]],"/api/v1","")</f>
        <v>GET /testes/</v>
      </c>
      <c r="C777" t="s">
        <v>12</v>
      </c>
      <c r="D777" t="s">
        <v>30</v>
      </c>
      <c r="E777" t="s">
        <v>31</v>
      </c>
      <c r="F777">
        <v>200</v>
      </c>
      <c r="G777" s="2">
        <v>6.84</v>
      </c>
      <c r="H777" s="1">
        <v>46166.641092106482</v>
      </c>
      <c r="I777" s="1">
        <v>46166.641092187499</v>
      </c>
      <c r="J777" t="s">
        <v>15</v>
      </c>
      <c r="K777" t="s">
        <v>16</v>
      </c>
      <c r="L777" s="1">
        <v>46166.641092199076</v>
      </c>
    </row>
    <row r="778" spans="1:12" x14ac:dyDescent="0.25">
      <c r="A778" t="s">
        <v>1502</v>
      </c>
      <c r="B778" t="str">
        <f>resultado_db_usuario_10[[#This Row],[metodo]]&amp;" "&amp;SUBSTITUTE(resultado_db_usuario_10[[#This Row],[rota]],"/api/v1","")</f>
        <v>GET /testes/</v>
      </c>
      <c r="C778" t="s">
        <v>12</v>
      </c>
      <c r="D778" t="s">
        <v>30</v>
      </c>
      <c r="E778" t="s">
        <v>31</v>
      </c>
      <c r="F778">
        <v>200</v>
      </c>
      <c r="G778" s="2">
        <v>6.84</v>
      </c>
      <c r="H778" s="1">
        <v>46166.641092453705</v>
      </c>
      <c r="I778" s="1">
        <v>46166.641092534723</v>
      </c>
      <c r="J778" t="s">
        <v>15</v>
      </c>
      <c r="K778" t="s">
        <v>16</v>
      </c>
      <c r="L778" s="1">
        <v>46166.641092546299</v>
      </c>
    </row>
    <row r="779" spans="1:12" x14ac:dyDescent="0.25">
      <c r="A779" t="s">
        <v>1521</v>
      </c>
      <c r="B779" t="str">
        <f>resultado_db_usuario_10[[#This Row],[metodo]]&amp;" "&amp;SUBSTITUTE(resultado_db_usuario_10[[#This Row],[rota]],"/api/v1","")</f>
        <v>GET /testes/</v>
      </c>
      <c r="C779" t="s">
        <v>12</v>
      </c>
      <c r="D779" t="s">
        <v>30</v>
      </c>
      <c r="E779" t="s">
        <v>31</v>
      </c>
      <c r="F779">
        <v>200</v>
      </c>
      <c r="G779" s="2">
        <v>12.6</v>
      </c>
      <c r="H779" s="1">
        <v>46166.641092789352</v>
      </c>
      <c r="I779" s="1">
        <v>46166.641092928243</v>
      </c>
      <c r="J779" t="s">
        <v>15</v>
      </c>
      <c r="K779" t="s">
        <v>16</v>
      </c>
      <c r="L779" s="1">
        <v>46166.641092951388</v>
      </c>
    </row>
    <row r="780" spans="1:12" x14ac:dyDescent="0.25">
      <c r="A780" t="s">
        <v>1536</v>
      </c>
      <c r="B780" t="str">
        <f>resultado_db_usuario_10[[#This Row],[metodo]]&amp;" "&amp;SUBSTITUTE(resultado_db_usuario_10[[#This Row],[rota]],"/api/v1","")</f>
        <v>GET /testes/</v>
      </c>
      <c r="C780" t="s">
        <v>12</v>
      </c>
      <c r="D780" t="s">
        <v>30</v>
      </c>
      <c r="E780" t="s">
        <v>31</v>
      </c>
      <c r="F780">
        <v>200</v>
      </c>
      <c r="G780" s="2">
        <v>13.16</v>
      </c>
      <c r="H780" s="1">
        <v>46166.641093252314</v>
      </c>
      <c r="I780" s="1">
        <v>46166.641093402781</v>
      </c>
      <c r="J780" t="s">
        <v>15</v>
      </c>
      <c r="K780" t="s">
        <v>16</v>
      </c>
      <c r="L780" s="1">
        <v>46166.64109341435</v>
      </c>
    </row>
    <row r="781" spans="1:12" x14ac:dyDescent="0.25">
      <c r="A781" t="s">
        <v>1557</v>
      </c>
      <c r="B781" t="str">
        <f>resultado_db_usuario_10[[#This Row],[metodo]]&amp;" "&amp;SUBSTITUTE(resultado_db_usuario_10[[#This Row],[rota]],"/api/v1","")</f>
        <v>GET /testes/</v>
      </c>
      <c r="C781" t="s">
        <v>12</v>
      </c>
      <c r="D781" t="s">
        <v>30</v>
      </c>
      <c r="E781" t="s">
        <v>31</v>
      </c>
      <c r="F781">
        <v>200</v>
      </c>
      <c r="G781" s="2">
        <v>9.89</v>
      </c>
      <c r="H781" s="1">
        <v>46166.641093935184</v>
      </c>
      <c r="I781" s="1">
        <v>46166.641094050923</v>
      </c>
      <c r="J781" t="s">
        <v>15</v>
      </c>
      <c r="K781" t="s">
        <v>16</v>
      </c>
      <c r="L781" s="1">
        <v>46166.641094062499</v>
      </c>
    </row>
    <row r="782" spans="1:12" x14ac:dyDescent="0.25">
      <c r="A782" t="s">
        <v>1568</v>
      </c>
      <c r="B782" t="str">
        <f>resultado_db_usuario_10[[#This Row],[metodo]]&amp;" "&amp;SUBSTITUTE(resultado_db_usuario_10[[#This Row],[rota]],"/api/v1","")</f>
        <v>GET /testes/</v>
      </c>
      <c r="C782" t="s">
        <v>12</v>
      </c>
      <c r="D782" t="s">
        <v>30</v>
      </c>
      <c r="E782" t="s">
        <v>31</v>
      </c>
      <c r="F782">
        <v>200</v>
      </c>
      <c r="G782" s="2">
        <v>6.61</v>
      </c>
      <c r="H782" s="1">
        <v>46166.641094236111</v>
      </c>
      <c r="I782" s="1">
        <v>46166.641094317129</v>
      </c>
      <c r="J782" t="s">
        <v>15</v>
      </c>
      <c r="K782" t="s">
        <v>16</v>
      </c>
      <c r="L782" s="1">
        <v>46166.641094328705</v>
      </c>
    </row>
    <row r="783" spans="1:12" x14ac:dyDescent="0.25">
      <c r="A783" t="s">
        <v>1574</v>
      </c>
      <c r="B783" t="str">
        <f>resultado_db_usuario_10[[#This Row],[metodo]]&amp;" "&amp;SUBSTITUTE(resultado_db_usuario_10[[#This Row],[rota]],"/api/v1","")</f>
        <v>GET /testes/</v>
      </c>
      <c r="C783" t="s">
        <v>12</v>
      </c>
      <c r="D783" t="s">
        <v>30</v>
      </c>
      <c r="E783" t="s">
        <v>31</v>
      </c>
      <c r="F783">
        <v>200</v>
      </c>
      <c r="G783" s="2">
        <v>5.89</v>
      </c>
      <c r="H783" s="1">
        <v>46166.641094398146</v>
      </c>
      <c r="I783" s="1">
        <v>46166.641094467595</v>
      </c>
      <c r="J783" t="s">
        <v>15</v>
      </c>
      <c r="K783" t="s">
        <v>16</v>
      </c>
      <c r="L783" s="1">
        <v>46166.64109449074</v>
      </c>
    </row>
    <row r="784" spans="1:12" x14ac:dyDescent="0.25">
      <c r="A784" t="s">
        <v>1577</v>
      </c>
      <c r="B784" t="str">
        <f>resultado_db_usuario_10[[#This Row],[metodo]]&amp;" "&amp;SUBSTITUTE(resultado_db_usuario_10[[#This Row],[rota]],"/api/v1","")</f>
        <v>GET /testes/</v>
      </c>
      <c r="C784" t="s">
        <v>12</v>
      </c>
      <c r="D784" t="s">
        <v>30</v>
      </c>
      <c r="E784" t="s">
        <v>31</v>
      </c>
      <c r="F784">
        <v>200</v>
      </c>
      <c r="G784" s="2">
        <v>7.47</v>
      </c>
      <c r="H784" s="1">
        <v>46166.641094456019</v>
      </c>
      <c r="I784" s="1">
        <v>46166.641094537037</v>
      </c>
      <c r="J784" t="s">
        <v>15</v>
      </c>
      <c r="K784" t="s">
        <v>16</v>
      </c>
      <c r="L784" s="1">
        <v>46166.641094560182</v>
      </c>
    </row>
    <row r="785" spans="1:12" x14ac:dyDescent="0.25">
      <c r="A785" t="s">
        <v>1580</v>
      </c>
      <c r="B785" t="str">
        <f>resultado_db_usuario_10[[#This Row],[metodo]]&amp;" "&amp;SUBSTITUTE(resultado_db_usuario_10[[#This Row],[rota]],"/api/v1","")</f>
        <v>GET /testes/</v>
      </c>
      <c r="C785" t="s">
        <v>12</v>
      </c>
      <c r="D785" t="s">
        <v>30</v>
      </c>
      <c r="E785" t="s">
        <v>31</v>
      </c>
      <c r="F785">
        <v>200</v>
      </c>
      <c r="G785" s="2">
        <v>4.6399999999999997</v>
      </c>
      <c r="H785" s="1">
        <v>46166.641094583334</v>
      </c>
      <c r="I785" s="1">
        <v>46166.641094641207</v>
      </c>
      <c r="J785" t="s">
        <v>15</v>
      </c>
      <c r="K785" t="s">
        <v>16</v>
      </c>
      <c r="L785" s="1">
        <v>46166.641094652776</v>
      </c>
    </row>
    <row r="786" spans="1:12" x14ac:dyDescent="0.25">
      <c r="A786" t="s">
        <v>1591</v>
      </c>
      <c r="B786" t="str">
        <f>resultado_db_usuario_10[[#This Row],[metodo]]&amp;" "&amp;SUBSTITUTE(resultado_db_usuario_10[[#This Row],[rota]],"/api/v1","")</f>
        <v>GET /testes/</v>
      </c>
      <c r="C786" t="s">
        <v>12</v>
      </c>
      <c r="D786" t="s">
        <v>30</v>
      </c>
      <c r="E786" t="s">
        <v>31</v>
      </c>
      <c r="F786">
        <v>200</v>
      </c>
      <c r="G786" s="2">
        <v>9.02</v>
      </c>
      <c r="H786" s="1">
        <v>46166.641094872684</v>
      </c>
      <c r="I786" s="1">
        <v>46166.641094976854</v>
      </c>
      <c r="J786" t="s">
        <v>15</v>
      </c>
      <c r="K786" t="s">
        <v>16</v>
      </c>
      <c r="L786" s="1">
        <v>46166.641094988423</v>
      </c>
    </row>
    <row r="787" spans="1:12" x14ac:dyDescent="0.25">
      <c r="A787" t="s">
        <v>1619</v>
      </c>
      <c r="B787" t="str">
        <f>resultado_db_usuario_10[[#This Row],[metodo]]&amp;" "&amp;SUBSTITUTE(resultado_db_usuario_10[[#This Row],[rota]],"/api/v1","")</f>
        <v>GET /testes/</v>
      </c>
      <c r="C787" t="s">
        <v>12</v>
      </c>
      <c r="D787" t="s">
        <v>30</v>
      </c>
      <c r="E787" t="s">
        <v>31</v>
      </c>
      <c r="F787">
        <v>200</v>
      </c>
      <c r="G787" s="2">
        <v>7.54</v>
      </c>
      <c r="H787" s="1">
        <v>46166.641095752311</v>
      </c>
      <c r="I787" s="1">
        <v>46166.641095833336</v>
      </c>
      <c r="J787" t="s">
        <v>15</v>
      </c>
      <c r="K787" t="s">
        <v>16</v>
      </c>
      <c r="L787" s="1">
        <v>46166.641095844905</v>
      </c>
    </row>
    <row r="788" spans="1:12" x14ac:dyDescent="0.25">
      <c r="A788" t="s">
        <v>1638</v>
      </c>
      <c r="B788" t="str">
        <f>resultado_db_usuario_10[[#This Row],[metodo]]&amp;" "&amp;SUBSTITUTE(resultado_db_usuario_10[[#This Row],[rota]],"/api/v1","")</f>
        <v>GET /testes/</v>
      </c>
      <c r="C788" t="s">
        <v>12</v>
      </c>
      <c r="D788" t="s">
        <v>30</v>
      </c>
      <c r="E788" t="s">
        <v>31</v>
      </c>
      <c r="F788">
        <v>200</v>
      </c>
      <c r="G788" s="2">
        <v>10.96</v>
      </c>
      <c r="H788" s="1">
        <v>46166.641096226849</v>
      </c>
      <c r="I788" s="1">
        <v>46166.641096354164</v>
      </c>
      <c r="J788" t="s">
        <v>15</v>
      </c>
      <c r="K788" t="s">
        <v>16</v>
      </c>
      <c r="L788" s="1">
        <v>46166.641096377316</v>
      </c>
    </row>
    <row r="789" spans="1:12" x14ac:dyDescent="0.25">
      <c r="A789" t="s">
        <v>1642</v>
      </c>
      <c r="B789" t="str">
        <f>resultado_db_usuario_10[[#This Row],[metodo]]&amp;" "&amp;SUBSTITUTE(resultado_db_usuario_10[[#This Row],[rota]],"/api/v1","")</f>
        <v>GET /testes/</v>
      </c>
      <c r="C789" t="s">
        <v>12</v>
      </c>
      <c r="D789" t="s">
        <v>30</v>
      </c>
      <c r="E789" t="s">
        <v>31</v>
      </c>
      <c r="F789">
        <v>200</v>
      </c>
      <c r="G789" s="2">
        <v>4.1900000000000004</v>
      </c>
      <c r="H789" s="1">
        <v>46166.641096435182</v>
      </c>
      <c r="I789" s="1">
        <v>46166.641096481479</v>
      </c>
      <c r="J789" t="s">
        <v>15</v>
      </c>
      <c r="K789" t="s">
        <v>16</v>
      </c>
      <c r="L789" s="1">
        <v>46166.641096504631</v>
      </c>
    </row>
    <row r="790" spans="1:12" x14ac:dyDescent="0.25">
      <c r="A790" t="s">
        <v>1645</v>
      </c>
      <c r="B790" t="str">
        <f>resultado_db_usuario_10[[#This Row],[metodo]]&amp;" "&amp;SUBSTITUTE(resultado_db_usuario_10[[#This Row],[rota]],"/api/v1","")</f>
        <v>GET /testes/</v>
      </c>
      <c r="C790" t="s">
        <v>12</v>
      </c>
      <c r="D790" t="s">
        <v>30</v>
      </c>
      <c r="E790" t="s">
        <v>31</v>
      </c>
      <c r="F790">
        <v>200</v>
      </c>
      <c r="G790" s="2">
        <v>7.29</v>
      </c>
      <c r="H790" s="1">
        <v>46166.64109646991</v>
      </c>
      <c r="I790" s="1">
        <v>46166.641096550928</v>
      </c>
      <c r="J790" t="s">
        <v>15</v>
      </c>
      <c r="K790" t="s">
        <v>16</v>
      </c>
      <c r="L790" s="1">
        <v>46166.641096574072</v>
      </c>
    </row>
    <row r="791" spans="1:12" x14ac:dyDescent="0.25">
      <c r="A791" t="s">
        <v>1647</v>
      </c>
      <c r="B791" t="str">
        <f>resultado_db_usuario_10[[#This Row],[metodo]]&amp;" "&amp;SUBSTITUTE(resultado_db_usuario_10[[#This Row],[rota]],"/api/v1","")</f>
        <v>GET /testes/</v>
      </c>
      <c r="C791" t="s">
        <v>12</v>
      </c>
      <c r="D791" t="s">
        <v>30</v>
      </c>
      <c r="E791" t="s">
        <v>31</v>
      </c>
      <c r="F791">
        <v>200</v>
      </c>
      <c r="G791" s="2">
        <v>4.18</v>
      </c>
      <c r="H791" s="1">
        <v>46166.641096574072</v>
      </c>
      <c r="I791" s="1">
        <v>46166.641096620369</v>
      </c>
      <c r="J791" t="s">
        <v>15</v>
      </c>
      <c r="K791" t="s">
        <v>16</v>
      </c>
      <c r="L791" s="1">
        <v>46166.641096643521</v>
      </c>
    </row>
    <row r="792" spans="1:12" x14ac:dyDescent="0.25">
      <c r="A792" t="s">
        <v>1662</v>
      </c>
      <c r="B792" t="str">
        <f>resultado_db_usuario_10[[#This Row],[metodo]]&amp;" "&amp;SUBSTITUTE(resultado_db_usuario_10[[#This Row],[rota]],"/api/v1","")</f>
        <v>GET /testes/</v>
      </c>
      <c r="C792" t="s">
        <v>12</v>
      </c>
      <c r="D792" t="s">
        <v>30</v>
      </c>
      <c r="E792" t="s">
        <v>31</v>
      </c>
      <c r="F792">
        <v>200</v>
      </c>
      <c r="G792" s="2">
        <v>9.9600000000000009</v>
      </c>
      <c r="H792" s="1">
        <v>46166.641096944448</v>
      </c>
      <c r="I792" s="1">
        <v>46166.641097060186</v>
      </c>
      <c r="J792" t="s">
        <v>15</v>
      </c>
      <c r="K792" t="s">
        <v>16</v>
      </c>
      <c r="L792" s="1">
        <v>46166.641097071762</v>
      </c>
    </row>
    <row r="793" spans="1:12" x14ac:dyDescent="0.25">
      <c r="A793" t="s">
        <v>1688</v>
      </c>
      <c r="B793" t="str">
        <f>resultado_db_usuario_10[[#This Row],[metodo]]&amp;" "&amp;SUBSTITUTE(resultado_db_usuario_10[[#This Row],[rota]],"/api/v1","")</f>
        <v>GET /testes/</v>
      </c>
      <c r="C793" t="s">
        <v>12</v>
      </c>
      <c r="D793" t="s">
        <v>30</v>
      </c>
      <c r="E793" t="s">
        <v>31</v>
      </c>
      <c r="F793">
        <v>200</v>
      </c>
      <c r="G793" s="2">
        <v>6.67</v>
      </c>
      <c r="H793" s="1">
        <v>46166.641097708336</v>
      </c>
      <c r="I793" s="1">
        <v>46166.641097789354</v>
      </c>
      <c r="J793" t="s">
        <v>15</v>
      </c>
      <c r="K793" t="s">
        <v>16</v>
      </c>
      <c r="L793" s="1">
        <v>46166.641097800923</v>
      </c>
    </row>
    <row r="794" spans="1:12" x14ac:dyDescent="0.25">
      <c r="A794" t="s">
        <v>1702</v>
      </c>
      <c r="B794" t="str">
        <f>resultado_db_usuario_10[[#This Row],[metodo]]&amp;" "&amp;SUBSTITUTE(resultado_db_usuario_10[[#This Row],[rota]],"/api/v1","")</f>
        <v>GET /testes/</v>
      </c>
      <c r="C794" t="s">
        <v>12</v>
      </c>
      <c r="D794" t="s">
        <v>30</v>
      </c>
      <c r="E794" t="s">
        <v>31</v>
      </c>
      <c r="F794">
        <v>200</v>
      </c>
      <c r="G794" s="2">
        <v>9.0500000000000007</v>
      </c>
      <c r="H794" s="1">
        <v>46166.64109809028</v>
      </c>
      <c r="I794" s="1">
        <v>46166.641098194443</v>
      </c>
      <c r="J794" t="s">
        <v>15</v>
      </c>
      <c r="K794" t="s">
        <v>16</v>
      </c>
      <c r="L794" s="1">
        <v>46166.641098217595</v>
      </c>
    </row>
    <row r="795" spans="1:12" x14ac:dyDescent="0.25">
      <c r="A795" t="s">
        <v>1706</v>
      </c>
      <c r="B795" t="str">
        <f>resultado_db_usuario_10[[#This Row],[metodo]]&amp;" "&amp;SUBSTITUTE(resultado_db_usuario_10[[#This Row],[rota]],"/api/v1","")</f>
        <v>GET /testes/</v>
      </c>
      <c r="C795" t="s">
        <v>12</v>
      </c>
      <c r="D795" t="s">
        <v>30</v>
      </c>
      <c r="E795" t="s">
        <v>31</v>
      </c>
      <c r="F795">
        <v>200</v>
      </c>
      <c r="G795" s="2">
        <v>4.07</v>
      </c>
      <c r="H795" s="1">
        <v>46166.641098252316</v>
      </c>
      <c r="I795" s="1">
        <v>46166.641098298613</v>
      </c>
      <c r="J795" t="s">
        <v>15</v>
      </c>
      <c r="K795" t="s">
        <v>16</v>
      </c>
      <c r="L795" s="1">
        <v>46166.641098321757</v>
      </c>
    </row>
    <row r="796" spans="1:12" x14ac:dyDescent="0.25">
      <c r="A796" t="s">
        <v>1709</v>
      </c>
      <c r="B796" t="str">
        <f>resultado_db_usuario_10[[#This Row],[metodo]]&amp;" "&amp;SUBSTITUTE(resultado_db_usuario_10[[#This Row],[rota]],"/api/v1","")</f>
        <v>GET /testes/</v>
      </c>
      <c r="C796" t="s">
        <v>12</v>
      </c>
      <c r="D796" t="s">
        <v>30</v>
      </c>
      <c r="E796" t="s">
        <v>31</v>
      </c>
      <c r="F796">
        <v>200</v>
      </c>
      <c r="G796" s="2">
        <v>4.17</v>
      </c>
      <c r="H796" s="1">
        <v>46166.64109834491</v>
      </c>
      <c r="I796" s="1">
        <v>46166.641098391206</v>
      </c>
      <c r="J796" t="s">
        <v>15</v>
      </c>
      <c r="K796" t="s">
        <v>16</v>
      </c>
      <c r="L796" s="1">
        <v>46166.641098414351</v>
      </c>
    </row>
    <row r="797" spans="1:12" x14ac:dyDescent="0.25">
      <c r="A797" t="s">
        <v>1723</v>
      </c>
      <c r="B797" t="str">
        <f>resultado_db_usuario_10[[#This Row],[metodo]]&amp;" "&amp;SUBSTITUTE(resultado_db_usuario_10[[#This Row],[rota]],"/api/v1","")</f>
        <v>GET /testes/</v>
      </c>
      <c r="C797" t="s">
        <v>12</v>
      </c>
      <c r="D797" t="s">
        <v>30</v>
      </c>
      <c r="E797" t="s">
        <v>31</v>
      </c>
      <c r="F797">
        <v>200</v>
      </c>
      <c r="G797" s="2">
        <v>4.6100000000000003</v>
      </c>
      <c r="H797" s="1">
        <v>46166.641098738422</v>
      </c>
      <c r="I797" s="1">
        <v>46166.641098784719</v>
      </c>
      <c r="J797" t="s">
        <v>15</v>
      </c>
      <c r="K797" t="s">
        <v>16</v>
      </c>
      <c r="L797" s="1">
        <v>46166.641098807871</v>
      </c>
    </row>
    <row r="798" spans="1:12" x14ac:dyDescent="0.25">
      <c r="A798" t="s">
        <v>1737</v>
      </c>
      <c r="B798" t="str">
        <f>resultado_db_usuario_10[[#This Row],[metodo]]&amp;" "&amp;SUBSTITUTE(resultado_db_usuario_10[[#This Row],[rota]],"/api/v1","")</f>
        <v>GET /testes/</v>
      </c>
      <c r="C798" t="s">
        <v>12</v>
      </c>
      <c r="D798" t="s">
        <v>30</v>
      </c>
      <c r="E798" t="s">
        <v>31</v>
      </c>
      <c r="F798">
        <v>200</v>
      </c>
      <c r="G798" s="2">
        <v>2.99</v>
      </c>
      <c r="H798" s="1">
        <v>46166.64109917824</v>
      </c>
      <c r="I798" s="1">
        <v>46166.64109921296</v>
      </c>
      <c r="J798" t="s">
        <v>15</v>
      </c>
      <c r="K798" t="s">
        <v>16</v>
      </c>
      <c r="L798" s="1">
        <v>46166.641099236112</v>
      </c>
    </row>
    <row r="799" spans="1:12" x14ac:dyDescent="0.25">
      <c r="A799" t="s">
        <v>1747</v>
      </c>
      <c r="B799" t="str">
        <f>resultado_db_usuario_10[[#This Row],[metodo]]&amp;" "&amp;SUBSTITUTE(resultado_db_usuario_10[[#This Row],[rota]],"/api/v1","")</f>
        <v>GET /testes/</v>
      </c>
      <c r="C799" t="s">
        <v>12</v>
      </c>
      <c r="D799" t="s">
        <v>30</v>
      </c>
      <c r="E799" t="s">
        <v>31</v>
      </c>
      <c r="F799">
        <v>200</v>
      </c>
      <c r="G799" s="2">
        <v>4.12</v>
      </c>
      <c r="H799" s="1">
        <v>46166.641099456021</v>
      </c>
      <c r="I799" s="1">
        <v>46166.641099502318</v>
      </c>
      <c r="J799" t="s">
        <v>15</v>
      </c>
      <c r="K799" t="s">
        <v>16</v>
      </c>
      <c r="L799" s="1">
        <v>46166.641099513887</v>
      </c>
    </row>
    <row r="800" spans="1:12" x14ac:dyDescent="0.25">
      <c r="A800" t="s">
        <v>1762</v>
      </c>
      <c r="B800" t="str">
        <f>resultado_db_usuario_10[[#This Row],[metodo]]&amp;" "&amp;SUBSTITUTE(resultado_db_usuario_10[[#This Row],[rota]],"/api/v1","")</f>
        <v>GET /testes/</v>
      </c>
      <c r="C800" t="s">
        <v>12</v>
      </c>
      <c r="D800" t="s">
        <v>30</v>
      </c>
      <c r="E800" t="s">
        <v>31</v>
      </c>
      <c r="F800">
        <v>200</v>
      </c>
      <c r="G800" s="2">
        <v>2.38</v>
      </c>
      <c r="H800" s="1">
        <v>46166.641099872686</v>
      </c>
      <c r="I800" s="1">
        <v>46166.641099895831</v>
      </c>
      <c r="J800" t="s">
        <v>15</v>
      </c>
      <c r="K800" t="s">
        <v>16</v>
      </c>
      <c r="L800" s="1">
        <v>46166.641099907407</v>
      </c>
    </row>
    <row r="801" spans="1:12" x14ac:dyDescent="0.25">
      <c r="A801" t="s">
        <v>1770</v>
      </c>
      <c r="B801" t="str">
        <f>resultado_db_usuario_10[[#This Row],[metodo]]&amp;" "&amp;SUBSTITUTE(resultado_db_usuario_10[[#This Row],[rota]],"/api/v1","")</f>
        <v>GET /testes/</v>
      </c>
      <c r="C801" t="s">
        <v>12</v>
      </c>
      <c r="D801" t="s">
        <v>30</v>
      </c>
      <c r="E801" t="s">
        <v>31</v>
      </c>
      <c r="F801">
        <v>200</v>
      </c>
      <c r="G801" s="2">
        <v>3.08</v>
      </c>
      <c r="H801" s="1">
        <v>46166.641100092595</v>
      </c>
      <c r="I801" s="1">
        <v>46166.641100127315</v>
      </c>
      <c r="J801" t="s">
        <v>15</v>
      </c>
      <c r="K801" t="s">
        <v>16</v>
      </c>
      <c r="L801" s="1">
        <v>46166.641100138891</v>
      </c>
    </row>
    <row r="802" spans="1:12" x14ac:dyDescent="0.25">
      <c r="A802" t="s">
        <v>666</v>
      </c>
      <c r="B802" t="str">
        <f>resultado_db_usuario_10[[#This Row],[metodo]]&amp;" "&amp;SUBSTITUTE(resultado_db_usuario_10[[#This Row],[rota]],"/api/v1","")</f>
        <v>PATCH /pecas/:id</v>
      </c>
      <c r="C802" t="s">
        <v>35</v>
      </c>
      <c r="D802" t="s">
        <v>36</v>
      </c>
      <c r="E802" t="s">
        <v>37</v>
      </c>
      <c r="F802">
        <v>200</v>
      </c>
      <c r="G802" s="2">
        <v>6.59</v>
      </c>
      <c r="H802" s="1">
        <v>46166.641066215278</v>
      </c>
      <c r="I802" s="1">
        <v>46166.641066284719</v>
      </c>
      <c r="J802" t="s">
        <v>15</v>
      </c>
      <c r="K802" t="s">
        <v>16</v>
      </c>
      <c r="L802" s="1">
        <v>46166.641066307871</v>
      </c>
    </row>
    <row r="803" spans="1:12" x14ac:dyDescent="0.25">
      <c r="A803" t="s">
        <v>685</v>
      </c>
      <c r="B803" t="str">
        <f>resultado_db_usuario_10[[#This Row],[metodo]]&amp;" "&amp;SUBSTITUTE(resultado_db_usuario_10[[#This Row],[rota]],"/api/v1","")</f>
        <v>PATCH /pecas/:id</v>
      </c>
      <c r="C803" t="s">
        <v>35</v>
      </c>
      <c r="D803" t="s">
        <v>36</v>
      </c>
      <c r="E803" t="s">
        <v>37</v>
      </c>
      <c r="F803">
        <v>200</v>
      </c>
      <c r="G803" s="2">
        <v>6.22</v>
      </c>
      <c r="H803" s="1">
        <v>46166.641067268516</v>
      </c>
      <c r="I803" s="1">
        <v>46166.641067337965</v>
      </c>
      <c r="J803" t="s">
        <v>15</v>
      </c>
      <c r="K803" t="s">
        <v>16</v>
      </c>
      <c r="L803" s="1">
        <v>46166.641067349534</v>
      </c>
    </row>
    <row r="804" spans="1:12" x14ac:dyDescent="0.25">
      <c r="A804" t="s">
        <v>688</v>
      </c>
      <c r="B804" t="str">
        <f>resultado_db_usuario_10[[#This Row],[metodo]]&amp;" "&amp;SUBSTITUTE(resultado_db_usuario_10[[#This Row],[rota]],"/api/v1","")</f>
        <v>PATCH /pecas/:id</v>
      </c>
      <c r="C804" t="s">
        <v>35</v>
      </c>
      <c r="D804" t="s">
        <v>204</v>
      </c>
      <c r="E804" t="s">
        <v>37</v>
      </c>
      <c r="F804">
        <v>200</v>
      </c>
      <c r="G804" s="2">
        <v>7.11</v>
      </c>
      <c r="H804" s="1">
        <v>46166.641067326389</v>
      </c>
      <c r="I804" s="1">
        <v>46166.641067407407</v>
      </c>
      <c r="J804" t="s">
        <v>15</v>
      </c>
      <c r="K804" t="s">
        <v>16</v>
      </c>
      <c r="L804" s="1">
        <v>46166.641067418983</v>
      </c>
    </row>
    <row r="805" spans="1:12" hidden="1" x14ac:dyDescent="0.25">
      <c r="A805" t="s">
        <v>711</v>
      </c>
      <c r="B805" t="str">
        <f>resultado_db_usuario_10[[#This Row],[metodo]]&amp;" "&amp;SUBSTITUTE(resultado_db_usuario_10[[#This Row],[rota]],"/api/v1","")</f>
        <v>PATCH /pecas/:id</v>
      </c>
      <c r="C805" t="s">
        <v>35</v>
      </c>
      <c r="D805" t="s">
        <v>173</v>
      </c>
      <c r="E805" t="s">
        <v>37</v>
      </c>
      <c r="F805">
        <v>404</v>
      </c>
      <c r="G805" t="s">
        <v>712</v>
      </c>
      <c r="H805" s="1">
        <v>46166.641068310186</v>
      </c>
      <c r="I805" s="1">
        <v>46166.641068344907</v>
      </c>
      <c r="J805" t="s">
        <v>15</v>
      </c>
      <c r="K805" t="s">
        <v>16</v>
      </c>
      <c r="L805" s="1">
        <v>46166.641068356483</v>
      </c>
    </row>
    <row r="806" spans="1:12" x14ac:dyDescent="0.25">
      <c r="A806" t="s">
        <v>716</v>
      </c>
      <c r="B806" t="str">
        <f>resultado_db_usuario_10[[#This Row],[metodo]]&amp;" "&amp;SUBSTITUTE(resultado_db_usuario_10[[#This Row],[rota]],"/api/v1","")</f>
        <v>PATCH /pecas/:id</v>
      </c>
      <c r="C806" t="s">
        <v>35</v>
      </c>
      <c r="D806" t="s">
        <v>36</v>
      </c>
      <c r="E806" t="s">
        <v>37</v>
      </c>
      <c r="F806">
        <v>200</v>
      </c>
      <c r="G806" s="2">
        <v>13.45</v>
      </c>
      <c r="H806" s="1">
        <v>46166.641068252313</v>
      </c>
      <c r="I806" s="1">
        <v>46166.641068414348</v>
      </c>
      <c r="J806" t="s">
        <v>15</v>
      </c>
      <c r="K806" t="s">
        <v>16</v>
      </c>
      <c r="L806" s="1">
        <v>46166.641068425924</v>
      </c>
    </row>
    <row r="807" spans="1:12" x14ac:dyDescent="0.25">
      <c r="A807" t="s">
        <v>729</v>
      </c>
      <c r="B807" t="str">
        <f>resultado_db_usuario_10[[#This Row],[metodo]]&amp;" "&amp;SUBSTITUTE(resultado_db_usuario_10[[#This Row],[rota]],"/api/v1","")</f>
        <v>PATCH /pecas/:id</v>
      </c>
      <c r="C807" t="s">
        <v>35</v>
      </c>
      <c r="D807" t="s">
        <v>204</v>
      </c>
      <c r="E807" t="s">
        <v>37</v>
      </c>
      <c r="F807">
        <v>200</v>
      </c>
      <c r="G807" s="2">
        <v>17.670000000000002</v>
      </c>
      <c r="H807" s="1">
        <v>46166.641068703706</v>
      </c>
      <c r="I807" s="1">
        <v>46166.641068900462</v>
      </c>
      <c r="J807" t="s">
        <v>15</v>
      </c>
      <c r="K807" t="s">
        <v>16</v>
      </c>
      <c r="L807" s="1">
        <v>46166.641068923615</v>
      </c>
    </row>
    <row r="808" spans="1:12" x14ac:dyDescent="0.25">
      <c r="A808" t="s">
        <v>750</v>
      </c>
      <c r="B808" t="str">
        <f>resultado_db_usuario_10[[#This Row],[metodo]]&amp;" "&amp;SUBSTITUTE(resultado_db_usuario_10[[#This Row],[rota]],"/api/v1","")</f>
        <v>PATCH /pecas/:id</v>
      </c>
      <c r="C808" t="s">
        <v>35</v>
      </c>
      <c r="D808" t="s">
        <v>36</v>
      </c>
      <c r="E808" t="s">
        <v>37</v>
      </c>
      <c r="F808">
        <v>200</v>
      </c>
      <c r="G808" s="2">
        <v>9.8800000000000008</v>
      </c>
      <c r="H808" s="1">
        <v>46166.641069502315</v>
      </c>
      <c r="I808" s="1">
        <v>46166.641069618054</v>
      </c>
      <c r="J808" t="s">
        <v>15</v>
      </c>
      <c r="K808" t="s">
        <v>16</v>
      </c>
      <c r="L808" s="1">
        <v>46166.641069641206</v>
      </c>
    </row>
    <row r="809" spans="1:12" x14ac:dyDescent="0.25">
      <c r="A809" t="s">
        <v>756</v>
      </c>
      <c r="B809" t="str">
        <f>resultado_db_usuario_10[[#This Row],[metodo]]&amp;" "&amp;SUBSTITUTE(resultado_db_usuario_10[[#This Row],[rota]],"/api/v1","")</f>
        <v>PATCH /pecas/:id</v>
      </c>
      <c r="C809" t="s">
        <v>35</v>
      </c>
      <c r="D809" t="s">
        <v>204</v>
      </c>
      <c r="E809" t="s">
        <v>37</v>
      </c>
      <c r="F809">
        <v>200</v>
      </c>
      <c r="G809" s="2">
        <v>11.55</v>
      </c>
      <c r="H809" s="1">
        <v>46166.641069641206</v>
      </c>
      <c r="I809" s="1">
        <v>46166.641069768521</v>
      </c>
      <c r="J809" t="s">
        <v>15</v>
      </c>
      <c r="K809" t="s">
        <v>16</v>
      </c>
      <c r="L809" s="1">
        <v>46166.641069780089</v>
      </c>
    </row>
    <row r="810" spans="1:12" hidden="1" x14ac:dyDescent="0.25">
      <c r="A810" t="s">
        <v>765</v>
      </c>
      <c r="B810" t="str">
        <f>resultado_db_usuario_10[[#This Row],[metodo]]&amp;" "&amp;SUBSTITUTE(resultado_db_usuario_10[[#This Row],[rota]],"/api/v1","")</f>
        <v>PATCH /pecas/:id</v>
      </c>
      <c r="C810" t="s">
        <v>35</v>
      </c>
      <c r="D810" t="s">
        <v>173</v>
      </c>
      <c r="E810" t="s">
        <v>37</v>
      </c>
      <c r="F810">
        <v>404</v>
      </c>
      <c r="G810" t="s">
        <v>141</v>
      </c>
      <c r="H810" s="1">
        <v>46166.641070069447</v>
      </c>
      <c r="I810" s="1">
        <v>46166.641070150465</v>
      </c>
      <c r="J810" t="s">
        <v>15</v>
      </c>
      <c r="K810" t="s">
        <v>16</v>
      </c>
      <c r="L810" s="1">
        <v>46166.641070162033</v>
      </c>
    </row>
    <row r="811" spans="1:12" x14ac:dyDescent="0.25">
      <c r="A811" t="s">
        <v>767</v>
      </c>
      <c r="B811" t="str">
        <f>resultado_db_usuario_10[[#This Row],[metodo]]&amp;" "&amp;SUBSTITUTE(resultado_db_usuario_10[[#This Row],[rota]],"/api/v1","")</f>
        <v>PATCH /pecas/:id</v>
      </c>
      <c r="C811" t="s">
        <v>35</v>
      </c>
      <c r="D811" t="s">
        <v>208</v>
      </c>
      <c r="E811" t="s">
        <v>37</v>
      </c>
      <c r="F811">
        <v>200</v>
      </c>
      <c r="G811" s="2">
        <v>16.64</v>
      </c>
      <c r="H811" s="1">
        <v>46166.641070046295</v>
      </c>
      <c r="I811" s="1">
        <v>46166.641070243058</v>
      </c>
      <c r="J811" t="s">
        <v>15</v>
      </c>
      <c r="K811" t="s">
        <v>16</v>
      </c>
      <c r="L811" s="1">
        <v>46166.641070254627</v>
      </c>
    </row>
    <row r="812" spans="1:12" x14ac:dyDescent="0.25">
      <c r="A812" t="s">
        <v>799</v>
      </c>
      <c r="B812" t="str">
        <f>resultado_db_usuario_10[[#This Row],[metodo]]&amp;" "&amp;SUBSTITUTE(resultado_db_usuario_10[[#This Row],[rota]],"/api/v1","")</f>
        <v>PATCH /pecas/:id</v>
      </c>
      <c r="C812" t="s">
        <v>35</v>
      </c>
      <c r="D812" t="s">
        <v>36</v>
      </c>
      <c r="E812" t="s">
        <v>37</v>
      </c>
      <c r="F812">
        <v>200</v>
      </c>
      <c r="G812" s="2">
        <v>12.5</v>
      </c>
      <c r="H812" s="1">
        <v>46166.641071226855</v>
      </c>
      <c r="I812" s="1">
        <v>46166.641071365739</v>
      </c>
      <c r="J812" t="s">
        <v>15</v>
      </c>
      <c r="K812" t="s">
        <v>16</v>
      </c>
      <c r="L812" s="1">
        <v>46166.641071388891</v>
      </c>
    </row>
    <row r="813" spans="1:12" x14ac:dyDescent="0.25">
      <c r="A813" t="s">
        <v>805</v>
      </c>
      <c r="B813" t="str">
        <f>resultado_db_usuario_10[[#This Row],[metodo]]&amp;" "&amp;SUBSTITUTE(resultado_db_usuario_10[[#This Row],[rota]],"/api/v1","")</f>
        <v>PATCH /pecas/:id</v>
      </c>
      <c r="C813" t="s">
        <v>35</v>
      </c>
      <c r="D813" t="s">
        <v>204</v>
      </c>
      <c r="E813" t="s">
        <v>37</v>
      </c>
      <c r="F813">
        <v>200</v>
      </c>
      <c r="G813" s="2">
        <v>16.59</v>
      </c>
      <c r="H813" s="1">
        <v>46166.64107140046</v>
      </c>
      <c r="I813" s="1">
        <v>46166.641071597223</v>
      </c>
      <c r="J813" t="s">
        <v>15</v>
      </c>
      <c r="K813" t="s">
        <v>16</v>
      </c>
      <c r="L813" s="1">
        <v>46166.641071608799</v>
      </c>
    </row>
    <row r="814" spans="1:12" x14ac:dyDescent="0.25">
      <c r="A814" t="s">
        <v>812</v>
      </c>
      <c r="B814" t="str">
        <f>resultado_db_usuario_10[[#This Row],[metodo]]&amp;" "&amp;SUBSTITUTE(resultado_db_usuario_10[[#This Row],[rota]],"/api/v1","")</f>
        <v>PATCH /pecas/:id</v>
      </c>
      <c r="C814" t="s">
        <v>35</v>
      </c>
      <c r="D814" t="s">
        <v>208</v>
      </c>
      <c r="E814" t="s">
        <v>37</v>
      </c>
      <c r="F814">
        <v>200</v>
      </c>
      <c r="G814" s="2">
        <v>16.809999999999999</v>
      </c>
      <c r="H814" s="1">
        <v>46166.641071655089</v>
      </c>
      <c r="I814" s="1">
        <v>46166.641071851853</v>
      </c>
      <c r="J814" t="s">
        <v>15</v>
      </c>
      <c r="K814" t="s">
        <v>16</v>
      </c>
      <c r="L814" s="1">
        <v>46166.641071863429</v>
      </c>
    </row>
    <row r="815" spans="1:12" hidden="1" x14ac:dyDescent="0.25">
      <c r="A815" t="s">
        <v>816</v>
      </c>
      <c r="B815" t="str">
        <f>resultado_db_usuario_10[[#This Row],[metodo]]&amp;" "&amp;SUBSTITUTE(resultado_db_usuario_10[[#This Row],[rota]],"/api/v1","")</f>
        <v>PATCH /pecas/:id</v>
      </c>
      <c r="C815" t="s">
        <v>35</v>
      </c>
      <c r="D815" t="s">
        <v>173</v>
      </c>
      <c r="E815" t="s">
        <v>37</v>
      </c>
      <c r="F815">
        <v>404</v>
      </c>
      <c r="G815" t="s">
        <v>817</v>
      </c>
      <c r="H815" s="1">
        <v>46166.641071944447</v>
      </c>
      <c r="I815" s="1">
        <v>46166.64107203704</v>
      </c>
      <c r="J815" t="s">
        <v>15</v>
      </c>
      <c r="K815" t="s">
        <v>16</v>
      </c>
      <c r="L815" s="1">
        <v>46166.641072048609</v>
      </c>
    </row>
    <row r="816" spans="1:12" x14ac:dyDescent="0.25">
      <c r="A816" t="s">
        <v>819</v>
      </c>
      <c r="B816" t="str">
        <f>resultado_db_usuario_10[[#This Row],[metodo]]&amp;" "&amp;SUBSTITUTE(resultado_db_usuario_10[[#This Row],[rota]],"/api/v1","")</f>
        <v>PATCH /pecas/:id</v>
      </c>
      <c r="C816" t="s">
        <v>35</v>
      </c>
      <c r="D816" t="s">
        <v>305</v>
      </c>
      <c r="E816" t="s">
        <v>37</v>
      </c>
      <c r="F816">
        <v>200</v>
      </c>
      <c r="G816" s="2">
        <v>22.32</v>
      </c>
      <c r="H816" s="1">
        <v>46166.641071840277</v>
      </c>
      <c r="I816" s="1">
        <v>46166.641072094906</v>
      </c>
      <c r="J816" t="s">
        <v>15</v>
      </c>
      <c r="K816" t="s">
        <v>16</v>
      </c>
      <c r="L816" s="1">
        <v>46166.641072118058</v>
      </c>
    </row>
    <row r="817" spans="1:12" x14ac:dyDescent="0.25">
      <c r="A817" t="s">
        <v>857</v>
      </c>
      <c r="B817" t="str">
        <f>resultado_db_usuario_10[[#This Row],[metodo]]&amp;" "&amp;SUBSTITUTE(resultado_db_usuario_10[[#This Row],[rota]],"/api/v1","")</f>
        <v>PATCH /pecas/:id</v>
      </c>
      <c r="C817" t="s">
        <v>35</v>
      </c>
      <c r="D817" t="s">
        <v>36</v>
      </c>
      <c r="E817" t="s">
        <v>37</v>
      </c>
      <c r="F817">
        <v>200</v>
      </c>
      <c r="G817" s="2">
        <v>15.1</v>
      </c>
      <c r="H817" s="1">
        <v>46166.641073344908</v>
      </c>
      <c r="I817" s="1">
        <v>46166.64107351852</v>
      </c>
      <c r="J817" t="s">
        <v>15</v>
      </c>
      <c r="K817" t="s">
        <v>16</v>
      </c>
      <c r="L817" s="1">
        <v>46166.641073541665</v>
      </c>
    </row>
    <row r="818" spans="1:12" x14ac:dyDescent="0.25">
      <c r="A818" t="s">
        <v>867</v>
      </c>
      <c r="B818" t="str">
        <f>resultado_db_usuario_10[[#This Row],[metodo]]&amp;" "&amp;SUBSTITUTE(resultado_db_usuario_10[[#This Row],[rota]],"/api/v1","")</f>
        <v>PATCH /pecas/:id</v>
      </c>
      <c r="C818" t="s">
        <v>35</v>
      </c>
      <c r="D818" t="s">
        <v>204</v>
      </c>
      <c r="E818" t="s">
        <v>37</v>
      </c>
      <c r="F818">
        <v>200</v>
      </c>
      <c r="G818" s="2">
        <v>18.510000000000002</v>
      </c>
      <c r="H818" s="1">
        <v>46166.641073576386</v>
      </c>
      <c r="I818" s="1">
        <v>46166.641073784725</v>
      </c>
      <c r="J818" t="s">
        <v>15</v>
      </c>
      <c r="K818" t="s">
        <v>16</v>
      </c>
      <c r="L818" s="1">
        <v>46166.64107380787</v>
      </c>
    </row>
    <row r="819" spans="1:12" x14ac:dyDescent="0.25">
      <c r="A819" t="s">
        <v>874</v>
      </c>
      <c r="B819" t="str">
        <f>resultado_db_usuario_10[[#This Row],[metodo]]&amp;" "&amp;SUBSTITUTE(resultado_db_usuario_10[[#This Row],[rota]],"/api/v1","")</f>
        <v>PATCH /pecas/:id</v>
      </c>
      <c r="C819" t="s">
        <v>35</v>
      </c>
      <c r="D819" t="s">
        <v>208</v>
      </c>
      <c r="E819" t="s">
        <v>37</v>
      </c>
      <c r="F819">
        <v>200</v>
      </c>
      <c r="G819" s="2">
        <v>20.39</v>
      </c>
      <c r="H819" s="1">
        <v>46166.641073819446</v>
      </c>
      <c r="I819" s="1">
        <v>46166.641074050924</v>
      </c>
      <c r="J819" t="s">
        <v>15</v>
      </c>
      <c r="K819" t="s">
        <v>16</v>
      </c>
      <c r="L819" s="1">
        <v>46166.6410740625</v>
      </c>
    </row>
    <row r="820" spans="1:12" hidden="1" x14ac:dyDescent="0.25">
      <c r="A820" t="s">
        <v>883</v>
      </c>
      <c r="B820" t="str">
        <f>resultado_db_usuario_10[[#This Row],[metodo]]&amp;" "&amp;SUBSTITUTE(resultado_db_usuario_10[[#This Row],[rota]],"/api/v1","")</f>
        <v>PATCH /pecas/:id</v>
      </c>
      <c r="C820" t="s">
        <v>35</v>
      </c>
      <c r="D820" t="s">
        <v>173</v>
      </c>
      <c r="E820" t="s">
        <v>37</v>
      </c>
      <c r="F820">
        <v>404</v>
      </c>
      <c r="G820" t="s">
        <v>884</v>
      </c>
      <c r="H820" s="1">
        <v>46166.641074236111</v>
      </c>
      <c r="I820" s="1">
        <v>46166.641074328705</v>
      </c>
      <c r="J820" t="s">
        <v>15</v>
      </c>
      <c r="K820" t="s">
        <v>16</v>
      </c>
      <c r="L820" s="1">
        <v>46166.641074340281</v>
      </c>
    </row>
    <row r="821" spans="1:12" x14ac:dyDescent="0.25">
      <c r="A821" t="s">
        <v>886</v>
      </c>
      <c r="B821" t="str">
        <f>resultado_db_usuario_10[[#This Row],[metodo]]&amp;" "&amp;SUBSTITUTE(resultado_db_usuario_10[[#This Row],[rota]],"/api/v1","")</f>
        <v>PATCH /pecas/:id</v>
      </c>
      <c r="C821" t="s">
        <v>35</v>
      </c>
      <c r="D821" t="s">
        <v>305</v>
      </c>
      <c r="E821" t="s">
        <v>37</v>
      </c>
      <c r="F821">
        <v>200</v>
      </c>
      <c r="G821" s="2">
        <v>23.77</v>
      </c>
      <c r="H821" s="1">
        <v>46166.641074120373</v>
      </c>
      <c r="I821" s="1">
        <v>46166.641074386571</v>
      </c>
      <c r="J821" t="s">
        <v>15</v>
      </c>
      <c r="K821" t="s">
        <v>16</v>
      </c>
      <c r="L821" s="1">
        <v>46166.641074409723</v>
      </c>
    </row>
    <row r="822" spans="1:12" hidden="1" x14ac:dyDescent="0.25">
      <c r="A822" t="s">
        <v>889</v>
      </c>
      <c r="B822" t="str">
        <f>resultado_db_usuario_10[[#This Row],[metodo]]&amp;" "&amp;SUBSTITUTE(resultado_db_usuario_10[[#This Row],[rota]],"/api/v1","")</f>
        <v>PATCH /pecas/:id</v>
      </c>
      <c r="C822" t="s">
        <v>35</v>
      </c>
      <c r="D822" t="s">
        <v>173</v>
      </c>
      <c r="E822" t="s">
        <v>37</v>
      </c>
      <c r="F822">
        <v>404</v>
      </c>
      <c r="G822" t="s">
        <v>726</v>
      </c>
      <c r="H822" s="1">
        <v>46166.641074409723</v>
      </c>
      <c r="I822" s="1">
        <v>46166.641074502317</v>
      </c>
      <c r="J822" t="s">
        <v>15</v>
      </c>
      <c r="K822" t="s">
        <v>16</v>
      </c>
      <c r="L822" s="1">
        <v>46166.641074525462</v>
      </c>
    </row>
    <row r="823" spans="1:12" x14ac:dyDescent="0.25">
      <c r="A823" t="s">
        <v>894</v>
      </c>
      <c r="B823" t="str">
        <f>resultado_db_usuario_10[[#This Row],[metodo]]&amp;" "&amp;SUBSTITUTE(resultado_db_usuario_10[[#This Row],[rota]],"/api/v1","")</f>
        <v>PATCH /pecas/:id</v>
      </c>
      <c r="C823" t="s">
        <v>35</v>
      </c>
      <c r="D823" t="s">
        <v>895</v>
      </c>
      <c r="E823" t="s">
        <v>37</v>
      </c>
      <c r="F823">
        <v>200</v>
      </c>
      <c r="G823" s="2">
        <v>24.54</v>
      </c>
      <c r="H823" s="1">
        <v>46166.641074375002</v>
      </c>
      <c r="I823" s="1">
        <v>46166.641074664352</v>
      </c>
      <c r="J823" t="s">
        <v>15</v>
      </c>
      <c r="K823" t="s">
        <v>16</v>
      </c>
      <c r="L823" s="1">
        <v>46166.641074675928</v>
      </c>
    </row>
    <row r="824" spans="1:12" x14ac:dyDescent="0.25">
      <c r="A824" t="s">
        <v>939</v>
      </c>
      <c r="B824" t="str">
        <f>resultado_db_usuario_10[[#This Row],[metodo]]&amp;" "&amp;SUBSTITUTE(resultado_db_usuario_10[[#This Row],[rota]],"/api/v1","")</f>
        <v>PATCH /pecas/:id</v>
      </c>
      <c r="C824" t="s">
        <v>35</v>
      </c>
      <c r="D824" t="s">
        <v>36</v>
      </c>
      <c r="E824" t="s">
        <v>37</v>
      </c>
      <c r="F824">
        <v>200</v>
      </c>
      <c r="G824" s="2">
        <v>27.11</v>
      </c>
      <c r="H824" s="1">
        <v>46166.641075983796</v>
      </c>
      <c r="I824" s="1">
        <v>46166.641076296299</v>
      </c>
      <c r="J824" t="s">
        <v>15</v>
      </c>
      <c r="K824" t="s">
        <v>16</v>
      </c>
      <c r="L824" s="1">
        <v>46166.641076307867</v>
      </c>
    </row>
    <row r="825" spans="1:12" x14ac:dyDescent="0.25">
      <c r="A825" t="s">
        <v>951</v>
      </c>
      <c r="B825" t="str">
        <f>resultado_db_usuario_10[[#This Row],[metodo]]&amp;" "&amp;SUBSTITUTE(resultado_db_usuario_10[[#This Row],[rota]],"/api/v1","")</f>
        <v>PATCH /pecas/:id</v>
      </c>
      <c r="C825" t="s">
        <v>35</v>
      </c>
      <c r="D825" t="s">
        <v>204</v>
      </c>
      <c r="E825" t="s">
        <v>37</v>
      </c>
      <c r="F825">
        <v>200</v>
      </c>
      <c r="G825" s="2">
        <v>29.79</v>
      </c>
      <c r="H825" s="1">
        <v>46166.64107633102</v>
      </c>
      <c r="I825" s="1">
        <v>46166.641076678243</v>
      </c>
      <c r="J825" t="s">
        <v>15</v>
      </c>
      <c r="K825" t="s">
        <v>16</v>
      </c>
      <c r="L825" s="1">
        <v>46166.641076689812</v>
      </c>
    </row>
    <row r="826" spans="1:12" x14ac:dyDescent="0.25">
      <c r="A826" t="s">
        <v>964</v>
      </c>
      <c r="B826" t="str">
        <f>resultado_db_usuario_10[[#This Row],[metodo]]&amp;" "&amp;SUBSTITUTE(resultado_db_usuario_10[[#This Row],[rota]],"/api/v1","")</f>
        <v>PATCH /pecas/:id</v>
      </c>
      <c r="C826" t="s">
        <v>35</v>
      </c>
      <c r="D826" t="s">
        <v>208</v>
      </c>
      <c r="E826" t="s">
        <v>37</v>
      </c>
      <c r="F826">
        <v>200</v>
      </c>
      <c r="G826" s="2">
        <v>23.7</v>
      </c>
      <c r="H826" s="1">
        <v>46166.641076805558</v>
      </c>
      <c r="I826" s="1">
        <v>46166.641077071756</v>
      </c>
      <c r="J826" t="s">
        <v>15</v>
      </c>
      <c r="K826" t="s">
        <v>16</v>
      </c>
      <c r="L826" s="1">
        <v>46166.641077094908</v>
      </c>
    </row>
    <row r="827" spans="1:12" x14ac:dyDescent="0.25">
      <c r="A827" t="s">
        <v>971</v>
      </c>
      <c r="B827" t="str">
        <f>resultado_db_usuario_10[[#This Row],[metodo]]&amp;" "&amp;SUBSTITUTE(resultado_db_usuario_10[[#This Row],[rota]],"/api/v1","")</f>
        <v>PATCH /pecas/:id</v>
      </c>
      <c r="C827" t="s">
        <v>35</v>
      </c>
      <c r="D827" t="s">
        <v>305</v>
      </c>
      <c r="E827" t="s">
        <v>37</v>
      </c>
      <c r="F827">
        <v>200</v>
      </c>
      <c r="G827" s="2">
        <v>22.87</v>
      </c>
      <c r="H827" s="1">
        <v>46166.641077048611</v>
      </c>
      <c r="I827" s="1">
        <v>46166.641077314816</v>
      </c>
      <c r="J827" t="s">
        <v>15</v>
      </c>
      <c r="K827" t="s">
        <v>16</v>
      </c>
      <c r="L827" s="1">
        <v>46166.641077337961</v>
      </c>
    </row>
    <row r="828" spans="1:12" hidden="1" x14ac:dyDescent="0.25">
      <c r="A828" t="s">
        <v>980</v>
      </c>
      <c r="B828" t="str">
        <f>resultado_db_usuario_10[[#This Row],[metodo]]&amp;" "&amp;SUBSTITUTE(resultado_db_usuario_10[[#This Row],[rota]],"/api/v1","")</f>
        <v>PATCH /pecas/:id</v>
      </c>
      <c r="C828" t="s">
        <v>35</v>
      </c>
      <c r="D828" t="s">
        <v>173</v>
      </c>
      <c r="E828" t="s">
        <v>37</v>
      </c>
      <c r="F828">
        <v>404</v>
      </c>
      <c r="G828" t="s">
        <v>981</v>
      </c>
      <c r="H828" s="1">
        <v>46166.641077476852</v>
      </c>
      <c r="I828" s="1">
        <v>46166.641077638888</v>
      </c>
      <c r="J828" t="s">
        <v>15</v>
      </c>
      <c r="K828" t="s">
        <v>16</v>
      </c>
      <c r="L828" s="1">
        <v>46166.64107766204</v>
      </c>
    </row>
    <row r="829" spans="1:12" hidden="1" x14ac:dyDescent="0.25">
      <c r="A829" t="s">
        <v>982</v>
      </c>
      <c r="B829" t="str">
        <f>resultado_db_usuario_10[[#This Row],[metodo]]&amp;" "&amp;SUBSTITUTE(resultado_db_usuario_10[[#This Row],[rota]],"/api/v1","")</f>
        <v>PATCH /pecas/:id</v>
      </c>
      <c r="C829" t="s">
        <v>35</v>
      </c>
      <c r="D829" t="s">
        <v>173</v>
      </c>
      <c r="E829" t="s">
        <v>37</v>
      </c>
      <c r="F829">
        <v>404</v>
      </c>
      <c r="G829" t="s">
        <v>983</v>
      </c>
      <c r="H829" s="1">
        <v>46166.641077488428</v>
      </c>
      <c r="I829" s="1">
        <v>46166.641077650464</v>
      </c>
      <c r="J829" t="s">
        <v>15</v>
      </c>
      <c r="K829" t="s">
        <v>16</v>
      </c>
      <c r="L829" s="1">
        <v>46166.641077673608</v>
      </c>
    </row>
    <row r="830" spans="1:12" hidden="1" x14ac:dyDescent="0.25">
      <c r="A830" t="s">
        <v>984</v>
      </c>
      <c r="B830" t="str">
        <f>resultado_db_usuario_10[[#This Row],[metodo]]&amp;" "&amp;SUBSTITUTE(resultado_db_usuario_10[[#This Row],[rota]],"/api/v1","")</f>
        <v>PATCH /pecas/:id</v>
      </c>
      <c r="C830" t="s">
        <v>35</v>
      </c>
      <c r="D830" t="s">
        <v>173</v>
      </c>
      <c r="E830" t="s">
        <v>37</v>
      </c>
      <c r="F830">
        <v>404</v>
      </c>
      <c r="G830" t="s">
        <v>985</v>
      </c>
      <c r="H830" s="1">
        <v>46166.641077523149</v>
      </c>
      <c r="I830" s="1">
        <v>46166.641077673608</v>
      </c>
      <c r="J830" t="s">
        <v>15</v>
      </c>
      <c r="K830" t="s">
        <v>16</v>
      </c>
      <c r="L830" s="1">
        <v>46166.64107769676</v>
      </c>
    </row>
    <row r="831" spans="1:12" x14ac:dyDescent="0.25">
      <c r="A831" t="s">
        <v>986</v>
      </c>
      <c r="B831" t="str">
        <f>resultado_db_usuario_10[[#This Row],[metodo]]&amp;" "&amp;SUBSTITUTE(resultado_db_usuario_10[[#This Row],[rota]],"/api/v1","")</f>
        <v>PATCH /pecas/:id</v>
      </c>
      <c r="C831" t="s">
        <v>35</v>
      </c>
      <c r="D831" t="s">
        <v>895</v>
      </c>
      <c r="E831" t="s">
        <v>37</v>
      </c>
      <c r="F831">
        <v>200</v>
      </c>
      <c r="G831" s="2">
        <v>24.51</v>
      </c>
      <c r="H831" s="1">
        <v>46166.64107740741</v>
      </c>
      <c r="I831" s="1">
        <v>46166.64107769676</v>
      </c>
      <c r="J831" t="s">
        <v>15</v>
      </c>
      <c r="K831" t="s">
        <v>16</v>
      </c>
      <c r="L831" s="1">
        <v>46166.641077708337</v>
      </c>
    </row>
    <row r="832" spans="1:12" x14ac:dyDescent="0.25">
      <c r="A832" t="s">
        <v>1008</v>
      </c>
      <c r="B832" t="str">
        <f>resultado_db_usuario_10[[#This Row],[metodo]]&amp;" "&amp;SUBSTITUTE(resultado_db_usuario_10[[#This Row],[rota]],"/api/v1","")</f>
        <v>PATCH /pecas/:id</v>
      </c>
      <c r="C832" t="s">
        <v>35</v>
      </c>
      <c r="D832" t="s">
        <v>1009</v>
      </c>
      <c r="E832" t="s">
        <v>37</v>
      </c>
      <c r="F832">
        <v>200</v>
      </c>
      <c r="G832" s="2">
        <v>30.15</v>
      </c>
      <c r="H832" s="1">
        <v>46166.641077939814</v>
      </c>
      <c r="I832" s="1">
        <v>46166.641078287037</v>
      </c>
      <c r="J832" t="s">
        <v>15</v>
      </c>
      <c r="K832" t="s">
        <v>16</v>
      </c>
      <c r="L832" s="1">
        <v>46166.641078298613</v>
      </c>
    </row>
    <row r="833" spans="1:12" x14ac:dyDescent="0.25">
      <c r="A833" t="s">
        <v>1023</v>
      </c>
      <c r="B833" t="str">
        <f>resultado_db_usuario_10[[#This Row],[metodo]]&amp;" "&amp;SUBSTITUTE(resultado_db_usuario_10[[#This Row],[rota]],"/api/v1","")</f>
        <v>PATCH /pecas/:id</v>
      </c>
      <c r="C833" t="s">
        <v>35</v>
      </c>
      <c r="D833" t="s">
        <v>1024</v>
      </c>
      <c r="E833" t="s">
        <v>37</v>
      </c>
      <c r="F833">
        <v>200</v>
      </c>
      <c r="G833" s="2">
        <v>43.58</v>
      </c>
      <c r="H833" s="1">
        <v>46166.641078553243</v>
      </c>
      <c r="I833" s="1">
        <v>46166.641079050925</v>
      </c>
      <c r="J833" t="s">
        <v>15</v>
      </c>
      <c r="K833" t="s">
        <v>16</v>
      </c>
      <c r="L833" s="1">
        <v>46166.641079062501</v>
      </c>
    </row>
    <row r="834" spans="1:12" x14ac:dyDescent="0.25">
      <c r="A834" t="s">
        <v>1053</v>
      </c>
      <c r="B834" t="str">
        <f>resultado_db_usuario_10[[#This Row],[metodo]]&amp;" "&amp;SUBSTITUTE(resultado_db_usuario_10[[#This Row],[rota]],"/api/v1","")</f>
        <v>PATCH /pecas/:id</v>
      </c>
      <c r="C834" t="s">
        <v>35</v>
      </c>
      <c r="D834" t="s">
        <v>1054</v>
      </c>
      <c r="E834" t="s">
        <v>37</v>
      </c>
      <c r="F834">
        <v>200</v>
      </c>
      <c r="G834" s="2">
        <v>29.29</v>
      </c>
      <c r="H834" s="1">
        <v>46166.641079456022</v>
      </c>
      <c r="I834" s="1">
        <v>46166.641079791669</v>
      </c>
      <c r="J834" t="s">
        <v>15</v>
      </c>
      <c r="K834" t="s">
        <v>16</v>
      </c>
      <c r="L834" s="1">
        <v>46166.641079803238</v>
      </c>
    </row>
    <row r="835" spans="1:12" x14ac:dyDescent="0.25">
      <c r="A835" t="s">
        <v>1065</v>
      </c>
      <c r="B835" t="str">
        <f>resultado_db_usuario_10[[#This Row],[metodo]]&amp;" "&amp;SUBSTITUTE(resultado_db_usuario_10[[#This Row],[rota]],"/api/v1","")</f>
        <v>PATCH /pecas/:id</v>
      </c>
      <c r="C835" t="s">
        <v>35</v>
      </c>
      <c r="D835" t="s">
        <v>1066</v>
      </c>
      <c r="E835" t="s">
        <v>37</v>
      </c>
      <c r="F835">
        <v>200</v>
      </c>
      <c r="G835" s="2" t="s">
        <v>1067</v>
      </c>
      <c r="H835" s="1">
        <v>46166.641079814814</v>
      </c>
      <c r="I835" s="1">
        <v>46166.641080104164</v>
      </c>
      <c r="J835" t="s">
        <v>15</v>
      </c>
      <c r="K835" t="s">
        <v>16</v>
      </c>
      <c r="L835" s="1">
        <v>46166.64108011574</v>
      </c>
    </row>
    <row r="836" spans="1:12" x14ac:dyDescent="0.25">
      <c r="A836" t="s">
        <v>1081</v>
      </c>
      <c r="B836" t="str">
        <f>resultado_db_usuario_10[[#This Row],[metodo]]&amp;" "&amp;SUBSTITUTE(resultado_db_usuario_10[[#This Row],[rota]],"/api/v1","")</f>
        <v>PATCH /pecas/:id</v>
      </c>
      <c r="C836" t="s">
        <v>35</v>
      </c>
      <c r="D836" t="s">
        <v>1082</v>
      </c>
      <c r="E836" t="s">
        <v>37</v>
      </c>
      <c r="F836">
        <v>200</v>
      </c>
      <c r="G836" s="2">
        <v>20.78</v>
      </c>
      <c r="H836" s="1">
        <v>46166.641080335648</v>
      </c>
      <c r="I836" s="1">
        <v>46166.641080567133</v>
      </c>
      <c r="J836" t="s">
        <v>15</v>
      </c>
      <c r="K836" t="s">
        <v>16</v>
      </c>
      <c r="L836" s="1">
        <v>46166.641080590278</v>
      </c>
    </row>
    <row r="837" spans="1:12" x14ac:dyDescent="0.25">
      <c r="A837" t="s">
        <v>1090</v>
      </c>
      <c r="B837" t="str">
        <f>resultado_db_usuario_10[[#This Row],[metodo]]&amp;" "&amp;SUBSTITUTE(resultado_db_usuario_10[[#This Row],[rota]],"/api/v1","")</f>
        <v>PATCH /pecas/:id</v>
      </c>
      <c r="C837" t="s">
        <v>35</v>
      </c>
      <c r="D837" t="s">
        <v>1091</v>
      </c>
      <c r="E837" t="s">
        <v>37</v>
      </c>
      <c r="F837">
        <v>200</v>
      </c>
      <c r="G837" s="2">
        <v>24.75</v>
      </c>
      <c r="H837" s="1">
        <v>46166.641080486108</v>
      </c>
      <c r="I837" s="1">
        <v>46166.641080763889</v>
      </c>
      <c r="J837" t="s">
        <v>15</v>
      </c>
      <c r="K837" t="s">
        <v>16</v>
      </c>
      <c r="L837" s="1">
        <v>46166.641080787034</v>
      </c>
    </row>
    <row r="838" spans="1:12" hidden="1" x14ac:dyDescent="0.25">
      <c r="A838" t="s">
        <v>1096</v>
      </c>
      <c r="B838" t="str">
        <f>resultado_db_usuario_10[[#This Row],[metodo]]&amp;" "&amp;SUBSTITUTE(resultado_db_usuario_10[[#This Row],[rota]],"/api/v1","")</f>
        <v>PATCH /pecas/:id</v>
      </c>
      <c r="C838" t="s">
        <v>35</v>
      </c>
      <c r="D838" t="s">
        <v>173</v>
      </c>
      <c r="E838" t="s">
        <v>37</v>
      </c>
      <c r="F838">
        <v>404</v>
      </c>
      <c r="G838" t="s">
        <v>1097</v>
      </c>
      <c r="H838" s="1">
        <v>46166.641080763889</v>
      </c>
      <c r="I838" s="1">
        <v>46166.641080914349</v>
      </c>
      <c r="J838" t="s">
        <v>15</v>
      </c>
      <c r="K838" t="s">
        <v>16</v>
      </c>
      <c r="L838" s="1">
        <v>46166.641080937501</v>
      </c>
    </row>
    <row r="839" spans="1:12" hidden="1" x14ac:dyDescent="0.25">
      <c r="A839" t="s">
        <v>1098</v>
      </c>
      <c r="B839" t="str">
        <f>resultado_db_usuario_10[[#This Row],[metodo]]&amp;" "&amp;SUBSTITUTE(resultado_db_usuario_10[[#This Row],[rota]],"/api/v1","")</f>
        <v>PATCH /pecas/:id</v>
      </c>
      <c r="C839" t="s">
        <v>35</v>
      </c>
      <c r="D839" t="s">
        <v>173</v>
      </c>
      <c r="E839" t="s">
        <v>37</v>
      </c>
      <c r="F839">
        <v>404</v>
      </c>
      <c r="G839" t="s">
        <v>1099</v>
      </c>
      <c r="H839" s="1">
        <v>46166.641080775466</v>
      </c>
      <c r="I839" s="1">
        <v>46166.641080937501</v>
      </c>
      <c r="J839" t="s">
        <v>15</v>
      </c>
      <c r="K839" t="s">
        <v>16</v>
      </c>
      <c r="L839" s="1">
        <v>46166.641080960646</v>
      </c>
    </row>
    <row r="840" spans="1:12" hidden="1" x14ac:dyDescent="0.25">
      <c r="A840" t="s">
        <v>1100</v>
      </c>
      <c r="B840" t="str">
        <f>resultado_db_usuario_10[[#This Row],[metodo]]&amp;" "&amp;SUBSTITUTE(resultado_db_usuario_10[[#This Row],[rota]],"/api/v1","")</f>
        <v>PATCH /pecas/:id</v>
      </c>
      <c r="C840" t="s">
        <v>35</v>
      </c>
      <c r="D840" t="s">
        <v>173</v>
      </c>
      <c r="E840" t="s">
        <v>37</v>
      </c>
      <c r="F840">
        <v>404</v>
      </c>
      <c r="G840" t="s">
        <v>1101</v>
      </c>
      <c r="H840" s="1">
        <v>46166.641080821762</v>
      </c>
      <c r="I840" s="1">
        <v>46166.641080960646</v>
      </c>
      <c r="J840" t="s">
        <v>15</v>
      </c>
      <c r="K840" t="s">
        <v>16</v>
      </c>
      <c r="L840" s="1">
        <v>46166.641080983798</v>
      </c>
    </row>
    <row r="841" spans="1:12" x14ac:dyDescent="0.25">
      <c r="A841" t="s">
        <v>1104</v>
      </c>
      <c r="B841" t="str">
        <f>resultado_db_usuario_10[[#This Row],[metodo]]&amp;" "&amp;SUBSTITUTE(resultado_db_usuario_10[[#This Row],[rota]],"/api/v1","")</f>
        <v>PATCH /pecas/:id</v>
      </c>
      <c r="C841" t="s">
        <v>35</v>
      </c>
      <c r="D841" t="s">
        <v>1105</v>
      </c>
      <c r="E841" t="s">
        <v>37</v>
      </c>
      <c r="F841">
        <v>200</v>
      </c>
      <c r="G841" s="2">
        <v>30.21</v>
      </c>
      <c r="H841" s="1">
        <v>46166.641080752313</v>
      </c>
      <c r="I841" s="1">
        <v>46166.641081099537</v>
      </c>
      <c r="J841" t="s">
        <v>15</v>
      </c>
      <c r="K841" t="s">
        <v>16</v>
      </c>
      <c r="L841" s="1">
        <v>46166.641081111113</v>
      </c>
    </row>
    <row r="842" spans="1:12" x14ac:dyDescent="0.25">
      <c r="A842" t="s">
        <v>1136</v>
      </c>
      <c r="B842" t="str">
        <f>resultado_db_usuario_10[[#This Row],[metodo]]&amp;" "&amp;SUBSTITUTE(resultado_db_usuario_10[[#This Row],[rota]],"/api/v1","")</f>
        <v>PATCH /pecas/:id</v>
      </c>
      <c r="C842" t="s">
        <v>35</v>
      </c>
      <c r="D842" t="s">
        <v>1137</v>
      </c>
      <c r="E842" t="s">
        <v>37</v>
      </c>
      <c r="F842">
        <v>200</v>
      </c>
      <c r="G842" s="2">
        <v>33.200000000000003</v>
      </c>
      <c r="H842" s="1">
        <v>46166.641081516202</v>
      </c>
      <c r="I842" s="1">
        <v>46166.641081909722</v>
      </c>
      <c r="J842" t="s">
        <v>15</v>
      </c>
      <c r="K842" t="s">
        <v>16</v>
      </c>
      <c r="L842" s="1">
        <v>46166.641081921298</v>
      </c>
    </row>
    <row r="843" spans="1:12" x14ac:dyDescent="0.25">
      <c r="A843" t="s">
        <v>1144</v>
      </c>
      <c r="B843" t="str">
        <f>resultado_db_usuario_10[[#This Row],[metodo]]&amp;" "&amp;SUBSTITUTE(resultado_db_usuario_10[[#This Row],[rota]],"/api/v1","")</f>
        <v>PATCH /pecas/:id</v>
      </c>
      <c r="C843" t="s">
        <v>35</v>
      </c>
      <c r="D843" t="s">
        <v>1145</v>
      </c>
      <c r="E843" t="s">
        <v>37</v>
      </c>
      <c r="F843">
        <v>200</v>
      </c>
      <c r="G843" s="2">
        <v>43.49</v>
      </c>
      <c r="H843" s="1">
        <v>46166.641081782407</v>
      </c>
      <c r="I843" s="1">
        <v>46166.641082291666</v>
      </c>
      <c r="J843" t="s">
        <v>15</v>
      </c>
      <c r="K843" t="s">
        <v>16</v>
      </c>
      <c r="L843" s="1">
        <v>46166.641082303242</v>
      </c>
    </row>
    <row r="844" spans="1:12" x14ac:dyDescent="0.25">
      <c r="A844" t="s">
        <v>1174</v>
      </c>
      <c r="B844" t="str">
        <f>resultado_db_usuario_10[[#This Row],[metodo]]&amp;" "&amp;SUBSTITUTE(resultado_db_usuario_10[[#This Row],[rota]],"/api/v1","")</f>
        <v>PATCH /pecas/:id</v>
      </c>
      <c r="C844" t="s">
        <v>35</v>
      </c>
      <c r="D844" t="s">
        <v>1175</v>
      </c>
      <c r="E844" t="s">
        <v>37</v>
      </c>
      <c r="F844">
        <v>200</v>
      </c>
      <c r="G844" s="2">
        <v>40.68</v>
      </c>
      <c r="H844" s="1">
        <v>46166.641082708331</v>
      </c>
      <c r="I844" s="1">
        <v>46166.641083182869</v>
      </c>
      <c r="J844" t="s">
        <v>15</v>
      </c>
      <c r="K844" t="s">
        <v>16</v>
      </c>
      <c r="L844" s="1">
        <v>46166.641083194445</v>
      </c>
    </row>
    <row r="845" spans="1:12" x14ac:dyDescent="0.25">
      <c r="A845" t="s">
        <v>1189</v>
      </c>
      <c r="B845" t="str">
        <f>resultado_db_usuario_10[[#This Row],[metodo]]&amp;" "&amp;SUBSTITUTE(resultado_db_usuario_10[[#This Row],[rota]],"/api/v1","")</f>
        <v>PATCH /pecas/:id</v>
      </c>
      <c r="C845" t="s">
        <v>35</v>
      </c>
      <c r="D845" t="s">
        <v>1190</v>
      </c>
      <c r="E845" t="s">
        <v>37</v>
      </c>
      <c r="F845">
        <v>200</v>
      </c>
      <c r="G845" s="2">
        <v>30.03</v>
      </c>
      <c r="H845" s="1">
        <v>46166.641083391201</v>
      </c>
      <c r="I845" s="1">
        <v>46166.641083738425</v>
      </c>
      <c r="J845" t="s">
        <v>15</v>
      </c>
      <c r="K845" t="s">
        <v>16</v>
      </c>
      <c r="L845" s="1">
        <v>46166.641083761577</v>
      </c>
    </row>
    <row r="846" spans="1:12" x14ac:dyDescent="0.25">
      <c r="A846" t="s">
        <v>1202</v>
      </c>
      <c r="B846" t="str">
        <f>resultado_db_usuario_10[[#This Row],[metodo]]&amp;" "&amp;SUBSTITUTE(resultado_db_usuario_10[[#This Row],[rota]],"/api/v1","")</f>
        <v>PATCH /pecas/:id</v>
      </c>
      <c r="C846" t="s">
        <v>35</v>
      </c>
      <c r="D846" t="s">
        <v>1203</v>
      </c>
      <c r="E846" t="s">
        <v>37</v>
      </c>
      <c r="F846">
        <v>200</v>
      </c>
      <c r="G846" s="2">
        <v>23.6</v>
      </c>
      <c r="H846" s="1">
        <v>46166.641083877315</v>
      </c>
      <c r="I846" s="1">
        <v>46166.64108415509</v>
      </c>
      <c r="J846" t="s">
        <v>15</v>
      </c>
      <c r="K846" t="s">
        <v>16</v>
      </c>
      <c r="L846" s="1">
        <v>46166.641084166666</v>
      </c>
    </row>
    <row r="847" spans="1:12" hidden="1" x14ac:dyDescent="0.25">
      <c r="A847" t="s">
        <v>1207</v>
      </c>
      <c r="B847" t="str">
        <f>resultado_db_usuario_10[[#This Row],[metodo]]&amp;" "&amp;SUBSTITUTE(resultado_db_usuario_10[[#This Row],[rota]],"/api/v1","")</f>
        <v>PATCH /pecas/:id</v>
      </c>
      <c r="C847" t="s">
        <v>35</v>
      </c>
      <c r="D847" t="s">
        <v>173</v>
      </c>
      <c r="E847" t="s">
        <v>37</v>
      </c>
      <c r="F847">
        <v>404</v>
      </c>
      <c r="G847" t="s">
        <v>1208</v>
      </c>
      <c r="H847" s="1">
        <v>46166.641084108793</v>
      </c>
      <c r="I847" s="1">
        <v>46166.641084247683</v>
      </c>
      <c r="J847" t="s">
        <v>15</v>
      </c>
      <c r="K847" t="s">
        <v>16</v>
      </c>
      <c r="L847" s="1">
        <v>46166.641084270836</v>
      </c>
    </row>
    <row r="848" spans="1:12" hidden="1" x14ac:dyDescent="0.25">
      <c r="A848" t="s">
        <v>1209</v>
      </c>
      <c r="B848" t="str">
        <f>resultado_db_usuario_10[[#This Row],[metodo]]&amp;" "&amp;SUBSTITUTE(resultado_db_usuario_10[[#This Row],[rota]],"/api/v1","")</f>
        <v>PATCH /pecas/:id</v>
      </c>
      <c r="C848" t="s">
        <v>35</v>
      </c>
      <c r="D848" t="s">
        <v>173</v>
      </c>
      <c r="E848" t="s">
        <v>37</v>
      </c>
      <c r="F848">
        <v>404</v>
      </c>
      <c r="G848" t="s">
        <v>1208</v>
      </c>
      <c r="H848" s="1">
        <v>46166.641084120369</v>
      </c>
      <c r="I848" s="1">
        <v>46166.641084270836</v>
      </c>
      <c r="J848" t="s">
        <v>15</v>
      </c>
      <c r="K848" t="s">
        <v>16</v>
      </c>
      <c r="L848" s="1">
        <v>46166.641084282404</v>
      </c>
    </row>
    <row r="849" spans="1:12" hidden="1" x14ac:dyDescent="0.25">
      <c r="A849" t="s">
        <v>1210</v>
      </c>
      <c r="B849" t="str">
        <f>resultado_db_usuario_10[[#This Row],[metodo]]&amp;" "&amp;SUBSTITUTE(resultado_db_usuario_10[[#This Row],[rota]],"/api/v1","")</f>
        <v>PATCH /pecas/:id</v>
      </c>
      <c r="C849" t="s">
        <v>35</v>
      </c>
      <c r="D849" t="s">
        <v>173</v>
      </c>
      <c r="E849" t="s">
        <v>37</v>
      </c>
      <c r="F849">
        <v>404</v>
      </c>
      <c r="G849" t="s">
        <v>1211</v>
      </c>
      <c r="H849" s="1">
        <v>46166.641084131945</v>
      </c>
      <c r="I849" s="1">
        <v>46166.641084282404</v>
      </c>
      <c r="J849" t="s">
        <v>15</v>
      </c>
      <c r="K849" t="s">
        <v>16</v>
      </c>
      <c r="L849" s="1">
        <v>46166.64108429398</v>
      </c>
    </row>
    <row r="850" spans="1:12" x14ac:dyDescent="0.25">
      <c r="A850" t="s">
        <v>1213</v>
      </c>
      <c r="B850" t="str">
        <f>resultado_db_usuario_10[[#This Row],[metodo]]&amp;" "&amp;SUBSTITUTE(resultado_db_usuario_10[[#This Row],[rota]],"/api/v1","")</f>
        <v>PATCH /pecas/:id</v>
      </c>
      <c r="C850" t="s">
        <v>35</v>
      </c>
      <c r="D850" t="s">
        <v>1214</v>
      </c>
      <c r="E850" t="s">
        <v>37</v>
      </c>
      <c r="F850">
        <v>200</v>
      </c>
      <c r="G850" s="2">
        <v>27.32</v>
      </c>
      <c r="H850" s="1">
        <v>46166.641084062503</v>
      </c>
      <c r="I850" s="1">
        <v>46166.641084386574</v>
      </c>
      <c r="J850" t="s">
        <v>15</v>
      </c>
      <c r="K850" t="s">
        <v>16</v>
      </c>
      <c r="L850" s="1">
        <v>46166.64108439815</v>
      </c>
    </row>
    <row r="851" spans="1:12" x14ac:dyDescent="0.25">
      <c r="A851" t="s">
        <v>1223</v>
      </c>
      <c r="B851" t="str">
        <f>resultado_db_usuario_10[[#This Row],[metodo]]&amp;" "&amp;SUBSTITUTE(resultado_db_usuario_10[[#This Row],[rota]],"/api/v1","")</f>
        <v>PATCH /pecas/:id</v>
      </c>
      <c r="C851" t="s">
        <v>35</v>
      </c>
      <c r="D851" t="s">
        <v>1224</v>
      </c>
      <c r="E851" t="s">
        <v>37</v>
      </c>
      <c r="F851">
        <v>200</v>
      </c>
      <c r="G851" s="2">
        <v>24.98</v>
      </c>
      <c r="H851" s="1">
        <v>46166.641084317132</v>
      </c>
      <c r="I851" s="1">
        <v>46166.641084606483</v>
      </c>
      <c r="J851" t="s">
        <v>15</v>
      </c>
      <c r="K851" t="s">
        <v>16</v>
      </c>
      <c r="L851" s="1">
        <v>46166.641084618059</v>
      </c>
    </row>
    <row r="852" spans="1:12" x14ac:dyDescent="0.25">
      <c r="A852" t="s">
        <v>1248</v>
      </c>
      <c r="B852" t="str">
        <f>resultado_db_usuario_10[[#This Row],[metodo]]&amp;" "&amp;SUBSTITUTE(resultado_db_usuario_10[[#This Row],[rota]],"/api/v1","")</f>
        <v>PATCH /pecas/:id</v>
      </c>
      <c r="C852" t="s">
        <v>35</v>
      </c>
      <c r="D852" t="s">
        <v>1249</v>
      </c>
      <c r="E852" t="s">
        <v>37</v>
      </c>
      <c r="F852">
        <v>200</v>
      </c>
      <c r="G852" s="2">
        <v>40.69</v>
      </c>
      <c r="H852" s="1">
        <v>46166.641084965275</v>
      </c>
      <c r="I852" s="1">
        <v>46166.641085439813</v>
      </c>
      <c r="J852" t="s">
        <v>15</v>
      </c>
      <c r="K852" t="s">
        <v>16</v>
      </c>
      <c r="L852" s="1">
        <v>46166.641085462965</v>
      </c>
    </row>
    <row r="853" spans="1:12" x14ac:dyDescent="0.25">
      <c r="A853" t="s">
        <v>1257</v>
      </c>
      <c r="B853" t="str">
        <f>resultado_db_usuario_10[[#This Row],[metodo]]&amp;" "&amp;SUBSTITUTE(resultado_db_usuario_10[[#This Row],[rota]],"/api/v1","")</f>
        <v>PATCH /pecas/:id</v>
      </c>
      <c r="C853" t="s">
        <v>35</v>
      </c>
      <c r="D853" t="s">
        <v>1258</v>
      </c>
      <c r="E853" t="s">
        <v>37</v>
      </c>
      <c r="F853">
        <v>200</v>
      </c>
      <c r="G853" s="2">
        <v>28.64</v>
      </c>
      <c r="H853" s="1">
        <v>46166.641085324074</v>
      </c>
      <c r="I853" s="1">
        <v>46166.641085659721</v>
      </c>
      <c r="J853" t="s">
        <v>15</v>
      </c>
      <c r="K853" t="s">
        <v>16</v>
      </c>
      <c r="L853" s="1">
        <v>46166.641085671297</v>
      </c>
    </row>
    <row r="854" spans="1:12" x14ac:dyDescent="0.25">
      <c r="A854" t="s">
        <v>1285</v>
      </c>
      <c r="B854" t="str">
        <f>resultado_db_usuario_10[[#This Row],[metodo]]&amp;" "&amp;SUBSTITUTE(resultado_db_usuario_10[[#This Row],[rota]],"/api/v1","")</f>
        <v>PATCH /pecas/:id</v>
      </c>
      <c r="C854" t="s">
        <v>35</v>
      </c>
      <c r="D854" t="s">
        <v>1286</v>
      </c>
      <c r="E854" t="s">
        <v>37</v>
      </c>
      <c r="F854">
        <v>200</v>
      </c>
      <c r="G854" s="2">
        <v>21.6</v>
      </c>
      <c r="H854" s="1">
        <v>46166.641086122683</v>
      </c>
      <c r="I854" s="1">
        <v>46166.641086365744</v>
      </c>
      <c r="J854" t="s">
        <v>15</v>
      </c>
      <c r="K854" t="s">
        <v>16</v>
      </c>
      <c r="L854" s="1">
        <v>46166.641086377313</v>
      </c>
    </row>
    <row r="855" spans="1:12" x14ac:dyDescent="0.25">
      <c r="A855" t="s">
        <v>1300</v>
      </c>
      <c r="B855" t="str">
        <f>resultado_db_usuario_10[[#This Row],[metodo]]&amp;" "&amp;SUBSTITUTE(resultado_db_usuario_10[[#This Row],[rota]],"/api/v1","")</f>
        <v>PATCH /pecas/:id</v>
      </c>
      <c r="C855" t="s">
        <v>35</v>
      </c>
      <c r="D855" t="s">
        <v>1301</v>
      </c>
      <c r="E855" t="s">
        <v>37</v>
      </c>
      <c r="F855">
        <v>200</v>
      </c>
      <c r="G855" s="2">
        <v>16.29</v>
      </c>
      <c r="H855" s="1">
        <v>46166.641086631942</v>
      </c>
      <c r="I855" s="1">
        <v>46166.64108681713</v>
      </c>
      <c r="J855" t="s">
        <v>15</v>
      </c>
      <c r="K855" t="s">
        <v>16</v>
      </c>
      <c r="L855" s="1">
        <v>46166.641086840275</v>
      </c>
    </row>
    <row r="856" spans="1:12" hidden="1" x14ac:dyDescent="0.25">
      <c r="A856" t="s">
        <v>1315</v>
      </c>
      <c r="B856" t="str">
        <f>resultado_db_usuario_10[[#This Row],[metodo]]&amp;" "&amp;SUBSTITUTE(resultado_db_usuario_10[[#This Row],[rota]],"/api/v1","")</f>
        <v>PATCH /pecas/:id</v>
      </c>
      <c r="C856" t="s">
        <v>35</v>
      </c>
      <c r="D856" t="s">
        <v>173</v>
      </c>
      <c r="E856" t="s">
        <v>37</v>
      </c>
      <c r="F856">
        <v>404</v>
      </c>
      <c r="G856" t="s">
        <v>1041</v>
      </c>
      <c r="H856" s="1">
        <v>46166.64108710648</v>
      </c>
      <c r="I856" s="1">
        <v>46166.641087233795</v>
      </c>
      <c r="J856" t="s">
        <v>15</v>
      </c>
      <c r="K856" t="s">
        <v>16</v>
      </c>
      <c r="L856" s="1">
        <v>46166.641087245371</v>
      </c>
    </row>
    <row r="857" spans="1:12" hidden="1" x14ac:dyDescent="0.25">
      <c r="A857" t="s">
        <v>1317</v>
      </c>
      <c r="B857" t="str">
        <f>resultado_db_usuario_10[[#This Row],[metodo]]&amp;" "&amp;SUBSTITUTE(resultado_db_usuario_10[[#This Row],[rota]],"/api/v1","")</f>
        <v>PATCH /pecas/:id</v>
      </c>
      <c r="C857" t="s">
        <v>35</v>
      </c>
      <c r="D857" t="s">
        <v>173</v>
      </c>
      <c r="E857" t="s">
        <v>37</v>
      </c>
      <c r="F857">
        <v>404</v>
      </c>
      <c r="G857" t="s">
        <v>434</v>
      </c>
      <c r="H857" s="1">
        <v>46166.641087129632</v>
      </c>
      <c r="I857" s="1">
        <v>46166.641087268516</v>
      </c>
      <c r="J857" t="s">
        <v>15</v>
      </c>
      <c r="K857" t="s">
        <v>16</v>
      </c>
      <c r="L857" s="1">
        <v>46166.641087280092</v>
      </c>
    </row>
    <row r="858" spans="1:12" hidden="1" x14ac:dyDescent="0.25">
      <c r="A858" t="s">
        <v>1318</v>
      </c>
      <c r="B858" t="str">
        <f>resultado_db_usuario_10[[#This Row],[metodo]]&amp;" "&amp;SUBSTITUTE(resultado_db_usuario_10[[#This Row],[rota]],"/api/v1","")</f>
        <v>PATCH /pecas/:id</v>
      </c>
      <c r="C858" t="s">
        <v>35</v>
      </c>
      <c r="D858" t="s">
        <v>173</v>
      </c>
      <c r="E858" t="s">
        <v>37</v>
      </c>
      <c r="F858">
        <v>404</v>
      </c>
      <c r="G858" t="s">
        <v>1044</v>
      </c>
      <c r="H858" s="1">
        <v>46166.641087129632</v>
      </c>
      <c r="I858" s="1">
        <v>46166.641087280092</v>
      </c>
      <c r="J858" t="s">
        <v>15</v>
      </c>
      <c r="K858" t="s">
        <v>16</v>
      </c>
      <c r="L858" s="1">
        <v>46166.641087291668</v>
      </c>
    </row>
    <row r="859" spans="1:12" hidden="1" x14ac:dyDescent="0.25">
      <c r="A859" t="s">
        <v>1319</v>
      </c>
      <c r="B859" t="str">
        <f>resultado_db_usuario_10[[#This Row],[metodo]]&amp;" "&amp;SUBSTITUTE(resultado_db_usuario_10[[#This Row],[rota]],"/api/v1","")</f>
        <v>PATCH /pecas/:id</v>
      </c>
      <c r="C859" t="s">
        <v>35</v>
      </c>
      <c r="D859" t="s">
        <v>173</v>
      </c>
      <c r="E859" t="s">
        <v>37</v>
      </c>
      <c r="F859">
        <v>404</v>
      </c>
      <c r="G859" t="s">
        <v>1320</v>
      </c>
      <c r="H859" s="1">
        <v>46166.641087141201</v>
      </c>
      <c r="I859" s="1">
        <v>46166.641087291668</v>
      </c>
      <c r="J859" t="s">
        <v>15</v>
      </c>
      <c r="K859" t="s">
        <v>16</v>
      </c>
      <c r="L859" s="1">
        <v>46166.641087303244</v>
      </c>
    </row>
    <row r="860" spans="1:12" x14ac:dyDescent="0.25">
      <c r="A860" t="s">
        <v>1323</v>
      </c>
      <c r="B860" t="str">
        <f>resultado_db_usuario_10[[#This Row],[metodo]]&amp;" "&amp;SUBSTITUTE(resultado_db_usuario_10[[#This Row],[rota]],"/api/v1","")</f>
        <v>PATCH /pecas/:id</v>
      </c>
      <c r="C860" t="s">
        <v>35</v>
      </c>
      <c r="D860" t="s">
        <v>1324</v>
      </c>
      <c r="E860" t="s">
        <v>37</v>
      </c>
      <c r="F860">
        <v>200</v>
      </c>
      <c r="G860" s="2">
        <v>21.88</v>
      </c>
      <c r="H860" s="1">
        <v>46166.64108710648</v>
      </c>
      <c r="I860" s="1">
        <v>46166.641087349541</v>
      </c>
      <c r="J860" t="s">
        <v>15</v>
      </c>
      <c r="K860" t="s">
        <v>16</v>
      </c>
      <c r="L860" s="1">
        <v>46166.641087372685</v>
      </c>
    </row>
    <row r="861" spans="1:12" x14ac:dyDescent="0.25">
      <c r="A861" t="s">
        <v>1339</v>
      </c>
      <c r="B861" t="str">
        <f>resultado_db_usuario_10[[#This Row],[metodo]]&amp;" "&amp;SUBSTITUTE(resultado_db_usuario_10[[#This Row],[rota]],"/api/v1","")</f>
        <v>PATCH /pecas/:id</v>
      </c>
      <c r="C861" t="s">
        <v>35</v>
      </c>
      <c r="D861" t="s">
        <v>1340</v>
      </c>
      <c r="E861" t="s">
        <v>37</v>
      </c>
      <c r="F861">
        <v>200</v>
      </c>
      <c r="G861" s="2">
        <v>27.77</v>
      </c>
      <c r="H861" s="1">
        <v>46166.641087418982</v>
      </c>
      <c r="I861" s="1">
        <v>46166.641087743054</v>
      </c>
      <c r="J861" t="s">
        <v>15</v>
      </c>
      <c r="K861" t="s">
        <v>16</v>
      </c>
      <c r="L861" s="1">
        <v>46166.641087766206</v>
      </c>
    </row>
    <row r="862" spans="1:12" x14ac:dyDescent="0.25">
      <c r="A862" t="s">
        <v>1361</v>
      </c>
      <c r="B862" t="str">
        <f>resultado_db_usuario_10[[#This Row],[metodo]]&amp;" "&amp;SUBSTITUTE(resultado_db_usuario_10[[#This Row],[rota]],"/api/v1","")</f>
        <v>PATCH /pecas/:id</v>
      </c>
      <c r="C862" t="s">
        <v>35</v>
      </c>
      <c r="D862" t="s">
        <v>1362</v>
      </c>
      <c r="E862" t="s">
        <v>37</v>
      </c>
      <c r="F862">
        <v>200</v>
      </c>
      <c r="G862" s="2">
        <v>29.78</v>
      </c>
      <c r="H862" s="1">
        <v>46166.641088182871</v>
      </c>
      <c r="I862" s="1">
        <v>46166.641088530094</v>
      </c>
      <c r="J862" t="s">
        <v>15</v>
      </c>
      <c r="K862" t="s">
        <v>16</v>
      </c>
      <c r="L862" s="1">
        <v>46166.641088553239</v>
      </c>
    </row>
    <row r="863" spans="1:12" x14ac:dyDescent="0.25">
      <c r="A863" t="s">
        <v>1371</v>
      </c>
      <c r="B863" t="str">
        <f>resultado_db_usuario_10[[#This Row],[metodo]]&amp;" "&amp;SUBSTITUTE(resultado_db_usuario_10[[#This Row],[rota]],"/api/v1","")</f>
        <v>PATCH /pecas/:id</v>
      </c>
      <c r="C863" t="s">
        <v>35</v>
      </c>
      <c r="D863" t="s">
        <v>1372</v>
      </c>
      <c r="E863" t="s">
        <v>37</v>
      </c>
      <c r="F863">
        <v>200</v>
      </c>
      <c r="G863" s="2">
        <v>24.19</v>
      </c>
      <c r="H863" s="1">
        <v>46166.641088518518</v>
      </c>
      <c r="I863" s="1">
        <v>46166.641088796299</v>
      </c>
      <c r="J863" t="s">
        <v>15</v>
      </c>
      <c r="K863" t="s">
        <v>16</v>
      </c>
      <c r="L863" s="1">
        <v>46166.641088807868</v>
      </c>
    </row>
    <row r="864" spans="1:12" x14ac:dyDescent="0.25">
      <c r="A864" t="s">
        <v>1395</v>
      </c>
      <c r="B864" t="str">
        <f>resultado_db_usuario_10[[#This Row],[metodo]]&amp;" "&amp;SUBSTITUTE(resultado_db_usuario_10[[#This Row],[rota]],"/api/v1","")</f>
        <v>PATCH /pecas/:id</v>
      </c>
      <c r="C864" t="s">
        <v>35</v>
      </c>
      <c r="D864" t="s">
        <v>1396</v>
      </c>
      <c r="E864" t="s">
        <v>37</v>
      </c>
      <c r="F864">
        <v>200</v>
      </c>
      <c r="G864" s="2">
        <v>26.88</v>
      </c>
      <c r="H864" s="1">
        <v>46166.641089166667</v>
      </c>
      <c r="I864" s="1">
        <v>46166.64108947917</v>
      </c>
      <c r="J864" t="s">
        <v>15</v>
      </c>
      <c r="K864" t="s">
        <v>16</v>
      </c>
      <c r="L864" s="1">
        <v>46166.641089490739</v>
      </c>
    </row>
    <row r="865" spans="1:12" x14ac:dyDescent="0.25">
      <c r="A865" t="s">
        <v>1412</v>
      </c>
      <c r="B865" t="str">
        <f>resultado_db_usuario_10[[#This Row],[metodo]]&amp;" "&amp;SUBSTITUTE(resultado_db_usuario_10[[#This Row],[rota]],"/api/v1","")</f>
        <v>PATCH /pecas/:id</v>
      </c>
      <c r="C865" t="s">
        <v>35</v>
      </c>
      <c r="D865" t="s">
        <v>1413</v>
      </c>
      <c r="E865" t="s">
        <v>37</v>
      </c>
      <c r="F865">
        <v>200</v>
      </c>
      <c r="G865" s="2">
        <v>19.600000000000001</v>
      </c>
      <c r="H865" s="1">
        <v>46166.641089710647</v>
      </c>
      <c r="I865" s="1">
        <v>46166.641089930556</v>
      </c>
      <c r="J865" t="s">
        <v>15</v>
      </c>
      <c r="K865" t="s">
        <v>16</v>
      </c>
      <c r="L865" s="1">
        <v>46166.6410899537</v>
      </c>
    </row>
    <row r="866" spans="1:12" hidden="1" x14ac:dyDescent="0.25">
      <c r="A866" t="s">
        <v>1418</v>
      </c>
      <c r="B866" t="str">
        <f>resultado_db_usuario_10[[#This Row],[metodo]]&amp;" "&amp;SUBSTITUTE(resultado_db_usuario_10[[#This Row],[rota]],"/api/v1","")</f>
        <v>PATCH /pecas/:id</v>
      </c>
      <c r="C866" t="s">
        <v>35</v>
      </c>
      <c r="D866" t="s">
        <v>173</v>
      </c>
      <c r="E866" t="s">
        <v>37</v>
      </c>
      <c r="F866">
        <v>404</v>
      </c>
      <c r="G866" t="s">
        <v>719</v>
      </c>
      <c r="H866" s="1">
        <v>46166.641090023149</v>
      </c>
      <c r="I866" s="1">
        <v>46166.641090081015</v>
      </c>
      <c r="J866" t="s">
        <v>15</v>
      </c>
      <c r="K866" t="s">
        <v>16</v>
      </c>
      <c r="L866" s="1">
        <v>46166.641090104167</v>
      </c>
    </row>
    <row r="867" spans="1:12" hidden="1" x14ac:dyDescent="0.25">
      <c r="A867" t="s">
        <v>1419</v>
      </c>
      <c r="B867" t="str">
        <f>resultado_db_usuario_10[[#This Row],[metodo]]&amp;" "&amp;SUBSTITUTE(resultado_db_usuario_10[[#This Row],[rota]],"/api/v1","")</f>
        <v>PATCH /pecas/:id</v>
      </c>
      <c r="C867" t="s">
        <v>35</v>
      </c>
      <c r="D867" t="s">
        <v>173</v>
      </c>
      <c r="E867" t="s">
        <v>37</v>
      </c>
      <c r="F867">
        <v>404</v>
      </c>
      <c r="G867" t="s">
        <v>1303</v>
      </c>
      <c r="H867" s="1">
        <v>46166.641090034725</v>
      </c>
      <c r="I867" s="1">
        <v>46166.641090092591</v>
      </c>
      <c r="J867" t="s">
        <v>15</v>
      </c>
      <c r="K867" t="s">
        <v>16</v>
      </c>
      <c r="L867" s="1">
        <v>46166.641090115743</v>
      </c>
    </row>
    <row r="868" spans="1:12" hidden="1" x14ac:dyDescent="0.25">
      <c r="A868" t="s">
        <v>1421</v>
      </c>
      <c r="B868" t="str">
        <f>resultado_db_usuario_10[[#This Row],[metodo]]&amp;" "&amp;SUBSTITUTE(resultado_db_usuario_10[[#This Row],[rota]],"/api/v1","")</f>
        <v>PATCH /pecas/:id</v>
      </c>
      <c r="C868" t="s">
        <v>35</v>
      </c>
      <c r="D868" t="s">
        <v>173</v>
      </c>
      <c r="E868" t="s">
        <v>37</v>
      </c>
      <c r="F868">
        <v>404</v>
      </c>
      <c r="G868" t="s">
        <v>780</v>
      </c>
      <c r="H868" s="1">
        <v>46166.64109005787</v>
      </c>
      <c r="I868" s="1">
        <v>46166.641090150464</v>
      </c>
      <c r="J868" t="s">
        <v>15</v>
      </c>
      <c r="K868" t="s">
        <v>16</v>
      </c>
      <c r="L868" s="1">
        <v>46166.64109016204</v>
      </c>
    </row>
    <row r="869" spans="1:12" x14ac:dyDescent="0.25">
      <c r="A869" t="s">
        <v>1423</v>
      </c>
      <c r="B869" t="str">
        <f>resultado_db_usuario_10[[#This Row],[metodo]]&amp;" "&amp;SUBSTITUTE(resultado_db_usuario_10[[#This Row],[rota]],"/api/v1","")</f>
        <v>PATCH /pecas/:id</v>
      </c>
      <c r="C869" t="s">
        <v>35</v>
      </c>
      <c r="D869" t="s">
        <v>1424</v>
      </c>
      <c r="E869" t="s">
        <v>37</v>
      </c>
      <c r="F869">
        <v>200</v>
      </c>
      <c r="G869" s="2">
        <v>19.09</v>
      </c>
      <c r="H869" s="1">
        <v>46166.641089999997</v>
      </c>
      <c r="I869" s="1">
        <v>46166.641090219906</v>
      </c>
      <c r="J869" t="s">
        <v>15</v>
      </c>
      <c r="K869" t="s">
        <v>16</v>
      </c>
      <c r="L869" s="1">
        <v>46166.641090231482</v>
      </c>
    </row>
    <row r="870" spans="1:12" x14ac:dyDescent="0.25">
      <c r="A870" t="s">
        <v>1440</v>
      </c>
      <c r="B870" t="str">
        <f>resultado_db_usuario_10[[#This Row],[metodo]]&amp;" "&amp;SUBSTITUTE(resultado_db_usuario_10[[#This Row],[rota]],"/api/v1","")</f>
        <v>PATCH /pecas/:id</v>
      </c>
      <c r="C870" t="s">
        <v>35</v>
      </c>
      <c r="D870" t="s">
        <v>1441</v>
      </c>
      <c r="E870" t="s">
        <v>37</v>
      </c>
      <c r="F870">
        <v>200</v>
      </c>
      <c r="G870" s="2">
        <v>20.56</v>
      </c>
      <c r="H870" s="1">
        <v>46166.641090428238</v>
      </c>
      <c r="I870" s="1">
        <v>46166.641090671299</v>
      </c>
      <c r="J870" t="s">
        <v>15</v>
      </c>
      <c r="K870" t="s">
        <v>16</v>
      </c>
      <c r="L870" s="1">
        <v>46166.641090682868</v>
      </c>
    </row>
    <row r="871" spans="1:12" x14ac:dyDescent="0.25">
      <c r="A871" t="s">
        <v>1454</v>
      </c>
      <c r="B871" t="str">
        <f>resultado_db_usuario_10[[#This Row],[metodo]]&amp;" "&amp;SUBSTITUTE(resultado_db_usuario_10[[#This Row],[rota]],"/api/v1","")</f>
        <v>PATCH /pecas/:id</v>
      </c>
      <c r="C871" t="s">
        <v>35</v>
      </c>
      <c r="D871" t="s">
        <v>1455</v>
      </c>
      <c r="E871" t="s">
        <v>37</v>
      </c>
      <c r="F871">
        <v>200</v>
      </c>
      <c r="G871" s="2">
        <v>27.32</v>
      </c>
      <c r="H871" s="1">
        <v>46166.641090914352</v>
      </c>
      <c r="I871" s="1">
        <v>46166.641091238424</v>
      </c>
      <c r="J871" t="s">
        <v>15</v>
      </c>
      <c r="K871" t="s">
        <v>16</v>
      </c>
      <c r="L871" s="1">
        <v>46166.64109125</v>
      </c>
    </row>
    <row r="872" spans="1:12" x14ac:dyDescent="0.25">
      <c r="A872" t="s">
        <v>1471</v>
      </c>
      <c r="B872" t="str">
        <f>resultado_db_usuario_10[[#This Row],[metodo]]&amp;" "&amp;SUBSTITUTE(resultado_db_usuario_10[[#This Row],[rota]],"/api/v1","")</f>
        <v>PATCH /pecas/:id</v>
      </c>
      <c r="C872" t="s">
        <v>35</v>
      </c>
      <c r="D872" t="s">
        <v>1472</v>
      </c>
      <c r="E872" t="s">
        <v>37</v>
      </c>
      <c r="F872">
        <v>200</v>
      </c>
      <c r="G872" s="2">
        <v>24.05</v>
      </c>
      <c r="H872" s="1">
        <v>46166.641091400466</v>
      </c>
      <c r="I872" s="1">
        <v>46166.641091678241</v>
      </c>
      <c r="J872" t="s">
        <v>15</v>
      </c>
      <c r="K872" t="s">
        <v>16</v>
      </c>
      <c r="L872" s="1">
        <v>46166.641091689817</v>
      </c>
    </row>
    <row r="873" spans="1:12" x14ac:dyDescent="0.25">
      <c r="A873" t="s">
        <v>1491</v>
      </c>
      <c r="B873" t="str">
        <f>resultado_db_usuario_10[[#This Row],[metodo]]&amp;" "&amp;SUBSTITUTE(resultado_db_usuario_10[[#This Row],[rota]],"/api/v1","")</f>
        <v>PATCH /pecas/:id</v>
      </c>
      <c r="C873" t="s">
        <v>35</v>
      </c>
      <c r="D873" t="s">
        <v>1492</v>
      </c>
      <c r="E873" t="s">
        <v>37</v>
      </c>
      <c r="F873">
        <v>200</v>
      </c>
      <c r="G873" s="2">
        <v>19.82</v>
      </c>
      <c r="H873" s="1">
        <v>46166.641091990743</v>
      </c>
      <c r="I873" s="1">
        <v>46166.64109222222</v>
      </c>
      <c r="J873" t="s">
        <v>15</v>
      </c>
      <c r="K873" t="s">
        <v>16</v>
      </c>
      <c r="L873" s="1">
        <v>46166.641092245372</v>
      </c>
    </row>
    <row r="874" spans="1:12" hidden="1" x14ac:dyDescent="0.25">
      <c r="A874" t="s">
        <v>1499</v>
      </c>
      <c r="B874" t="str">
        <f>resultado_db_usuario_10[[#This Row],[metodo]]&amp;" "&amp;SUBSTITUTE(resultado_db_usuario_10[[#This Row],[rota]],"/api/v1","")</f>
        <v>PATCH /pecas/:id</v>
      </c>
      <c r="C874" t="s">
        <v>35</v>
      </c>
      <c r="D874" t="s">
        <v>173</v>
      </c>
      <c r="E874" t="s">
        <v>37</v>
      </c>
      <c r="F874">
        <v>404</v>
      </c>
      <c r="G874" t="s">
        <v>131</v>
      </c>
      <c r="H874" s="1">
        <v>46166.641092430553</v>
      </c>
      <c r="I874" s="1">
        <v>46166.64109247685</v>
      </c>
      <c r="J874" t="s">
        <v>15</v>
      </c>
      <c r="K874" t="s">
        <v>16</v>
      </c>
      <c r="L874" s="1">
        <v>46166.641092488426</v>
      </c>
    </row>
    <row r="875" spans="1:12" x14ac:dyDescent="0.25">
      <c r="A875" t="s">
        <v>1505</v>
      </c>
      <c r="B875" t="str">
        <f>resultado_db_usuario_10[[#This Row],[metodo]]&amp;" "&amp;SUBSTITUTE(resultado_db_usuario_10[[#This Row],[rota]],"/api/v1","")</f>
        <v>PATCH /pecas/:id</v>
      </c>
      <c r="C875" t="s">
        <v>35</v>
      </c>
      <c r="D875" t="s">
        <v>1506</v>
      </c>
      <c r="E875" t="s">
        <v>37</v>
      </c>
      <c r="F875">
        <v>200</v>
      </c>
      <c r="G875" s="2">
        <v>21.39</v>
      </c>
      <c r="H875" s="1">
        <v>46166.641092337966</v>
      </c>
      <c r="I875" s="1">
        <v>46166.64109258102</v>
      </c>
      <c r="J875" t="s">
        <v>15</v>
      </c>
      <c r="K875" t="s">
        <v>16</v>
      </c>
      <c r="L875" s="1">
        <v>46166.641092604164</v>
      </c>
    </row>
    <row r="876" spans="1:12" hidden="1" x14ac:dyDescent="0.25">
      <c r="A876" t="s">
        <v>1512</v>
      </c>
      <c r="B876" t="str">
        <f>resultado_db_usuario_10[[#This Row],[metodo]]&amp;" "&amp;SUBSTITUTE(resultado_db_usuario_10[[#This Row],[rota]],"/api/v1","")</f>
        <v>PATCH /pecas/:id</v>
      </c>
      <c r="C876" t="s">
        <v>35</v>
      </c>
      <c r="D876" t="s">
        <v>173</v>
      </c>
      <c r="E876" t="s">
        <v>37</v>
      </c>
      <c r="F876">
        <v>404</v>
      </c>
      <c r="G876" t="s">
        <v>1513</v>
      </c>
      <c r="H876" s="1">
        <v>46166.641092662037</v>
      </c>
      <c r="I876" s="1">
        <v>46166.641092731479</v>
      </c>
      <c r="J876" t="s">
        <v>15</v>
      </c>
      <c r="K876" t="s">
        <v>16</v>
      </c>
      <c r="L876" s="1">
        <v>46166.641092743055</v>
      </c>
    </row>
    <row r="877" spans="1:12" x14ac:dyDescent="0.25">
      <c r="A877" t="s">
        <v>1517</v>
      </c>
      <c r="B877" t="str">
        <f>resultado_db_usuario_10[[#This Row],[metodo]]&amp;" "&amp;SUBSTITUTE(resultado_db_usuario_10[[#This Row],[rota]],"/api/v1","")</f>
        <v>PATCH /pecas/:id</v>
      </c>
      <c r="C877" t="s">
        <v>35</v>
      </c>
      <c r="D877" t="s">
        <v>1518</v>
      </c>
      <c r="E877" t="s">
        <v>37</v>
      </c>
      <c r="F877">
        <v>200</v>
      </c>
      <c r="G877" s="2">
        <v>17.850000000000001</v>
      </c>
      <c r="H877" s="1">
        <v>46166.641092627317</v>
      </c>
      <c r="I877" s="1">
        <v>46166.641092835649</v>
      </c>
      <c r="J877" t="s">
        <v>15</v>
      </c>
      <c r="K877" t="s">
        <v>16</v>
      </c>
      <c r="L877" s="1">
        <v>46166.641092858794</v>
      </c>
    </row>
    <row r="878" spans="1:12" x14ac:dyDescent="0.25">
      <c r="A878" t="s">
        <v>1531</v>
      </c>
      <c r="B878" t="str">
        <f>resultado_db_usuario_10[[#This Row],[metodo]]&amp;" "&amp;SUBSTITUTE(resultado_db_usuario_10[[#This Row],[rota]],"/api/v1","")</f>
        <v>PATCH /pecas/:id</v>
      </c>
      <c r="C878" t="s">
        <v>35</v>
      </c>
      <c r="D878" t="s">
        <v>1532</v>
      </c>
      <c r="E878" t="s">
        <v>37</v>
      </c>
      <c r="F878">
        <v>200</v>
      </c>
      <c r="G878" s="2">
        <v>20.85</v>
      </c>
      <c r="H878" s="1">
        <v>46166.641093043982</v>
      </c>
      <c r="I878" s="1">
        <v>46166.641093287035</v>
      </c>
      <c r="J878" t="s">
        <v>15</v>
      </c>
      <c r="K878" t="s">
        <v>16</v>
      </c>
      <c r="L878" s="1">
        <v>46166.641093310187</v>
      </c>
    </row>
    <row r="879" spans="1:12" x14ac:dyDescent="0.25">
      <c r="A879" t="s">
        <v>1547</v>
      </c>
      <c r="B879" t="str">
        <f>resultado_db_usuario_10[[#This Row],[metodo]]&amp;" "&amp;SUBSTITUTE(resultado_db_usuario_10[[#This Row],[rota]],"/api/v1","")</f>
        <v>PATCH /pecas/:id</v>
      </c>
      <c r="C879" t="s">
        <v>35</v>
      </c>
      <c r="D879" t="s">
        <v>1548</v>
      </c>
      <c r="E879" t="s">
        <v>37</v>
      </c>
      <c r="F879">
        <v>200</v>
      </c>
      <c r="G879" s="2">
        <v>23.43</v>
      </c>
      <c r="H879" s="1">
        <v>46166.64109355324</v>
      </c>
      <c r="I879" s="1">
        <v>46166.641093831022</v>
      </c>
      <c r="J879" t="s">
        <v>15</v>
      </c>
      <c r="K879" t="s">
        <v>16</v>
      </c>
      <c r="L879" s="1">
        <v>46166.641093842591</v>
      </c>
    </row>
    <row r="880" spans="1:12" x14ac:dyDescent="0.25">
      <c r="A880" t="s">
        <v>1564</v>
      </c>
      <c r="B880" t="str">
        <f>resultado_db_usuario_10[[#This Row],[metodo]]&amp;" "&amp;SUBSTITUTE(resultado_db_usuario_10[[#This Row],[rota]],"/api/v1","")</f>
        <v>PATCH /pecas/:id</v>
      </c>
      <c r="C880" t="s">
        <v>35</v>
      </c>
      <c r="D880" t="s">
        <v>1565</v>
      </c>
      <c r="E880" t="s">
        <v>37</v>
      </c>
      <c r="F880">
        <v>200</v>
      </c>
      <c r="G880" s="2">
        <v>22.16</v>
      </c>
      <c r="H880" s="1">
        <v>46166.641094016202</v>
      </c>
      <c r="I880" s="1">
        <v>46166.641094270832</v>
      </c>
      <c r="J880" t="s">
        <v>15</v>
      </c>
      <c r="K880" t="s">
        <v>16</v>
      </c>
      <c r="L880" s="1">
        <v>46166.641094282408</v>
      </c>
    </row>
    <row r="881" spans="1:12" x14ac:dyDescent="0.25">
      <c r="A881" t="s">
        <v>1582</v>
      </c>
      <c r="B881" t="str">
        <f>resultado_db_usuario_10[[#This Row],[metodo]]&amp;" "&amp;SUBSTITUTE(resultado_db_usuario_10[[#This Row],[rota]],"/api/v1","")</f>
        <v>PATCH /pecas/:id</v>
      </c>
      <c r="C881" t="s">
        <v>35</v>
      </c>
      <c r="D881" t="s">
        <v>1583</v>
      </c>
      <c r="E881" t="s">
        <v>37</v>
      </c>
      <c r="F881">
        <v>200</v>
      </c>
      <c r="G881" s="2">
        <v>18.600000000000001</v>
      </c>
      <c r="H881" s="1">
        <v>46166.641094502316</v>
      </c>
      <c r="I881" s="1">
        <v>46166.641094710649</v>
      </c>
      <c r="J881" t="s">
        <v>15</v>
      </c>
      <c r="K881" t="s">
        <v>16</v>
      </c>
      <c r="L881" s="1">
        <v>46166.641094733794</v>
      </c>
    </row>
    <row r="882" spans="1:12" x14ac:dyDescent="0.25">
      <c r="A882" t="s">
        <v>1589</v>
      </c>
      <c r="B882" t="str">
        <f>resultado_db_usuario_10[[#This Row],[metodo]]&amp;" "&amp;SUBSTITUTE(resultado_db_usuario_10[[#This Row],[rota]],"/api/v1","")</f>
        <v>PATCH /pecas/:id</v>
      </c>
      <c r="C882" t="s">
        <v>35</v>
      </c>
      <c r="D882" t="s">
        <v>1590</v>
      </c>
      <c r="E882" t="s">
        <v>37</v>
      </c>
      <c r="F882">
        <v>200</v>
      </c>
      <c r="G882" s="2">
        <v>18.54</v>
      </c>
      <c r="H882" s="1">
        <v>46166.641094733794</v>
      </c>
      <c r="I882" s="1">
        <v>46166.641094953702</v>
      </c>
      <c r="J882" t="s">
        <v>15</v>
      </c>
      <c r="K882" t="s">
        <v>16</v>
      </c>
      <c r="L882" s="1">
        <v>46166.641094976854</v>
      </c>
    </row>
    <row r="883" spans="1:12" hidden="1" x14ac:dyDescent="0.25">
      <c r="A883" t="s">
        <v>1592</v>
      </c>
      <c r="B883" t="str">
        <f>resultado_db_usuario_10[[#This Row],[metodo]]&amp;" "&amp;SUBSTITUTE(resultado_db_usuario_10[[#This Row],[rota]],"/api/v1","")</f>
        <v>PATCH /pecas/:id</v>
      </c>
      <c r="C883" t="s">
        <v>35</v>
      </c>
      <c r="D883" t="s">
        <v>173</v>
      </c>
      <c r="E883" t="s">
        <v>37</v>
      </c>
      <c r="F883">
        <v>404</v>
      </c>
      <c r="G883" t="s">
        <v>1593</v>
      </c>
      <c r="H883" s="1">
        <v>46166.641094942126</v>
      </c>
      <c r="I883" s="1">
        <v>46166.641095011575</v>
      </c>
      <c r="J883" t="s">
        <v>15</v>
      </c>
      <c r="K883" t="s">
        <v>16</v>
      </c>
      <c r="L883" s="1">
        <v>46166.641095023151</v>
      </c>
    </row>
    <row r="884" spans="1:12" x14ac:dyDescent="0.25">
      <c r="A884" t="s">
        <v>1597</v>
      </c>
      <c r="B884" t="str">
        <f>resultado_db_usuario_10[[#This Row],[metodo]]&amp;" "&amp;SUBSTITUTE(resultado_db_usuario_10[[#This Row],[rota]],"/api/v1","")</f>
        <v>PATCH /pecas/:id</v>
      </c>
      <c r="C884" t="s">
        <v>35</v>
      </c>
      <c r="D884" t="s">
        <v>1598</v>
      </c>
      <c r="E884" t="s">
        <v>37</v>
      </c>
      <c r="F884">
        <v>200</v>
      </c>
      <c r="G884" s="2">
        <v>16.28</v>
      </c>
      <c r="H884" s="1">
        <v>46166.641094907405</v>
      </c>
      <c r="I884" s="1">
        <v>46166.641095092593</v>
      </c>
      <c r="J884" t="s">
        <v>15</v>
      </c>
      <c r="K884" t="s">
        <v>16</v>
      </c>
      <c r="L884" s="1">
        <v>46166.641095115738</v>
      </c>
    </row>
    <row r="885" spans="1:12" x14ac:dyDescent="0.25">
      <c r="A885" t="s">
        <v>1606</v>
      </c>
      <c r="B885" t="str">
        <f>resultado_db_usuario_10[[#This Row],[metodo]]&amp;" "&amp;SUBSTITUTE(resultado_db_usuario_10[[#This Row],[rota]],"/api/v1","")</f>
        <v>PATCH /pecas/:id</v>
      </c>
      <c r="C885" t="s">
        <v>35</v>
      </c>
      <c r="D885" t="s">
        <v>1607</v>
      </c>
      <c r="E885" t="s">
        <v>37</v>
      </c>
      <c r="F885">
        <v>200</v>
      </c>
      <c r="G885" s="2">
        <v>17.579999999999998</v>
      </c>
      <c r="H885" s="1">
        <v>46166.641095115738</v>
      </c>
      <c r="I885" s="1">
        <v>46166.641095312501</v>
      </c>
      <c r="J885" t="s">
        <v>15</v>
      </c>
      <c r="K885" t="s">
        <v>16</v>
      </c>
      <c r="L885" s="1">
        <v>46166.641095335646</v>
      </c>
    </row>
    <row r="886" spans="1:12" x14ac:dyDescent="0.25">
      <c r="A886" t="s">
        <v>1616</v>
      </c>
      <c r="B886" t="str">
        <f>resultado_db_usuario_10[[#This Row],[metodo]]&amp;" "&amp;SUBSTITUTE(resultado_db_usuario_10[[#This Row],[rota]],"/api/v1","")</f>
        <v>PATCH /pecas/:id</v>
      </c>
      <c r="C886" t="s">
        <v>35</v>
      </c>
      <c r="D886" t="s">
        <v>1617</v>
      </c>
      <c r="E886" t="s">
        <v>37</v>
      </c>
      <c r="F886">
        <v>200</v>
      </c>
      <c r="G886" s="2">
        <v>25.56</v>
      </c>
      <c r="H886" s="1">
        <v>46166.641095416664</v>
      </c>
      <c r="I886" s="1">
        <v>46166.64109571759</v>
      </c>
      <c r="J886" t="s">
        <v>15</v>
      </c>
      <c r="K886" t="s">
        <v>16</v>
      </c>
      <c r="L886" s="1">
        <v>46166.641095729166</v>
      </c>
    </row>
    <row r="887" spans="1:12" x14ac:dyDescent="0.25">
      <c r="A887" t="s">
        <v>1640</v>
      </c>
      <c r="B887" t="str">
        <f>resultado_db_usuario_10[[#This Row],[metodo]]&amp;" "&amp;SUBSTITUTE(resultado_db_usuario_10[[#This Row],[rota]],"/api/v1","")</f>
        <v>PATCH /pecas/:id</v>
      </c>
      <c r="C887" t="s">
        <v>35</v>
      </c>
      <c r="D887" t="s">
        <v>1641</v>
      </c>
      <c r="E887" t="s">
        <v>37</v>
      </c>
      <c r="F887">
        <v>200</v>
      </c>
      <c r="G887" s="2">
        <v>19.260000000000002</v>
      </c>
      <c r="H887" s="1">
        <v>46166.641096238425</v>
      </c>
      <c r="I887" s="1">
        <v>46166.641096458334</v>
      </c>
      <c r="J887" t="s">
        <v>15</v>
      </c>
      <c r="K887" t="s">
        <v>16</v>
      </c>
      <c r="L887" s="1">
        <v>46166.641096481479</v>
      </c>
    </row>
    <row r="888" spans="1:12" hidden="1" x14ac:dyDescent="0.25">
      <c r="A888" t="s">
        <v>1651</v>
      </c>
      <c r="B888" t="str">
        <f>resultado_db_usuario_10[[#This Row],[metodo]]&amp;" "&amp;SUBSTITUTE(resultado_db_usuario_10[[#This Row],[rota]],"/api/v1","")</f>
        <v>PATCH /pecas/:id</v>
      </c>
      <c r="C888" t="s">
        <v>35</v>
      </c>
      <c r="D888" t="s">
        <v>173</v>
      </c>
      <c r="E888" t="s">
        <v>37</v>
      </c>
      <c r="F888">
        <v>404</v>
      </c>
      <c r="G888" t="s">
        <v>524</v>
      </c>
      <c r="H888" s="1">
        <v>46166.641096747684</v>
      </c>
      <c r="I888" s="1">
        <v>46166.641096782405</v>
      </c>
      <c r="J888" t="s">
        <v>15</v>
      </c>
      <c r="K888" t="s">
        <v>16</v>
      </c>
      <c r="L888" s="1">
        <v>46166.641096805557</v>
      </c>
    </row>
    <row r="889" spans="1:12" x14ac:dyDescent="0.25">
      <c r="A889" t="s">
        <v>1657</v>
      </c>
      <c r="B889" t="str">
        <f>resultado_db_usuario_10[[#This Row],[metodo]]&amp;" "&amp;SUBSTITUTE(resultado_db_usuario_10[[#This Row],[rota]],"/api/v1","")</f>
        <v>PATCH /pecas/:id</v>
      </c>
      <c r="C889" t="s">
        <v>35</v>
      </c>
      <c r="D889" t="s">
        <v>1658</v>
      </c>
      <c r="E889" t="s">
        <v>37</v>
      </c>
      <c r="F889">
        <v>200</v>
      </c>
      <c r="G889" s="2">
        <v>11.97</v>
      </c>
      <c r="H889" s="1">
        <v>46166.641096782405</v>
      </c>
      <c r="I889" s="1">
        <v>46166.641096921296</v>
      </c>
      <c r="J889" t="s">
        <v>15</v>
      </c>
      <c r="K889" t="s">
        <v>16</v>
      </c>
      <c r="L889" s="1">
        <v>46166.641096932872</v>
      </c>
    </row>
    <row r="890" spans="1:12" hidden="1" x14ac:dyDescent="0.25">
      <c r="A890" t="s">
        <v>1665</v>
      </c>
      <c r="B890" t="str">
        <f>resultado_db_usuario_10[[#This Row],[metodo]]&amp;" "&amp;SUBSTITUTE(resultado_db_usuario_10[[#This Row],[rota]],"/api/v1","")</f>
        <v>PATCH /pecas/:id</v>
      </c>
      <c r="C890" t="s">
        <v>35</v>
      </c>
      <c r="D890" t="s">
        <v>173</v>
      </c>
      <c r="E890" t="s">
        <v>37</v>
      </c>
      <c r="F890">
        <v>404</v>
      </c>
      <c r="G890" t="s">
        <v>1666</v>
      </c>
      <c r="H890" s="1">
        <v>46166.641097129628</v>
      </c>
      <c r="I890" s="1">
        <v>46166.641097175925</v>
      </c>
      <c r="J890" t="s">
        <v>15</v>
      </c>
      <c r="K890" t="s">
        <v>16</v>
      </c>
      <c r="L890" s="1">
        <v>46166.641097187501</v>
      </c>
    </row>
    <row r="891" spans="1:12" x14ac:dyDescent="0.25">
      <c r="A891" t="s">
        <v>1670</v>
      </c>
      <c r="B891" t="str">
        <f>resultado_db_usuario_10[[#This Row],[metodo]]&amp;" "&amp;SUBSTITUTE(resultado_db_usuario_10[[#This Row],[rota]],"/api/v1","")</f>
        <v>PATCH /pecas/:id</v>
      </c>
      <c r="C891" t="s">
        <v>35</v>
      </c>
      <c r="D891" t="s">
        <v>1671</v>
      </c>
      <c r="E891" t="s">
        <v>37</v>
      </c>
      <c r="F891">
        <v>200</v>
      </c>
      <c r="G891" s="2">
        <v>13.47</v>
      </c>
      <c r="H891" s="1">
        <v>46166.641097083331</v>
      </c>
      <c r="I891" s="1">
        <v>46166.641097245367</v>
      </c>
      <c r="J891" t="s">
        <v>15</v>
      </c>
      <c r="K891" t="s">
        <v>16</v>
      </c>
      <c r="L891" s="1">
        <v>46166.641097256943</v>
      </c>
    </row>
    <row r="892" spans="1:12" x14ac:dyDescent="0.25">
      <c r="A892" t="s">
        <v>1682</v>
      </c>
      <c r="B892" t="str">
        <f>resultado_db_usuario_10[[#This Row],[metodo]]&amp;" "&amp;SUBSTITUTE(resultado_db_usuario_10[[#This Row],[rota]],"/api/v1","")</f>
        <v>PATCH /pecas/:id</v>
      </c>
      <c r="C892" t="s">
        <v>35</v>
      </c>
      <c r="D892" t="s">
        <v>1683</v>
      </c>
      <c r="E892" t="s">
        <v>37</v>
      </c>
      <c r="F892">
        <v>200</v>
      </c>
      <c r="G892" s="2">
        <v>18.84</v>
      </c>
      <c r="H892" s="1">
        <v>46166.641097395834</v>
      </c>
      <c r="I892" s="1">
        <v>46166.641097615742</v>
      </c>
      <c r="J892" t="s">
        <v>15</v>
      </c>
      <c r="K892" t="s">
        <v>16</v>
      </c>
      <c r="L892" s="1">
        <v>46166.641097627318</v>
      </c>
    </row>
    <row r="893" spans="1:12" x14ac:dyDescent="0.25">
      <c r="A893" t="s">
        <v>1703</v>
      </c>
      <c r="B893" t="str">
        <f>resultado_db_usuario_10[[#This Row],[metodo]]&amp;" "&amp;SUBSTITUTE(resultado_db_usuario_10[[#This Row],[rota]],"/api/v1","")</f>
        <v>PATCH /pecas/:id</v>
      </c>
      <c r="C893" t="s">
        <v>35</v>
      </c>
      <c r="D893" t="s">
        <v>1704</v>
      </c>
      <c r="E893" t="s">
        <v>37</v>
      </c>
      <c r="F893">
        <v>200</v>
      </c>
      <c r="G893" s="2">
        <v>16.75</v>
      </c>
      <c r="H893" s="1">
        <v>46166.641098078704</v>
      </c>
      <c r="I893" s="1">
        <v>46166.641098275461</v>
      </c>
      <c r="J893" t="s">
        <v>15</v>
      </c>
      <c r="K893" t="s">
        <v>16</v>
      </c>
      <c r="L893" s="1">
        <v>46166.641098287037</v>
      </c>
    </row>
    <row r="894" spans="1:12" hidden="1" x14ac:dyDescent="0.25">
      <c r="A894" t="s">
        <v>1715</v>
      </c>
      <c r="B894" t="str">
        <f>resultado_db_usuario_10[[#This Row],[metodo]]&amp;" "&amp;SUBSTITUTE(resultado_db_usuario_10[[#This Row],[rota]],"/api/v1","")</f>
        <v>PATCH /pecas/:id</v>
      </c>
      <c r="C894" t="s">
        <v>35</v>
      </c>
      <c r="D894" t="s">
        <v>173</v>
      </c>
      <c r="E894" t="s">
        <v>37</v>
      </c>
      <c r="F894">
        <v>404</v>
      </c>
      <c r="G894" t="s">
        <v>1716</v>
      </c>
      <c r="H894" s="1">
        <v>46166.641098553242</v>
      </c>
      <c r="I894" s="1">
        <v>46166.641098587963</v>
      </c>
      <c r="J894" t="s">
        <v>15</v>
      </c>
      <c r="K894" t="s">
        <v>16</v>
      </c>
      <c r="L894" s="1">
        <v>46166.641098599539</v>
      </c>
    </row>
    <row r="895" spans="1:12" x14ac:dyDescent="0.25">
      <c r="A895" t="s">
        <v>1719</v>
      </c>
      <c r="B895" t="str">
        <f>resultado_db_usuario_10[[#This Row],[metodo]]&amp;" "&amp;SUBSTITUTE(resultado_db_usuario_10[[#This Row],[rota]],"/api/v1","")</f>
        <v>PATCH /pecas/:id</v>
      </c>
      <c r="C895" t="s">
        <v>35</v>
      </c>
      <c r="D895" t="s">
        <v>1720</v>
      </c>
      <c r="E895" t="s">
        <v>37</v>
      </c>
      <c r="F895">
        <v>200</v>
      </c>
      <c r="G895" s="2">
        <v>16.32</v>
      </c>
      <c r="H895" s="1">
        <v>46166.641098506945</v>
      </c>
      <c r="I895" s="1">
        <v>46166.641098703702</v>
      </c>
      <c r="J895" t="s">
        <v>15</v>
      </c>
      <c r="K895" t="s">
        <v>16</v>
      </c>
      <c r="L895" s="1">
        <v>46166.641098715278</v>
      </c>
    </row>
    <row r="896" spans="1:12" x14ac:dyDescent="0.25">
      <c r="A896" t="s">
        <v>1727</v>
      </c>
      <c r="B896" t="str">
        <f>resultado_db_usuario_10[[#This Row],[metodo]]&amp;" "&amp;SUBSTITUTE(resultado_db_usuario_10[[#This Row],[rota]],"/api/v1","")</f>
        <v>PATCH /pecas/:id</v>
      </c>
      <c r="C896" t="s">
        <v>35</v>
      </c>
      <c r="D896" t="s">
        <v>1728</v>
      </c>
      <c r="E896" t="s">
        <v>37</v>
      </c>
      <c r="F896">
        <v>200</v>
      </c>
      <c r="G896" s="2">
        <v>16.149999999999999</v>
      </c>
      <c r="H896" s="1">
        <v>46166.641098692133</v>
      </c>
      <c r="I896" s="1">
        <v>46166.641098877313</v>
      </c>
      <c r="J896" t="s">
        <v>15</v>
      </c>
      <c r="K896" t="s">
        <v>16</v>
      </c>
      <c r="L896" s="1">
        <v>46166.641098888889</v>
      </c>
    </row>
    <row r="897" spans="1:12" x14ac:dyDescent="0.25">
      <c r="A897" t="s">
        <v>1738</v>
      </c>
      <c r="B897" t="str">
        <f>resultado_db_usuario_10[[#This Row],[metodo]]&amp;" "&amp;SUBSTITUTE(resultado_db_usuario_10[[#This Row],[rota]],"/api/v1","")</f>
        <v>PATCH /pecas/:id</v>
      </c>
      <c r="C897" t="s">
        <v>35</v>
      </c>
      <c r="D897" t="s">
        <v>1739</v>
      </c>
      <c r="E897" t="s">
        <v>37</v>
      </c>
      <c r="F897">
        <v>200</v>
      </c>
      <c r="G897" s="2">
        <v>14.87</v>
      </c>
      <c r="H897" s="1">
        <v>46166.641099062501</v>
      </c>
      <c r="I897" s="1">
        <v>46166.641099236112</v>
      </c>
      <c r="J897" t="s">
        <v>15</v>
      </c>
      <c r="K897" t="s">
        <v>16</v>
      </c>
      <c r="L897" s="1">
        <v>46166.641099247689</v>
      </c>
    </row>
    <row r="898" spans="1:12" x14ac:dyDescent="0.25">
      <c r="A898" t="s">
        <v>1749</v>
      </c>
      <c r="B898" t="str">
        <f>resultado_db_usuario_10[[#This Row],[metodo]]&amp;" "&amp;SUBSTITUTE(resultado_db_usuario_10[[#This Row],[rota]],"/api/v1","")</f>
        <v>PATCH /pecas/:id</v>
      </c>
      <c r="C898" t="s">
        <v>35</v>
      </c>
      <c r="D898" t="s">
        <v>1750</v>
      </c>
      <c r="E898" t="s">
        <v>37</v>
      </c>
      <c r="F898">
        <v>200</v>
      </c>
      <c r="G898" s="2">
        <v>11.1</v>
      </c>
      <c r="H898" s="1">
        <v>46166.641099409724</v>
      </c>
      <c r="I898" s="1">
        <v>46166.641099537039</v>
      </c>
      <c r="J898" t="s">
        <v>15</v>
      </c>
      <c r="K898" t="s">
        <v>16</v>
      </c>
      <c r="L898" s="1">
        <v>46166.641099548608</v>
      </c>
    </row>
    <row r="899" spans="1:12" x14ac:dyDescent="0.25">
      <c r="A899" t="s">
        <v>1757</v>
      </c>
      <c r="B899" t="str">
        <f>resultado_db_usuario_10[[#This Row],[metodo]]&amp;" "&amp;SUBSTITUTE(resultado_db_usuario_10[[#This Row],[rota]],"/api/v1","")</f>
        <v>PATCH /pecas/:id</v>
      </c>
      <c r="C899" t="s">
        <v>35</v>
      </c>
      <c r="D899" t="s">
        <v>1758</v>
      </c>
      <c r="E899" t="s">
        <v>37</v>
      </c>
      <c r="F899">
        <v>200</v>
      </c>
      <c r="G899" s="2">
        <v>8.39</v>
      </c>
      <c r="H899" s="1">
        <v>46166.641099675922</v>
      </c>
      <c r="I899" s="1">
        <v>46166.641099768516</v>
      </c>
      <c r="J899" t="s">
        <v>15</v>
      </c>
      <c r="K899" t="s">
        <v>16</v>
      </c>
      <c r="L899" s="1">
        <v>46166.641099780092</v>
      </c>
    </row>
    <row r="900" spans="1:12" x14ac:dyDescent="0.25">
      <c r="A900" t="s">
        <v>1769</v>
      </c>
      <c r="B900" t="str">
        <f>resultado_db_usuario_10[[#This Row],[metodo]]&amp;" "&amp;SUBSTITUTE(resultado_db_usuario_10[[#This Row],[rota]],"/api/v1","")</f>
        <v>PATCH /pecas/:id</v>
      </c>
      <c r="C900" t="s">
        <v>35</v>
      </c>
      <c r="D900" t="s">
        <v>36</v>
      </c>
      <c r="E900" t="s">
        <v>37</v>
      </c>
      <c r="F900">
        <v>200</v>
      </c>
      <c r="G900" s="2">
        <v>5.46</v>
      </c>
      <c r="H900" s="1">
        <v>46166.641100046298</v>
      </c>
      <c r="I900" s="1">
        <v>46166.641100104163</v>
      </c>
      <c r="J900" t="s">
        <v>15</v>
      </c>
      <c r="K900" t="s">
        <v>16</v>
      </c>
      <c r="L900" s="1">
        <v>46166.641100127315</v>
      </c>
    </row>
    <row r="901" spans="1:12" x14ac:dyDescent="0.25">
      <c r="A901" t="s">
        <v>1774</v>
      </c>
      <c r="B901" t="str">
        <f>resultado_db_usuario_10[[#This Row],[metodo]]&amp;" "&amp;SUBSTITUTE(resultado_db_usuario_10[[#This Row],[rota]],"/api/v1","")</f>
        <v>PATCH /pecas/:id</v>
      </c>
      <c r="C901" t="s">
        <v>35</v>
      </c>
      <c r="D901" t="s">
        <v>204</v>
      </c>
      <c r="E901" t="s">
        <v>37</v>
      </c>
      <c r="F901">
        <v>200</v>
      </c>
      <c r="G901" s="2">
        <v>5.93</v>
      </c>
      <c r="H901" s="1">
        <v>46166.641100289351</v>
      </c>
      <c r="I901" s="1">
        <v>46166.641100358793</v>
      </c>
      <c r="J901" t="s">
        <v>15</v>
      </c>
      <c r="K901" t="s">
        <v>16</v>
      </c>
      <c r="L901" s="1">
        <v>46166.641100370369</v>
      </c>
    </row>
    <row r="902" spans="1:12" x14ac:dyDescent="0.25">
      <c r="A902" t="s">
        <v>664</v>
      </c>
      <c r="B902" t="str">
        <f>resultado_db_usuario_10[[#This Row],[metodo]]&amp;" "&amp;SUBSTITUTE(resultado_db_usuario_10[[#This Row],[rota]],"/api/v1","")</f>
        <v>POST /pecas/</v>
      </c>
      <c r="C902" t="s">
        <v>33</v>
      </c>
      <c r="D902" t="s">
        <v>24</v>
      </c>
      <c r="E902" t="s">
        <v>25</v>
      </c>
      <c r="F902">
        <v>201</v>
      </c>
      <c r="G902" s="2">
        <v>7.54</v>
      </c>
      <c r="H902" s="1">
        <v>46166.641066111108</v>
      </c>
      <c r="I902" s="1">
        <v>46166.641066192133</v>
      </c>
      <c r="J902" t="s">
        <v>15</v>
      </c>
      <c r="K902" t="s">
        <v>16</v>
      </c>
      <c r="L902" s="1">
        <v>46166.641066215278</v>
      </c>
    </row>
    <row r="903" spans="1:12" x14ac:dyDescent="0.25">
      <c r="A903" t="s">
        <v>683</v>
      </c>
      <c r="B903" t="str">
        <f>resultado_db_usuario_10[[#This Row],[metodo]]&amp;" "&amp;SUBSTITUTE(resultado_db_usuario_10[[#This Row],[rota]],"/api/v1","")</f>
        <v>POST /pecas/</v>
      </c>
      <c r="C903" t="s">
        <v>33</v>
      </c>
      <c r="D903" t="s">
        <v>24</v>
      </c>
      <c r="E903" t="s">
        <v>25</v>
      </c>
      <c r="F903">
        <v>201</v>
      </c>
      <c r="G903" s="2">
        <v>9.4700000000000006</v>
      </c>
      <c r="H903" s="1">
        <v>46166.641067141201</v>
      </c>
      <c r="I903" s="1">
        <v>46166.641067245371</v>
      </c>
      <c r="J903" t="s">
        <v>15</v>
      </c>
      <c r="K903" t="s">
        <v>16</v>
      </c>
      <c r="L903" s="1">
        <v>46166.641067256947</v>
      </c>
    </row>
    <row r="904" spans="1:12" x14ac:dyDescent="0.25">
      <c r="A904" t="s">
        <v>684</v>
      </c>
      <c r="B904" t="str">
        <f>resultado_db_usuario_10[[#This Row],[metodo]]&amp;" "&amp;SUBSTITUTE(resultado_db_usuario_10[[#This Row],[rota]],"/api/v1","")</f>
        <v>POST /pecas/</v>
      </c>
      <c r="C904" t="s">
        <v>33</v>
      </c>
      <c r="D904" t="s">
        <v>24</v>
      </c>
      <c r="E904" t="s">
        <v>25</v>
      </c>
      <c r="F904">
        <v>201</v>
      </c>
      <c r="G904" s="2">
        <v>7.5</v>
      </c>
      <c r="H904" s="1">
        <v>46166.641067222219</v>
      </c>
      <c r="I904" s="1">
        <v>46166.641067303244</v>
      </c>
      <c r="J904" t="s">
        <v>15</v>
      </c>
      <c r="K904" t="s">
        <v>16</v>
      </c>
      <c r="L904" s="1">
        <v>46166.641067326389</v>
      </c>
    </row>
    <row r="905" spans="1:12" x14ac:dyDescent="0.25">
      <c r="A905" t="s">
        <v>707</v>
      </c>
      <c r="B905" t="str">
        <f>resultado_db_usuario_10[[#This Row],[metodo]]&amp;" "&amp;SUBSTITUTE(resultado_db_usuario_10[[#This Row],[rota]],"/api/v1","")</f>
        <v>POST /pecas/</v>
      </c>
      <c r="C905" t="s">
        <v>33</v>
      </c>
      <c r="D905" t="s">
        <v>24</v>
      </c>
      <c r="E905" t="s">
        <v>25</v>
      </c>
      <c r="F905">
        <v>201</v>
      </c>
      <c r="G905" s="2">
        <v>11.62</v>
      </c>
      <c r="H905" s="1">
        <v>46166.641068090277</v>
      </c>
      <c r="I905" s="1">
        <v>46166.641068229168</v>
      </c>
      <c r="J905" t="s">
        <v>15</v>
      </c>
      <c r="K905" t="s">
        <v>16</v>
      </c>
      <c r="L905" s="1">
        <v>46166.641068252313</v>
      </c>
    </row>
    <row r="906" spans="1:12" x14ac:dyDescent="0.25">
      <c r="A906" t="s">
        <v>709</v>
      </c>
      <c r="B906" t="str">
        <f>resultado_db_usuario_10[[#This Row],[metodo]]&amp;" "&amp;SUBSTITUTE(resultado_db_usuario_10[[#This Row],[rota]],"/api/v1","")</f>
        <v>POST /pecas/</v>
      </c>
      <c r="C906" t="s">
        <v>33</v>
      </c>
      <c r="D906" t="s">
        <v>24</v>
      </c>
      <c r="E906" t="s">
        <v>25</v>
      </c>
      <c r="F906">
        <v>400</v>
      </c>
      <c r="G906" s="2">
        <v>9.4</v>
      </c>
      <c r="H906" s="1">
        <v>46166.641068182871</v>
      </c>
      <c r="I906" s="1">
        <v>46166.641068287034</v>
      </c>
      <c r="J906" t="s">
        <v>15</v>
      </c>
      <c r="K906" t="s">
        <v>16</v>
      </c>
      <c r="L906" s="1">
        <v>46166.641068310186</v>
      </c>
    </row>
    <row r="907" spans="1:12" x14ac:dyDescent="0.25">
      <c r="A907" t="s">
        <v>723</v>
      </c>
      <c r="B907" t="str">
        <f>resultado_db_usuario_10[[#This Row],[metodo]]&amp;" "&amp;SUBSTITUTE(resultado_db_usuario_10[[#This Row],[rota]],"/api/v1","")</f>
        <v>POST /pecas/</v>
      </c>
      <c r="C907" t="s">
        <v>33</v>
      </c>
      <c r="D907" t="s">
        <v>24</v>
      </c>
      <c r="E907" t="s">
        <v>25</v>
      </c>
      <c r="F907">
        <v>201</v>
      </c>
      <c r="G907" s="2">
        <v>11.34</v>
      </c>
      <c r="H907" s="1">
        <v>46166.641068530094</v>
      </c>
      <c r="I907" s="1">
        <v>46166.641068657409</v>
      </c>
      <c r="J907" t="s">
        <v>15</v>
      </c>
      <c r="K907" t="s">
        <v>16</v>
      </c>
      <c r="L907" s="1">
        <v>46166.641068680554</v>
      </c>
    </row>
    <row r="908" spans="1:12" x14ac:dyDescent="0.25">
      <c r="A908" t="s">
        <v>744</v>
      </c>
      <c r="B908" t="str">
        <f>resultado_db_usuario_10[[#This Row],[metodo]]&amp;" "&amp;SUBSTITUTE(resultado_db_usuario_10[[#This Row],[rota]],"/api/v1","")</f>
        <v>POST /pecas/</v>
      </c>
      <c r="C908" t="s">
        <v>33</v>
      </c>
      <c r="D908" t="s">
        <v>24</v>
      </c>
      <c r="E908" t="s">
        <v>25</v>
      </c>
      <c r="F908">
        <v>201</v>
      </c>
      <c r="G908" s="2">
        <v>20.96</v>
      </c>
      <c r="H908" s="1">
        <v>46166.641069201389</v>
      </c>
      <c r="I908" s="1">
        <v>46166.641069444442</v>
      </c>
      <c r="J908" t="s">
        <v>15</v>
      </c>
      <c r="K908" t="s">
        <v>16</v>
      </c>
      <c r="L908" s="1">
        <v>46166.641069467594</v>
      </c>
    </row>
    <row r="909" spans="1:12" x14ac:dyDescent="0.25">
      <c r="A909" t="s">
        <v>749</v>
      </c>
      <c r="B909" t="str">
        <f>resultado_db_usuario_10[[#This Row],[metodo]]&amp;" "&amp;SUBSTITUTE(resultado_db_usuario_10[[#This Row],[rota]],"/api/v1","")</f>
        <v>POST /pecas/</v>
      </c>
      <c r="C909" t="s">
        <v>33</v>
      </c>
      <c r="D909" t="s">
        <v>24</v>
      </c>
      <c r="E909" t="s">
        <v>25</v>
      </c>
      <c r="F909">
        <v>201</v>
      </c>
      <c r="G909" s="2">
        <v>13.37</v>
      </c>
      <c r="H909" s="1">
        <v>46166.641069432873</v>
      </c>
      <c r="I909" s="1">
        <v>46166.641069594909</v>
      </c>
      <c r="J909" t="s">
        <v>15</v>
      </c>
      <c r="K909" t="s">
        <v>16</v>
      </c>
      <c r="L909" s="1">
        <v>46166.641069606485</v>
      </c>
    </row>
    <row r="910" spans="1:12" x14ac:dyDescent="0.25">
      <c r="A910" t="s">
        <v>760</v>
      </c>
      <c r="B910" t="str">
        <f>resultado_db_usuario_10[[#This Row],[metodo]]&amp;" "&amp;SUBSTITUTE(resultado_db_usuario_10[[#This Row],[rota]],"/api/v1","")</f>
        <v>POST /pecas/</v>
      </c>
      <c r="C910" t="s">
        <v>33</v>
      </c>
      <c r="D910" t="s">
        <v>24</v>
      </c>
      <c r="E910" t="s">
        <v>25</v>
      </c>
      <c r="F910">
        <v>201</v>
      </c>
      <c r="G910" s="2">
        <v>12.35</v>
      </c>
      <c r="H910" s="1">
        <v>46166.641069791665</v>
      </c>
      <c r="I910" s="1">
        <v>46166.641069930556</v>
      </c>
      <c r="J910" t="s">
        <v>15</v>
      </c>
      <c r="K910" t="s">
        <v>16</v>
      </c>
      <c r="L910" s="1">
        <v>46166.641069942132</v>
      </c>
    </row>
    <row r="911" spans="1:12" x14ac:dyDescent="0.25">
      <c r="A911" t="s">
        <v>763</v>
      </c>
      <c r="B911" t="str">
        <f>resultado_db_usuario_10[[#This Row],[metodo]]&amp;" "&amp;SUBSTITUTE(resultado_db_usuario_10[[#This Row],[rota]],"/api/v1","")</f>
        <v>POST /pecas/</v>
      </c>
      <c r="C911" t="s">
        <v>33</v>
      </c>
      <c r="D911" t="s">
        <v>24</v>
      </c>
      <c r="E911" t="s">
        <v>25</v>
      </c>
      <c r="F911">
        <v>400</v>
      </c>
      <c r="G911" s="2">
        <v>15.51</v>
      </c>
      <c r="H911" s="1">
        <v>46166.641069849538</v>
      </c>
      <c r="I911" s="1">
        <v>46166.641070034719</v>
      </c>
      <c r="J911" t="s">
        <v>15</v>
      </c>
      <c r="K911" t="s">
        <v>16</v>
      </c>
      <c r="L911" s="1">
        <v>46166.641070046295</v>
      </c>
    </row>
    <row r="912" spans="1:12" x14ac:dyDescent="0.25">
      <c r="A912" t="s">
        <v>793</v>
      </c>
      <c r="B912" t="str">
        <f>resultado_db_usuario_10[[#This Row],[metodo]]&amp;" "&amp;SUBSTITUTE(resultado_db_usuario_10[[#This Row],[rota]],"/api/v1","")</f>
        <v>POST /pecas/</v>
      </c>
      <c r="C912" t="s">
        <v>33</v>
      </c>
      <c r="D912" t="s">
        <v>24</v>
      </c>
      <c r="E912" t="s">
        <v>25</v>
      </c>
      <c r="F912">
        <v>201</v>
      </c>
      <c r="G912" s="2">
        <v>20.81</v>
      </c>
      <c r="H912" s="1">
        <v>46166.641070937498</v>
      </c>
      <c r="I912" s="1">
        <v>46166.641071180558</v>
      </c>
      <c r="J912" t="s">
        <v>15</v>
      </c>
      <c r="K912" t="s">
        <v>16</v>
      </c>
      <c r="L912" s="1">
        <v>46166.641071192127</v>
      </c>
    </row>
    <row r="913" spans="1:12" x14ac:dyDescent="0.25">
      <c r="A913" t="s">
        <v>798</v>
      </c>
      <c r="B913" t="str">
        <f>resultado_db_usuario_10[[#This Row],[metodo]]&amp;" "&amp;SUBSTITUTE(resultado_db_usuario_10[[#This Row],[rota]],"/api/v1","")</f>
        <v>POST /pecas/</v>
      </c>
      <c r="C913" t="s">
        <v>33</v>
      </c>
      <c r="D913" t="s">
        <v>24</v>
      </c>
      <c r="E913" t="s">
        <v>25</v>
      </c>
      <c r="F913">
        <v>201</v>
      </c>
      <c r="G913" s="2">
        <v>19.190000000000001</v>
      </c>
      <c r="H913" s="1">
        <v>46166.641071122685</v>
      </c>
      <c r="I913" s="1">
        <v>46166.641071342594</v>
      </c>
      <c r="J913" t="s">
        <v>15</v>
      </c>
      <c r="K913" t="s">
        <v>16</v>
      </c>
      <c r="L913" s="1">
        <v>46166.641071365739</v>
      </c>
    </row>
    <row r="914" spans="1:12" x14ac:dyDescent="0.25">
      <c r="A914" t="s">
        <v>804</v>
      </c>
      <c r="B914" t="str">
        <f>resultado_db_usuario_10[[#This Row],[metodo]]&amp;" "&amp;SUBSTITUTE(resultado_db_usuario_10[[#This Row],[rota]],"/api/v1","")</f>
        <v>POST /pecas/</v>
      </c>
      <c r="C914" t="s">
        <v>33</v>
      </c>
      <c r="D914" t="s">
        <v>24</v>
      </c>
      <c r="E914" t="s">
        <v>25</v>
      </c>
      <c r="F914">
        <v>201</v>
      </c>
      <c r="G914" s="2">
        <v>19.690000000000001</v>
      </c>
      <c r="H914" s="1">
        <v>46166.641071307873</v>
      </c>
      <c r="I914" s="1">
        <v>46166.64107153935</v>
      </c>
      <c r="J914" t="s">
        <v>15</v>
      </c>
      <c r="K914" t="s">
        <v>16</v>
      </c>
      <c r="L914" s="1">
        <v>46166.641071550926</v>
      </c>
    </row>
    <row r="915" spans="1:12" x14ac:dyDescent="0.25">
      <c r="A915" t="s">
        <v>809</v>
      </c>
      <c r="B915" t="str">
        <f>resultado_db_usuario_10[[#This Row],[metodo]]&amp;" "&amp;SUBSTITUTE(resultado_db_usuario_10[[#This Row],[rota]],"/api/v1","")</f>
        <v>POST /pecas/</v>
      </c>
      <c r="C915" t="s">
        <v>33</v>
      </c>
      <c r="D915" t="s">
        <v>24</v>
      </c>
      <c r="E915" t="s">
        <v>25</v>
      </c>
      <c r="F915">
        <v>201</v>
      </c>
      <c r="G915" s="2">
        <v>24.11</v>
      </c>
      <c r="H915" s="1">
        <v>46166.641071469909</v>
      </c>
      <c r="I915" s="1">
        <v>46166.641071747683</v>
      </c>
      <c r="J915" t="s">
        <v>15</v>
      </c>
      <c r="K915" t="s">
        <v>16</v>
      </c>
      <c r="L915" s="1">
        <v>46166.641071759259</v>
      </c>
    </row>
    <row r="916" spans="1:12" x14ac:dyDescent="0.25">
      <c r="A916" t="s">
        <v>811</v>
      </c>
      <c r="B916" t="str">
        <f>resultado_db_usuario_10[[#This Row],[metodo]]&amp;" "&amp;SUBSTITUTE(resultado_db_usuario_10[[#This Row],[rota]],"/api/v1","")</f>
        <v>POST /pecas/</v>
      </c>
      <c r="C916" t="s">
        <v>33</v>
      </c>
      <c r="D916" t="s">
        <v>24</v>
      </c>
      <c r="E916" t="s">
        <v>25</v>
      </c>
      <c r="F916">
        <v>400</v>
      </c>
      <c r="G916" s="2">
        <v>15.22</v>
      </c>
      <c r="H916" s="1">
        <v>46166.641071655089</v>
      </c>
      <c r="I916" s="1">
        <v>46166.641071828701</v>
      </c>
      <c r="J916" t="s">
        <v>15</v>
      </c>
      <c r="K916" t="s">
        <v>16</v>
      </c>
      <c r="L916" s="1">
        <v>46166.641071840277</v>
      </c>
    </row>
    <row r="917" spans="1:12" x14ac:dyDescent="0.25">
      <c r="A917" t="s">
        <v>848</v>
      </c>
      <c r="B917" t="str">
        <f>resultado_db_usuario_10[[#This Row],[metodo]]&amp;" "&amp;SUBSTITUTE(resultado_db_usuario_10[[#This Row],[rota]],"/api/v1","")</f>
        <v>POST /pecas/</v>
      </c>
      <c r="C917" t="s">
        <v>33</v>
      </c>
      <c r="D917" t="s">
        <v>24</v>
      </c>
      <c r="E917" t="s">
        <v>25</v>
      </c>
      <c r="F917">
        <v>201</v>
      </c>
      <c r="G917" s="2">
        <v>44.99</v>
      </c>
      <c r="H917" s="1">
        <v>46166.641072754632</v>
      </c>
      <c r="I917" s="1">
        <v>46166.641073275459</v>
      </c>
      <c r="J917" t="s">
        <v>15</v>
      </c>
      <c r="K917" t="s">
        <v>16</v>
      </c>
      <c r="L917" s="1">
        <v>46166.641073287035</v>
      </c>
    </row>
    <row r="918" spans="1:12" x14ac:dyDescent="0.25">
      <c r="A918" t="s">
        <v>856</v>
      </c>
      <c r="B918" t="str">
        <f>resultado_db_usuario_10[[#This Row],[metodo]]&amp;" "&amp;SUBSTITUTE(resultado_db_usuario_10[[#This Row],[rota]],"/api/v1","")</f>
        <v>POST /pecas/</v>
      </c>
      <c r="C918" t="s">
        <v>33</v>
      </c>
      <c r="D918" t="s">
        <v>24</v>
      </c>
      <c r="E918" t="s">
        <v>25</v>
      </c>
      <c r="F918">
        <v>201</v>
      </c>
      <c r="G918" s="2">
        <v>18.38</v>
      </c>
      <c r="H918" s="1">
        <v>46166.641073287035</v>
      </c>
      <c r="I918" s="1">
        <v>46166.641073506944</v>
      </c>
      <c r="J918" t="s">
        <v>15</v>
      </c>
      <c r="K918" t="s">
        <v>16</v>
      </c>
      <c r="L918" s="1">
        <v>46166.64107351852</v>
      </c>
    </row>
    <row r="919" spans="1:12" x14ac:dyDescent="0.25">
      <c r="A919" t="s">
        <v>865</v>
      </c>
      <c r="B919" t="str">
        <f>resultado_db_usuario_10[[#This Row],[metodo]]&amp;" "&amp;SUBSTITUTE(resultado_db_usuario_10[[#This Row],[rota]],"/api/v1","")</f>
        <v>POST /pecas/</v>
      </c>
      <c r="C919" t="s">
        <v>33</v>
      </c>
      <c r="D919" t="s">
        <v>24</v>
      </c>
      <c r="E919" t="s">
        <v>25</v>
      </c>
      <c r="F919">
        <v>201</v>
      </c>
      <c r="G919" s="2">
        <v>22.81</v>
      </c>
      <c r="H919" s="1">
        <v>46166.641073460647</v>
      </c>
      <c r="I919" s="1">
        <v>46166.641073726852</v>
      </c>
      <c r="J919" t="s">
        <v>15</v>
      </c>
      <c r="K919" t="s">
        <v>16</v>
      </c>
      <c r="L919" s="1">
        <v>46166.641073738429</v>
      </c>
    </row>
    <row r="920" spans="1:12" x14ac:dyDescent="0.25">
      <c r="A920" t="s">
        <v>873</v>
      </c>
      <c r="B920" t="str">
        <f>resultado_db_usuario_10[[#This Row],[metodo]]&amp;" "&amp;SUBSTITUTE(resultado_db_usuario_10[[#This Row],[rota]],"/api/v1","")</f>
        <v>POST /pecas/</v>
      </c>
      <c r="C920" t="s">
        <v>33</v>
      </c>
      <c r="D920" t="s">
        <v>24</v>
      </c>
      <c r="E920" t="s">
        <v>25</v>
      </c>
      <c r="F920">
        <v>201</v>
      </c>
      <c r="G920" s="2">
        <v>29.48</v>
      </c>
      <c r="H920" s="1">
        <v>46166.641073692132</v>
      </c>
      <c r="I920" s="1">
        <v>46166.641074039355</v>
      </c>
      <c r="J920" t="s">
        <v>15</v>
      </c>
      <c r="K920" t="s">
        <v>16</v>
      </c>
      <c r="L920" s="1">
        <v>46166.641074050924</v>
      </c>
    </row>
    <row r="921" spans="1:12" x14ac:dyDescent="0.25">
      <c r="A921" t="s">
        <v>875</v>
      </c>
      <c r="B921" t="str">
        <f>resultado_db_usuario_10[[#This Row],[metodo]]&amp;" "&amp;SUBSTITUTE(resultado_db_usuario_10[[#This Row],[rota]],"/api/v1","")</f>
        <v>POST /pecas/</v>
      </c>
      <c r="C921" t="s">
        <v>33</v>
      </c>
      <c r="D921" t="s">
        <v>24</v>
      </c>
      <c r="E921" t="s">
        <v>25</v>
      </c>
      <c r="F921">
        <v>400</v>
      </c>
      <c r="G921" s="2">
        <v>27.17</v>
      </c>
      <c r="H921" s="1">
        <v>46166.641073819446</v>
      </c>
      <c r="I921" s="1">
        <v>46166.641074131941</v>
      </c>
      <c r="J921" t="s">
        <v>15</v>
      </c>
      <c r="K921" t="s">
        <v>16</v>
      </c>
      <c r="L921" s="1">
        <v>46166.641074155094</v>
      </c>
    </row>
    <row r="922" spans="1:12" x14ac:dyDescent="0.25">
      <c r="A922" t="s">
        <v>881</v>
      </c>
      <c r="B922" t="str">
        <f>resultado_db_usuario_10[[#This Row],[metodo]]&amp;" "&amp;SUBSTITUTE(resultado_db_usuario_10[[#This Row],[rota]],"/api/v1","")</f>
        <v>POST /pecas/</v>
      </c>
      <c r="C922" t="s">
        <v>33</v>
      </c>
      <c r="D922" t="s">
        <v>24</v>
      </c>
      <c r="E922" t="s">
        <v>25</v>
      </c>
      <c r="F922">
        <v>201</v>
      </c>
      <c r="G922" s="2">
        <v>27.42</v>
      </c>
      <c r="H922" s="1">
        <v>46166.64107395833</v>
      </c>
      <c r="I922" s="1">
        <v>46166.641074282408</v>
      </c>
      <c r="J922" t="s">
        <v>15</v>
      </c>
      <c r="K922" t="s">
        <v>16</v>
      </c>
      <c r="L922" s="1">
        <v>46166.641074293984</v>
      </c>
    </row>
    <row r="923" spans="1:12" x14ac:dyDescent="0.25">
      <c r="A923" t="s">
        <v>882</v>
      </c>
      <c r="B923" t="str">
        <f>resultado_db_usuario_10[[#This Row],[metodo]]&amp;" "&amp;SUBSTITUTE(resultado_db_usuario_10[[#This Row],[rota]],"/api/v1","")</f>
        <v>POST /pecas/</v>
      </c>
      <c r="C923" t="s">
        <v>33</v>
      </c>
      <c r="D923" t="s">
        <v>24</v>
      </c>
      <c r="E923" t="s">
        <v>25</v>
      </c>
      <c r="F923">
        <v>400</v>
      </c>
      <c r="G923" s="2">
        <v>24.95</v>
      </c>
      <c r="H923" s="1">
        <v>46166.641074016203</v>
      </c>
      <c r="I923" s="1">
        <v>46166.641074305553</v>
      </c>
      <c r="J923" t="s">
        <v>15</v>
      </c>
      <c r="K923" t="s">
        <v>16</v>
      </c>
      <c r="L923" s="1">
        <v>46166.641074328705</v>
      </c>
    </row>
    <row r="924" spans="1:12" x14ac:dyDescent="0.25">
      <c r="A924" t="s">
        <v>926</v>
      </c>
      <c r="B924" t="str">
        <f>resultado_db_usuario_10[[#This Row],[metodo]]&amp;" "&amp;SUBSTITUTE(resultado_db_usuario_10[[#This Row],[rota]],"/api/v1","")</f>
        <v>POST /pecas/</v>
      </c>
      <c r="C924" t="s">
        <v>33</v>
      </c>
      <c r="D924" t="s">
        <v>24</v>
      </c>
      <c r="E924" t="s">
        <v>25</v>
      </c>
      <c r="F924">
        <v>201</v>
      </c>
      <c r="G924" s="2">
        <v>46.5</v>
      </c>
      <c r="H924" s="1">
        <v>46166.641075324071</v>
      </c>
      <c r="I924" s="1">
        <v>46166.641075856482</v>
      </c>
      <c r="J924" t="s">
        <v>15</v>
      </c>
      <c r="K924" t="s">
        <v>16</v>
      </c>
      <c r="L924" s="1">
        <v>46166.641075868058</v>
      </c>
    </row>
    <row r="925" spans="1:12" x14ac:dyDescent="0.25">
      <c r="A925" t="s">
        <v>937</v>
      </c>
      <c r="B925" t="str">
        <f>resultado_db_usuario_10[[#This Row],[metodo]]&amp;" "&amp;SUBSTITUTE(resultado_db_usuario_10[[#This Row],[rota]],"/api/v1","")</f>
        <v>POST /pecas/</v>
      </c>
      <c r="C925" t="s">
        <v>33</v>
      </c>
      <c r="D925" t="s">
        <v>24</v>
      </c>
      <c r="E925" t="s">
        <v>25</v>
      </c>
      <c r="F925">
        <v>201</v>
      </c>
      <c r="G925" s="2">
        <v>39.380000000000003</v>
      </c>
      <c r="H925" s="1">
        <v>46166.641075740743</v>
      </c>
      <c r="I925" s="1">
        <v>46166.641076203705</v>
      </c>
      <c r="J925" t="s">
        <v>15</v>
      </c>
      <c r="K925" t="s">
        <v>16</v>
      </c>
      <c r="L925" s="1">
        <v>46166.641076215281</v>
      </c>
    </row>
    <row r="926" spans="1:12" x14ac:dyDescent="0.25">
      <c r="A926" t="s">
        <v>952</v>
      </c>
      <c r="B926" t="str">
        <f>resultado_db_usuario_10[[#This Row],[metodo]]&amp;" "&amp;SUBSTITUTE(resultado_db_usuario_10[[#This Row],[rota]],"/api/v1","")</f>
        <v>POST /pecas/</v>
      </c>
      <c r="C926" t="s">
        <v>33</v>
      </c>
      <c r="D926" t="s">
        <v>24</v>
      </c>
      <c r="E926" t="s">
        <v>25</v>
      </c>
      <c r="F926">
        <v>201</v>
      </c>
      <c r="G926" s="2">
        <v>38.21</v>
      </c>
      <c r="H926" s="1">
        <v>46166.641076250002</v>
      </c>
      <c r="I926" s="1">
        <v>46166.641076689812</v>
      </c>
      <c r="J926" t="s">
        <v>15</v>
      </c>
      <c r="K926" t="s">
        <v>16</v>
      </c>
      <c r="L926" s="1">
        <v>46166.641076712964</v>
      </c>
    </row>
    <row r="927" spans="1:12" x14ac:dyDescent="0.25">
      <c r="A927" t="s">
        <v>961</v>
      </c>
      <c r="B927" t="str">
        <f>resultado_db_usuario_10[[#This Row],[metodo]]&amp;" "&amp;SUBSTITUTE(resultado_db_usuario_10[[#This Row],[rota]],"/api/v1","")</f>
        <v>POST /pecas/</v>
      </c>
      <c r="C927" t="s">
        <v>33</v>
      </c>
      <c r="D927" t="s">
        <v>24</v>
      </c>
      <c r="E927" t="s">
        <v>25</v>
      </c>
      <c r="F927">
        <v>201</v>
      </c>
      <c r="G927" s="2">
        <v>32.76</v>
      </c>
      <c r="H927" s="1">
        <v>46166.641076550928</v>
      </c>
      <c r="I927" s="1">
        <v>46166.641076932872</v>
      </c>
      <c r="J927" t="s">
        <v>15</v>
      </c>
      <c r="K927" t="s">
        <v>16</v>
      </c>
      <c r="L927" s="1">
        <v>46166.641076944441</v>
      </c>
    </row>
    <row r="928" spans="1:12" x14ac:dyDescent="0.25">
      <c r="A928" t="s">
        <v>969</v>
      </c>
      <c r="B928" t="str">
        <f>resultado_db_usuario_10[[#This Row],[metodo]]&amp;" "&amp;SUBSTITUTE(resultado_db_usuario_10[[#This Row],[rota]],"/api/v1","")</f>
        <v>POST /pecas/</v>
      </c>
      <c r="C928" t="s">
        <v>33</v>
      </c>
      <c r="D928" t="s">
        <v>24</v>
      </c>
      <c r="E928" t="s">
        <v>25</v>
      </c>
      <c r="F928">
        <v>201</v>
      </c>
      <c r="G928" s="2">
        <v>33.76</v>
      </c>
      <c r="H928" s="1">
        <v>46166.641076874999</v>
      </c>
      <c r="I928" s="1">
        <v>46166.641077268519</v>
      </c>
      <c r="J928" t="s">
        <v>15</v>
      </c>
      <c r="K928" t="s">
        <v>16</v>
      </c>
      <c r="L928" s="1">
        <v>46166.641077280095</v>
      </c>
    </row>
    <row r="929" spans="1:12" x14ac:dyDescent="0.25">
      <c r="A929" t="s">
        <v>972</v>
      </c>
      <c r="B929" t="str">
        <f>resultado_db_usuario_10[[#This Row],[metodo]]&amp;" "&amp;SUBSTITUTE(resultado_db_usuario_10[[#This Row],[rota]],"/api/v1","")</f>
        <v>POST /pecas/</v>
      </c>
      <c r="C929" t="s">
        <v>33</v>
      </c>
      <c r="D929" t="s">
        <v>24</v>
      </c>
      <c r="E929" t="s">
        <v>25</v>
      </c>
      <c r="F929">
        <v>400</v>
      </c>
      <c r="G929" s="2">
        <v>32.409999999999997</v>
      </c>
      <c r="H929" s="1">
        <v>46166.641076967593</v>
      </c>
      <c r="I929" s="1">
        <v>46166.641077337961</v>
      </c>
      <c r="J929" t="s">
        <v>15</v>
      </c>
      <c r="K929" t="s">
        <v>16</v>
      </c>
      <c r="L929" s="1">
        <v>46166.641077361113</v>
      </c>
    </row>
    <row r="930" spans="1:12" x14ac:dyDescent="0.25">
      <c r="A930" t="s">
        <v>973</v>
      </c>
      <c r="B930" t="str">
        <f>resultado_db_usuario_10[[#This Row],[metodo]]&amp;" "&amp;SUBSTITUTE(resultado_db_usuario_10[[#This Row],[rota]],"/api/v1","")</f>
        <v>POST /pecas/</v>
      </c>
      <c r="C930" t="s">
        <v>33</v>
      </c>
      <c r="D930" t="s">
        <v>24</v>
      </c>
      <c r="E930" t="s">
        <v>25</v>
      </c>
      <c r="F930">
        <v>400</v>
      </c>
      <c r="G930" s="2">
        <v>31.86</v>
      </c>
      <c r="H930" s="1">
        <v>46166.641077002314</v>
      </c>
      <c r="I930" s="1">
        <v>46166.641077372682</v>
      </c>
      <c r="J930" t="s">
        <v>15</v>
      </c>
      <c r="K930" t="s">
        <v>16</v>
      </c>
      <c r="L930" s="1">
        <v>46166.641077384258</v>
      </c>
    </row>
    <row r="931" spans="1:12" x14ac:dyDescent="0.25">
      <c r="A931" t="s">
        <v>974</v>
      </c>
      <c r="B931" t="str">
        <f>resultado_db_usuario_10[[#This Row],[metodo]]&amp;" "&amp;SUBSTITUTE(resultado_db_usuario_10[[#This Row],[rota]],"/api/v1","")</f>
        <v>POST /pecas/</v>
      </c>
      <c r="C931" t="s">
        <v>33</v>
      </c>
      <c r="D931" t="s">
        <v>24</v>
      </c>
      <c r="E931" t="s">
        <v>25</v>
      </c>
      <c r="F931">
        <v>400</v>
      </c>
      <c r="G931" s="2">
        <v>32.840000000000003</v>
      </c>
      <c r="H931" s="1">
        <v>46166.64107701389</v>
      </c>
      <c r="I931" s="1">
        <v>46166.641077395834</v>
      </c>
      <c r="J931" t="s">
        <v>15</v>
      </c>
      <c r="K931" t="s">
        <v>16</v>
      </c>
      <c r="L931" s="1">
        <v>46166.64107740741</v>
      </c>
    </row>
    <row r="932" spans="1:12" x14ac:dyDescent="0.25">
      <c r="A932" t="s">
        <v>989</v>
      </c>
      <c r="B932" t="str">
        <f>resultado_db_usuario_10[[#This Row],[metodo]]&amp;" "&amp;SUBSTITUTE(resultado_db_usuario_10[[#This Row],[rota]],"/api/v1","")</f>
        <v>POST /pecas/</v>
      </c>
      <c r="C932" t="s">
        <v>33</v>
      </c>
      <c r="D932" t="s">
        <v>24</v>
      </c>
      <c r="E932" t="s">
        <v>25</v>
      </c>
      <c r="F932">
        <v>201</v>
      </c>
      <c r="G932" s="2">
        <v>42.87</v>
      </c>
      <c r="H932" s="1">
        <v>46166.64107730324</v>
      </c>
      <c r="I932" s="1">
        <v>46166.641077800923</v>
      </c>
      <c r="J932" t="s">
        <v>15</v>
      </c>
      <c r="K932" t="s">
        <v>16</v>
      </c>
      <c r="L932" s="1">
        <v>46166.641077812499</v>
      </c>
    </row>
    <row r="933" spans="1:12" x14ac:dyDescent="0.25">
      <c r="A933" t="s">
        <v>1012</v>
      </c>
      <c r="B933" t="str">
        <f>resultado_db_usuario_10[[#This Row],[metodo]]&amp;" "&amp;SUBSTITUTE(resultado_db_usuario_10[[#This Row],[rota]],"/api/v1","")</f>
        <v>POST /pecas/</v>
      </c>
      <c r="C933" t="s">
        <v>33</v>
      </c>
      <c r="D933" t="s">
        <v>24</v>
      </c>
      <c r="E933" t="s">
        <v>25</v>
      </c>
      <c r="F933">
        <v>201</v>
      </c>
      <c r="G933" s="2">
        <v>44.11</v>
      </c>
      <c r="H933" s="1">
        <v>46166.641077905093</v>
      </c>
      <c r="I933" s="1">
        <v>46166.641078414352</v>
      </c>
      <c r="J933" t="s">
        <v>15</v>
      </c>
      <c r="K933" t="s">
        <v>16</v>
      </c>
      <c r="L933" s="1">
        <v>46166.641078437497</v>
      </c>
    </row>
    <row r="934" spans="1:12" x14ac:dyDescent="0.25">
      <c r="A934" t="s">
        <v>1035</v>
      </c>
      <c r="B934" t="str">
        <f>resultado_db_usuario_10[[#This Row],[metodo]]&amp;" "&amp;SUBSTITUTE(resultado_db_usuario_10[[#This Row],[rota]],"/api/v1","")</f>
        <v>POST /pecas/</v>
      </c>
      <c r="C934" t="s">
        <v>33</v>
      </c>
      <c r="D934" t="s">
        <v>24</v>
      </c>
      <c r="E934" t="s">
        <v>25</v>
      </c>
      <c r="F934">
        <v>201</v>
      </c>
      <c r="G934" s="2">
        <v>28.47</v>
      </c>
      <c r="H934" s="1">
        <v>46166.641079004628</v>
      </c>
      <c r="I934" s="1">
        <v>46166.641079328707</v>
      </c>
      <c r="J934" t="s">
        <v>15</v>
      </c>
      <c r="K934" t="s">
        <v>16</v>
      </c>
      <c r="L934" s="1">
        <v>46166.641079351852</v>
      </c>
    </row>
    <row r="935" spans="1:12" x14ac:dyDescent="0.25">
      <c r="A935" t="s">
        <v>1049</v>
      </c>
      <c r="B935" t="str">
        <f>resultado_db_usuario_10[[#This Row],[metodo]]&amp;" "&amp;SUBSTITUTE(resultado_db_usuario_10[[#This Row],[rota]],"/api/v1","")</f>
        <v>POST /pecas/</v>
      </c>
      <c r="C935" t="s">
        <v>33</v>
      </c>
      <c r="D935" t="s">
        <v>24</v>
      </c>
      <c r="E935" t="s">
        <v>25</v>
      </c>
      <c r="F935">
        <v>201</v>
      </c>
      <c r="G935" s="2">
        <v>30.42</v>
      </c>
      <c r="H935" s="1">
        <v>46166.641079317131</v>
      </c>
      <c r="I935" s="1">
        <v>46166.641079675923</v>
      </c>
      <c r="J935" t="s">
        <v>15</v>
      </c>
      <c r="K935" t="s">
        <v>16</v>
      </c>
      <c r="L935" s="1">
        <v>46166.641079687499</v>
      </c>
    </row>
    <row r="936" spans="1:12" x14ac:dyDescent="0.25">
      <c r="A936" t="s">
        <v>1072</v>
      </c>
      <c r="B936" t="str">
        <f>resultado_db_usuario_10[[#This Row],[metodo]]&amp;" "&amp;SUBSTITUTE(resultado_db_usuario_10[[#This Row],[rota]],"/api/v1","")</f>
        <v>POST /pecas/</v>
      </c>
      <c r="C936" t="s">
        <v>33</v>
      </c>
      <c r="D936" t="s">
        <v>24</v>
      </c>
      <c r="E936" t="s">
        <v>25</v>
      </c>
      <c r="F936">
        <v>201</v>
      </c>
      <c r="G936" s="2">
        <v>36.369999999999997</v>
      </c>
      <c r="H936" s="1">
        <v>46166.641079803238</v>
      </c>
      <c r="I936" s="1">
        <v>46166.64108021991</v>
      </c>
      <c r="J936" t="s">
        <v>15</v>
      </c>
      <c r="K936" t="s">
        <v>16</v>
      </c>
      <c r="L936" s="1">
        <v>46166.641080243055</v>
      </c>
    </row>
    <row r="937" spans="1:12" x14ac:dyDescent="0.25">
      <c r="A937" t="s">
        <v>1078</v>
      </c>
      <c r="B937" t="str">
        <f>resultado_db_usuario_10[[#This Row],[metodo]]&amp;" "&amp;SUBSTITUTE(resultado_db_usuario_10[[#This Row],[rota]],"/api/v1","")</f>
        <v>POST /pecas/</v>
      </c>
      <c r="C937" t="s">
        <v>33</v>
      </c>
      <c r="D937" t="s">
        <v>24</v>
      </c>
      <c r="E937" t="s">
        <v>25</v>
      </c>
      <c r="F937">
        <v>201</v>
      </c>
      <c r="G937" s="2">
        <v>29.13</v>
      </c>
      <c r="H937" s="1">
        <v>46166.641080057867</v>
      </c>
      <c r="I937" s="1">
        <v>46166.641080393521</v>
      </c>
      <c r="J937" t="s">
        <v>15</v>
      </c>
      <c r="K937" t="s">
        <v>16</v>
      </c>
      <c r="L937" s="1">
        <v>46166.641080416666</v>
      </c>
    </row>
    <row r="938" spans="1:12" x14ac:dyDescent="0.25">
      <c r="A938" t="s">
        <v>1085</v>
      </c>
      <c r="B938" t="str">
        <f>resultado_db_usuario_10[[#This Row],[metodo]]&amp;" "&amp;SUBSTITUTE(resultado_db_usuario_10[[#This Row],[rota]],"/api/v1","")</f>
        <v>POST /pecas/</v>
      </c>
      <c r="C938" t="s">
        <v>33</v>
      </c>
      <c r="D938" t="s">
        <v>24</v>
      </c>
      <c r="E938" t="s">
        <v>25</v>
      </c>
      <c r="F938">
        <v>201</v>
      </c>
      <c r="G938" s="2">
        <v>30.96</v>
      </c>
      <c r="H938" s="1">
        <v>46166.641080266207</v>
      </c>
      <c r="I938" s="1">
        <v>46166.641080624999</v>
      </c>
      <c r="J938" t="s">
        <v>15</v>
      </c>
      <c r="K938" t="s">
        <v>16</v>
      </c>
      <c r="L938" s="1">
        <v>46166.641080636575</v>
      </c>
    </row>
    <row r="939" spans="1:12" x14ac:dyDescent="0.25">
      <c r="A939" t="s">
        <v>1086</v>
      </c>
      <c r="B939" t="str">
        <f>resultado_db_usuario_10[[#This Row],[metodo]]&amp;" "&amp;SUBSTITUTE(resultado_db_usuario_10[[#This Row],[rota]],"/api/v1","")</f>
        <v>POST /pecas/</v>
      </c>
      <c r="C939" t="s">
        <v>33</v>
      </c>
      <c r="D939" t="s">
        <v>24</v>
      </c>
      <c r="E939" t="s">
        <v>25</v>
      </c>
      <c r="F939">
        <v>400</v>
      </c>
      <c r="G939" s="2">
        <v>31.02</v>
      </c>
      <c r="H939" s="1">
        <v>46166.641080300928</v>
      </c>
      <c r="I939" s="1">
        <v>46166.64108065972</v>
      </c>
      <c r="J939" t="s">
        <v>15</v>
      </c>
      <c r="K939" t="s">
        <v>16</v>
      </c>
      <c r="L939" s="1">
        <v>46166.641080671296</v>
      </c>
    </row>
    <row r="940" spans="1:12" x14ac:dyDescent="0.25">
      <c r="A940" t="s">
        <v>1087</v>
      </c>
      <c r="B940" t="str">
        <f>resultado_db_usuario_10[[#This Row],[metodo]]&amp;" "&amp;SUBSTITUTE(resultado_db_usuario_10[[#This Row],[rota]],"/api/v1","")</f>
        <v>POST /pecas/</v>
      </c>
      <c r="C940" t="s">
        <v>33</v>
      </c>
      <c r="D940" t="s">
        <v>24</v>
      </c>
      <c r="E940" t="s">
        <v>25</v>
      </c>
      <c r="F940">
        <v>400</v>
      </c>
      <c r="G940" s="2">
        <v>32.299999999999997</v>
      </c>
      <c r="H940" s="1">
        <v>46166.641080300928</v>
      </c>
      <c r="I940" s="1">
        <v>46166.641080682872</v>
      </c>
      <c r="J940" t="s">
        <v>15</v>
      </c>
      <c r="K940" t="s">
        <v>16</v>
      </c>
      <c r="L940" s="1">
        <v>46166.641080694448</v>
      </c>
    </row>
    <row r="941" spans="1:12" x14ac:dyDescent="0.25">
      <c r="A941" t="s">
        <v>1088</v>
      </c>
      <c r="B941" t="str">
        <f>resultado_db_usuario_10[[#This Row],[metodo]]&amp;" "&amp;SUBSTITUTE(resultado_db_usuario_10[[#This Row],[rota]],"/api/v1","")</f>
        <v>POST /pecas/</v>
      </c>
      <c r="C941" t="s">
        <v>33</v>
      </c>
      <c r="D941" t="s">
        <v>24</v>
      </c>
      <c r="E941" t="s">
        <v>25</v>
      </c>
      <c r="F941">
        <v>400</v>
      </c>
      <c r="G941" s="2" t="s">
        <v>1089</v>
      </c>
      <c r="H941" s="1">
        <v>46166.641080347224</v>
      </c>
      <c r="I941" s="1">
        <v>46166.641080706017</v>
      </c>
      <c r="J941" t="s">
        <v>15</v>
      </c>
      <c r="K941" t="s">
        <v>16</v>
      </c>
      <c r="L941" s="1">
        <v>46166.641080729169</v>
      </c>
    </row>
    <row r="942" spans="1:12" x14ac:dyDescent="0.25">
      <c r="A942" t="s">
        <v>1120</v>
      </c>
      <c r="B942" t="str">
        <f>resultado_db_usuario_10[[#This Row],[metodo]]&amp;" "&amp;SUBSTITUTE(resultado_db_usuario_10[[#This Row],[rota]],"/api/v1","")</f>
        <v>POST /pecas/</v>
      </c>
      <c r="C942" t="s">
        <v>33</v>
      </c>
      <c r="D942" t="s">
        <v>24</v>
      </c>
      <c r="E942" t="s">
        <v>25</v>
      </c>
      <c r="F942">
        <v>201</v>
      </c>
      <c r="G942" s="2">
        <v>33.58</v>
      </c>
      <c r="H942" s="1">
        <v>46166.641080960646</v>
      </c>
      <c r="I942" s="1">
        <v>46166.64108134259</v>
      </c>
      <c r="J942" t="s">
        <v>15</v>
      </c>
      <c r="K942" t="s">
        <v>16</v>
      </c>
      <c r="L942" s="1">
        <v>46166.641081354166</v>
      </c>
    </row>
    <row r="943" spans="1:12" x14ac:dyDescent="0.25">
      <c r="A943" t="s">
        <v>1130</v>
      </c>
      <c r="B943" t="str">
        <f>resultado_db_usuario_10[[#This Row],[metodo]]&amp;" "&amp;SUBSTITUTE(resultado_db_usuario_10[[#This Row],[rota]],"/api/v1","")</f>
        <v>POST /pecas/</v>
      </c>
      <c r="C943" t="s">
        <v>33</v>
      </c>
      <c r="D943" t="s">
        <v>24</v>
      </c>
      <c r="E943" t="s">
        <v>25</v>
      </c>
      <c r="F943">
        <v>201</v>
      </c>
      <c r="G943" s="2">
        <v>33.03</v>
      </c>
      <c r="H943" s="1">
        <v>46166.641081226851</v>
      </c>
      <c r="I943" s="1">
        <v>46166.641081608796</v>
      </c>
      <c r="J943" t="s">
        <v>15</v>
      </c>
      <c r="K943" t="s">
        <v>16</v>
      </c>
      <c r="L943" s="1">
        <v>46166.641081620372</v>
      </c>
    </row>
    <row r="944" spans="1:12" x14ac:dyDescent="0.25">
      <c r="A944" t="s">
        <v>1160</v>
      </c>
      <c r="B944" t="str">
        <f>resultado_db_usuario_10[[#This Row],[metodo]]&amp;" "&amp;SUBSTITUTE(resultado_db_usuario_10[[#This Row],[rota]],"/api/v1","")</f>
        <v>POST /pecas/</v>
      </c>
      <c r="C944" t="s">
        <v>33</v>
      </c>
      <c r="D944" t="s">
        <v>24</v>
      </c>
      <c r="E944" t="s">
        <v>25</v>
      </c>
      <c r="F944">
        <v>201</v>
      </c>
      <c r="G944" s="2">
        <v>32.33</v>
      </c>
      <c r="H944" s="1">
        <v>46166.641082245369</v>
      </c>
      <c r="I944" s="1">
        <v>46166.641082615737</v>
      </c>
      <c r="J944" t="s">
        <v>15</v>
      </c>
      <c r="K944" t="s">
        <v>16</v>
      </c>
      <c r="L944" s="1">
        <v>46166.641082627313</v>
      </c>
    </row>
    <row r="945" spans="1:12" x14ac:dyDescent="0.25">
      <c r="A945" t="s">
        <v>1176</v>
      </c>
      <c r="B945" t="str">
        <f>resultado_db_usuario_10[[#This Row],[metodo]]&amp;" "&amp;SUBSTITUTE(resultado_db_usuario_10[[#This Row],[rota]],"/api/v1","")</f>
        <v>POST /pecas/</v>
      </c>
      <c r="C945" t="s">
        <v>33</v>
      </c>
      <c r="D945" t="s">
        <v>24</v>
      </c>
      <c r="E945" t="s">
        <v>25</v>
      </c>
      <c r="F945">
        <v>201</v>
      </c>
      <c r="G945" s="2">
        <v>47.6</v>
      </c>
      <c r="H945" s="1">
        <v>46166.641082650465</v>
      </c>
      <c r="I945" s="1">
        <v>46166.641083194445</v>
      </c>
      <c r="J945" t="s">
        <v>15</v>
      </c>
      <c r="K945" t="s">
        <v>16</v>
      </c>
      <c r="L945" s="1">
        <v>46166.64108321759</v>
      </c>
    </row>
    <row r="946" spans="1:12" x14ac:dyDescent="0.25">
      <c r="A946" t="s">
        <v>1191</v>
      </c>
      <c r="B946" t="str">
        <f>resultado_db_usuario_10[[#This Row],[metodo]]&amp;" "&amp;SUBSTITUTE(resultado_db_usuario_10[[#This Row],[rota]],"/api/v1","")</f>
        <v>POST /pecas/</v>
      </c>
      <c r="C946" t="s">
        <v>33</v>
      </c>
      <c r="D946" t="s">
        <v>24</v>
      </c>
      <c r="E946" t="s">
        <v>25</v>
      </c>
      <c r="F946">
        <v>201</v>
      </c>
      <c r="G946" s="2">
        <v>42.61</v>
      </c>
      <c r="H946" s="1">
        <v>46166.641083287039</v>
      </c>
      <c r="I946" s="1">
        <v>46166.641083773146</v>
      </c>
      <c r="J946" t="s">
        <v>15</v>
      </c>
      <c r="K946" t="s">
        <v>16</v>
      </c>
      <c r="L946" s="1">
        <v>46166.641083796298</v>
      </c>
    </row>
    <row r="947" spans="1:12" x14ac:dyDescent="0.25">
      <c r="A947" t="s">
        <v>1195</v>
      </c>
      <c r="B947" t="str">
        <f>resultado_db_usuario_10[[#This Row],[metodo]]&amp;" "&amp;SUBSTITUTE(resultado_db_usuario_10[[#This Row],[rota]],"/api/v1","")</f>
        <v>POST /pecas/</v>
      </c>
      <c r="C947" t="s">
        <v>33</v>
      </c>
      <c r="D947" t="s">
        <v>24</v>
      </c>
      <c r="E947" t="s">
        <v>25</v>
      </c>
      <c r="F947">
        <v>201</v>
      </c>
      <c r="G947" s="2">
        <v>29.12</v>
      </c>
      <c r="H947" s="1">
        <v>46166.641083587965</v>
      </c>
      <c r="I947" s="1">
        <v>46166.641083923612</v>
      </c>
      <c r="J947" t="s">
        <v>15</v>
      </c>
      <c r="K947" t="s">
        <v>16</v>
      </c>
      <c r="L947" s="1">
        <v>46166.641083935188</v>
      </c>
    </row>
    <row r="948" spans="1:12" x14ac:dyDescent="0.25">
      <c r="A948" t="s">
        <v>1197</v>
      </c>
      <c r="B948" t="str">
        <f>resultado_db_usuario_10[[#This Row],[metodo]]&amp;" "&amp;SUBSTITUTE(resultado_db_usuario_10[[#This Row],[rota]],"/api/v1","")</f>
        <v>POST /pecas/</v>
      </c>
      <c r="C948" t="s">
        <v>33</v>
      </c>
      <c r="D948" t="s">
        <v>24</v>
      </c>
      <c r="E948" t="s">
        <v>25</v>
      </c>
      <c r="F948">
        <v>400</v>
      </c>
      <c r="G948" s="2">
        <v>28.75</v>
      </c>
      <c r="H948" s="1">
        <v>46166.641083634262</v>
      </c>
      <c r="I948" s="1">
        <v>46166.641083969909</v>
      </c>
      <c r="J948" t="s">
        <v>15</v>
      </c>
      <c r="K948" t="s">
        <v>16</v>
      </c>
      <c r="L948" s="1">
        <v>46166.641083981478</v>
      </c>
    </row>
    <row r="949" spans="1:12" x14ac:dyDescent="0.25">
      <c r="A949" t="s">
        <v>1198</v>
      </c>
      <c r="B949" t="str">
        <f>resultado_db_usuario_10[[#This Row],[metodo]]&amp;" "&amp;SUBSTITUTE(resultado_db_usuario_10[[#This Row],[rota]],"/api/v1","")</f>
        <v>POST /pecas/</v>
      </c>
      <c r="C949" t="s">
        <v>33</v>
      </c>
      <c r="D949" t="s">
        <v>24</v>
      </c>
      <c r="E949" t="s">
        <v>25</v>
      </c>
      <c r="F949">
        <v>400</v>
      </c>
      <c r="G949" s="2">
        <v>32.19</v>
      </c>
      <c r="H949" s="1">
        <v>46166.641083622686</v>
      </c>
      <c r="I949" s="1">
        <v>46166.641083993054</v>
      </c>
      <c r="J949" t="s">
        <v>15</v>
      </c>
      <c r="K949" t="s">
        <v>16</v>
      </c>
      <c r="L949" s="1">
        <v>46166.64108400463</v>
      </c>
    </row>
    <row r="950" spans="1:12" x14ac:dyDescent="0.25">
      <c r="A950" t="s">
        <v>1199</v>
      </c>
      <c r="B950" t="str">
        <f>resultado_db_usuario_10[[#This Row],[metodo]]&amp;" "&amp;SUBSTITUTE(resultado_db_usuario_10[[#This Row],[rota]],"/api/v1","")</f>
        <v>POST /pecas/</v>
      </c>
      <c r="C950" t="s">
        <v>33</v>
      </c>
      <c r="D950" t="s">
        <v>24</v>
      </c>
      <c r="E950" t="s">
        <v>25</v>
      </c>
      <c r="F950">
        <v>400</v>
      </c>
      <c r="G950" s="2">
        <v>30.23</v>
      </c>
      <c r="H950" s="1">
        <v>46166.641083668983</v>
      </c>
      <c r="I950" s="1">
        <v>46166.641084027775</v>
      </c>
      <c r="J950" t="s">
        <v>15</v>
      </c>
      <c r="K950" t="s">
        <v>16</v>
      </c>
      <c r="L950" s="1">
        <v>46166.641084039351</v>
      </c>
    </row>
    <row r="951" spans="1:12" x14ac:dyDescent="0.25">
      <c r="A951" t="s">
        <v>1205</v>
      </c>
      <c r="B951" t="str">
        <f>resultado_db_usuario_10[[#This Row],[metodo]]&amp;" "&amp;SUBSTITUTE(resultado_db_usuario_10[[#This Row],[rota]],"/api/v1","")</f>
        <v>POST /pecas/</v>
      </c>
      <c r="C951" t="s">
        <v>33</v>
      </c>
      <c r="D951" t="s">
        <v>24</v>
      </c>
      <c r="E951" t="s">
        <v>25</v>
      </c>
      <c r="F951">
        <v>201</v>
      </c>
      <c r="G951" s="2">
        <v>34.32</v>
      </c>
      <c r="H951" s="1">
        <v>46166.641083831018</v>
      </c>
      <c r="I951" s="1">
        <v>46166.641084224539</v>
      </c>
      <c r="J951" t="s">
        <v>15</v>
      </c>
      <c r="K951" t="s">
        <v>16</v>
      </c>
      <c r="L951" s="1">
        <v>46166.641084236115</v>
      </c>
    </row>
    <row r="952" spans="1:12" x14ac:dyDescent="0.25">
      <c r="A952" t="s">
        <v>1238</v>
      </c>
      <c r="B952" t="str">
        <f>resultado_db_usuario_10[[#This Row],[metodo]]&amp;" "&amp;SUBSTITUTE(resultado_db_usuario_10[[#This Row],[rota]],"/api/v1","")</f>
        <v>POST /pecas/</v>
      </c>
      <c r="C952" t="s">
        <v>33</v>
      </c>
      <c r="D952" t="s">
        <v>24</v>
      </c>
      <c r="E952" t="s">
        <v>25</v>
      </c>
      <c r="F952">
        <v>201</v>
      </c>
      <c r="G952" s="2">
        <v>31.54</v>
      </c>
      <c r="H952" s="1">
        <v>46166.64108454861</v>
      </c>
      <c r="I952" s="1">
        <v>46166.641084918978</v>
      </c>
      <c r="J952" t="s">
        <v>15</v>
      </c>
      <c r="K952" t="s">
        <v>16</v>
      </c>
      <c r="L952" s="1">
        <v>46166.641084930554</v>
      </c>
    </row>
    <row r="953" spans="1:12" x14ac:dyDescent="0.25">
      <c r="A953" t="s">
        <v>1240</v>
      </c>
      <c r="B953" t="str">
        <f>resultado_db_usuario_10[[#This Row],[metodo]]&amp;" "&amp;SUBSTITUTE(resultado_db_usuario_10[[#This Row],[rota]],"/api/v1","")</f>
        <v>POST /pecas/</v>
      </c>
      <c r="C953" t="s">
        <v>33</v>
      </c>
      <c r="D953" t="s">
        <v>24</v>
      </c>
      <c r="E953" t="s">
        <v>25</v>
      </c>
      <c r="F953">
        <v>201</v>
      </c>
      <c r="G953" s="2">
        <v>27.35</v>
      </c>
      <c r="H953" s="1">
        <v>46166.641084745374</v>
      </c>
      <c r="I953" s="1">
        <v>46166.641085057869</v>
      </c>
      <c r="J953" t="s">
        <v>15</v>
      </c>
      <c r="K953" t="s">
        <v>16</v>
      </c>
      <c r="L953" s="1">
        <v>46166.641085069445</v>
      </c>
    </row>
    <row r="954" spans="1:12" x14ac:dyDescent="0.25">
      <c r="A954" t="s">
        <v>1271</v>
      </c>
      <c r="B954" t="str">
        <f>resultado_db_usuario_10[[#This Row],[metodo]]&amp;" "&amp;SUBSTITUTE(resultado_db_usuario_10[[#This Row],[rota]],"/api/v1","")</f>
        <v>POST /pecas/</v>
      </c>
      <c r="C954" t="s">
        <v>33</v>
      </c>
      <c r="D954" t="s">
        <v>24</v>
      </c>
      <c r="E954" t="s">
        <v>25</v>
      </c>
      <c r="F954">
        <v>201</v>
      </c>
      <c r="G954" s="2">
        <v>34.229999999999997</v>
      </c>
      <c r="H954" s="1">
        <v>46166.641085601848</v>
      </c>
      <c r="I954" s="1">
        <v>46166.641086006945</v>
      </c>
      <c r="J954" t="s">
        <v>15</v>
      </c>
      <c r="K954" t="s">
        <v>16</v>
      </c>
      <c r="L954" s="1">
        <v>46166.641086018521</v>
      </c>
    </row>
    <row r="955" spans="1:12" x14ac:dyDescent="0.25">
      <c r="A955" t="s">
        <v>1288</v>
      </c>
      <c r="B955" t="str">
        <f>resultado_db_usuario_10[[#This Row],[metodo]]&amp;" "&amp;SUBSTITUTE(resultado_db_usuario_10[[#This Row],[rota]],"/api/v1","")</f>
        <v>POST /pecas/</v>
      </c>
      <c r="C955" t="s">
        <v>33</v>
      </c>
      <c r="D955" t="s">
        <v>24</v>
      </c>
      <c r="E955" t="s">
        <v>25</v>
      </c>
      <c r="F955">
        <v>201</v>
      </c>
      <c r="G955" s="2">
        <v>34.840000000000003</v>
      </c>
      <c r="H955" s="1">
        <v>46166.641086053241</v>
      </c>
      <c r="I955" s="1">
        <v>46166.64108645833</v>
      </c>
      <c r="J955" t="s">
        <v>15</v>
      </c>
      <c r="K955" t="s">
        <v>16</v>
      </c>
      <c r="L955" s="1">
        <v>46166.641086469906</v>
      </c>
    </row>
    <row r="956" spans="1:12" x14ac:dyDescent="0.25">
      <c r="A956" t="s">
        <v>1306</v>
      </c>
      <c r="B956" t="str">
        <f>resultado_db_usuario_10[[#This Row],[metodo]]&amp;" "&amp;SUBSTITUTE(resultado_db_usuario_10[[#This Row],[rota]],"/api/v1","")</f>
        <v>POST /pecas/</v>
      </c>
      <c r="C956" t="s">
        <v>33</v>
      </c>
      <c r="D956" t="s">
        <v>24</v>
      </c>
      <c r="E956" t="s">
        <v>25</v>
      </c>
      <c r="F956">
        <v>201</v>
      </c>
      <c r="G956" s="2">
        <v>21.17</v>
      </c>
      <c r="H956" s="1">
        <v>46166.641086689815</v>
      </c>
      <c r="I956" s="1">
        <v>46166.641086932868</v>
      </c>
      <c r="J956" t="s">
        <v>15</v>
      </c>
      <c r="K956" t="s">
        <v>16</v>
      </c>
      <c r="L956" s="1">
        <v>46166.641086944444</v>
      </c>
    </row>
    <row r="957" spans="1:12" x14ac:dyDescent="0.25">
      <c r="A957" t="s">
        <v>1307</v>
      </c>
      <c r="B957" t="str">
        <f>resultado_db_usuario_10[[#This Row],[metodo]]&amp;" "&amp;SUBSTITUTE(resultado_db_usuario_10[[#This Row],[rota]],"/api/v1","")</f>
        <v>POST /pecas/</v>
      </c>
      <c r="C957" t="s">
        <v>33</v>
      </c>
      <c r="D957" t="s">
        <v>24</v>
      </c>
      <c r="E957" t="s">
        <v>25</v>
      </c>
      <c r="F957">
        <v>400</v>
      </c>
      <c r="G957" s="2">
        <v>19.77</v>
      </c>
      <c r="H957" s="1">
        <v>46166.641086724536</v>
      </c>
      <c r="I957" s="1">
        <v>46166.64108695602</v>
      </c>
      <c r="J957" t="s">
        <v>15</v>
      </c>
      <c r="K957" t="s">
        <v>16</v>
      </c>
      <c r="L957" s="1">
        <v>46166.641086967589</v>
      </c>
    </row>
    <row r="958" spans="1:12" x14ac:dyDescent="0.25">
      <c r="A958" t="s">
        <v>1309</v>
      </c>
      <c r="B958" t="str">
        <f>resultado_db_usuario_10[[#This Row],[metodo]]&amp;" "&amp;SUBSTITUTE(resultado_db_usuario_10[[#This Row],[rota]],"/api/v1","")</f>
        <v>POST /pecas/</v>
      </c>
      <c r="C958" t="s">
        <v>33</v>
      </c>
      <c r="D958" t="s">
        <v>24</v>
      </c>
      <c r="E958" t="s">
        <v>25</v>
      </c>
      <c r="F958">
        <v>400</v>
      </c>
      <c r="G958" s="2">
        <v>23.72</v>
      </c>
      <c r="H958" s="1">
        <v>46166.64108671296</v>
      </c>
      <c r="I958" s="1">
        <v>46166.641086990741</v>
      </c>
      <c r="J958" t="s">
        <v>15</v>
      </c>
      <c r="K958" t="s">
        <v>16</v>
      </c>
      <c r="L958" s="1">
        <v>46166.641087002317</v>
      </c>
    </row>
    <row r="959" spans="1:12" x14ac:dyDescent="0.25">
      <c r="A959" t="s">
        <v>1310</v>
      </c>
      <c r="B959" t="str">
        <f>resultado_db_usuario_10[[#This Row],[metodo]]&amp;" "&amp;SUBSTITUTE(resultado_db_usuario_10[[#This Row],[rota]],"/api/v1","")</f>
        <v>POST /pecas/</v>
      </c>
      <c r="C959" t="s">
        <v>33</v>
      </c>
      <c r="D959" t="s">
        <v>24</v>
      </c>
      <c r="E959" t="s">
        <v>25</v>
      </c>
      <c r="F959">
        <v>400</v>
      </c>
      <c r="G959" s="2">
        <v>23.18</v>
      </c>
      <c r="H959" s="1">
        <v>46166.641086747688</v>
      </c>
      <c r="I959" s="1">
        <v>46166.641087013886</v>
      </c>
      <c r="J959" t="s">
        <v>15</v>
      </c>
      <c r="K959" t="s">
        <v>16</v>
      </c>
      <c r="L959" s="1">
        <v>46166.641087025462</v>
      </c>
    </row>
    <row r="960" spans="1:12" x14ac:dyDescent="0.25">
      <c r="A960" t="s">
        <v>1311</v>
      </c>
      <c r="B960" t="str">
        <f>resultado_db_usuario_10[[#This Row],[metodo]]&amp;" "&amp;SUBSTITUTE(resultado_db_usuario_10[[#This Row],[rota]],"/api/v1","")</f>
        <v>POST /pecas/</v>
      </c>
      <c r="C960" t="s">
        <v>33</v>
      </c>
      <c r="D960" t="s">
        <v>24</v>
      </c>
      <c r="E960" t="s">
        <v>25</v>
      </c>
      <c r="F960">
        <v>400</v>
      </c>
      <c r="G960" s="2">
        <v>26.76</v>
      </c>
      <c r="H960" s="1">
        <v>46166.641086736112</v>
      </c>
      <c r="I960" s="1">
        <v>46166.641087037038</v>
      </c>
      <c r="J960" t="s">
        <v>15</v>
      </c>
      <c r="K960" t="s">
        <v>16</v>
      </c>
      <c r="L960" s="1">
        <v>46166.641087060183</v>
      </c>
    </row>
    <row r="961" spans="1:12" x14ac:dyDescent="0.25">
      <c r="A961" t="s">
        <v>1322</v>
      </c>
      <c r="B961" t="str">
        <f>resultado_db_usuario_10[[#This Row],[metodo]]&amp;" "&amp;SUBSTITUTE(resultado_db_usuario_10[[#This Row],[rota]],"/api/v1","")</f>
        <v>POST /pecas/</v>
      </c>
      <c r="C961" t="s">
        <v>33</v>
      </c>
      <c r="D961" t="s">
        <v>24</v>
      </c>
      <c r="E961" t="s">
        <v>25</v>
      </c>
      <c r="F961">
        <v>201</v>
      </c>
      <c r="G961" s="2">
        <v>35.229999999999997</v>
      </c>
      <c r="H961" s="1">
        <v>46166.6410869213</v>
      </c>
      <c r="I961" s="1">
        <v>46166.641087326389</v>
      </c>
      <c r="J961" t="s">
        <v>15</v>
      </c>
      <c r="K961" t="s">
        <v>16</v>
      </c>
      <c r="L961" s="1">
        <v>46166.641087337965</v>
      </c>
    </row>
    <row r="962" spans="1:12" x14ac:dyDescent="0.25">
      <c r="A962" t="s">
        <v>1350</v>
      </c>
      <c r="B962" t="str">
        <f>resultado_db_usuario_10[[#This Row],[metodo]]&amp;" "&amp;SUBSTITUTE(resultado_db_usuario_10[[#This Row],[rota]],"/api/v1","")</f>
        <v>POST /pecas/</v>
      </c>
      <c r="C962" t="s">
        <v>33</v>
      </c>
      <c r="D962" t="s">
        <v>24</v>
      </c>
      <c r="E962" t="s">
        <v>25</v>
      </c>
      <c r="F962">
        <v>201</v>
      </c>
      <c r="G962" s="2">
        <v>40.75</v>
      </c>
      <c r="H962" s="1">
        <v>46166.641087546297</v>
      </c>
      <c r="I962" s="1">
        <v>46166.641088020835</v>
      </c>
      <c r="J962" t="s">
        <v>15</v>
      </c>
      <c r="K962" t="s">
        <v>16</v>
      </c>
      <c r="L962" s="1">
        <v>46166.641088032404</v>
      </c>
    </row>
    <row r="963" spans="1:12" x14ac:dyDescent="0.25">
      <c r="A963" t="s">
        <v>1358</v>
      </c>
      <c r="B963" t="str">
        <f>resultado_db_usuario_10[[#This Row],[metodo]]&amp;" "&amp;SUBSTITUTE(resultado_db_usuario_10[[#This Row],[rota]],"/api/v1","")</f>
        <v>POST /pecas/</v>
      </c>
      <c r="C963" t="s">
        <v>33</v>
      </c>
      <c r="D963" t="s">
        <v>24</v>
      </c>
      <c r="E963" t="s">
        <v>25</v>
      </c>
      <c r="F963">
        <v>201</v>
      </c>
      <c r="G963" s="2">
        <v>44.02</v>
      </c>
      <c r="H963" s="1">
        <v>46166.641087928241</v>
      </c>
      <c r="I963" s="1">
        <v>46166.6410884375</v>
      </c>
      <c r="J963" t="s">
        <v>15</v>
      </c>
      <c r="K963" t="s">
        <v>16</v>
      </c>
      <c r="L963" s="1">
        <v>46166.641088449076</v>
      </c>
    </row>
    <row r="964" spans="1:12" x14ac:dyDescent="0.25">
      <c r="A964" t="s">
        <v>1385</v>
      </c>
      <c r="B964" t="str">
        <f>resultado_db_usuario_10[[#This Row],[metodo]]&amp;" "&amp;SUBSTITUTE(resultado_db_usuario_10[[#This Row],[rota]],"/api/v1","")</f>
        <v>POST /pecas/</v>
      </c>
      <c r="C964" t="s">
        <v>33</v>
      </c>
      <c r="D964" t="s">
        <v>24</v>
      </c>
      <c r="E964" t="s">
        <v>25</v>
      </c>
      <c r="F964">
        <v>201</v>
      </c>
      <c r="G964" s="2">
        <v>33.83</v>
      </c>
      <c r="H964" s="1">
        <v>46166.641088703705</v>
      </c>
      <c r="I964" s="1">
        <v>46166.641089097226</v>
      </c>
      <c r="J964" t="s">
        <v>15</v>
      </c>
      <c r="K964" t="s">
        <v>16</v>
      </c>
      <c r="L964" s="1">
        <v>46166.641089108794</v>
      </c>
    </row>
    <row r="965" spans="1:12" x14ac:dyDescent="0.25">
      <c r="A965" t="s">
        <v>1401</v>
      </c>
      <c r="B965" t="str">
        <f>resultado_db_usuario_10[[#This Row],[metodo]]&amp;" "&amp;SUBSTITUTE(resultado_db_usuario_10[[#This Row],[rota]],"/api/v1","")</f>
        <v>POST /pecas/</v>
      </c>
      <c r="C965" t="s">
        <v>33</v>
      </c>
      <c r="D965" t="s">
        <v>24</v>
      </c>
      <c r="E965" t="s">
        <v>25</v>
      </c>
      <c r="F965">
        <v>201</v>
      </c>
      <c r="G965" s="2">
        <v>37.46</v>
      </c>
      <c r="H965" s="1">
        <v>46166.641089143515</v>
      </c>
      <c r="I965" s="1">
        <v>46166.641089571756</v>
      </c>
      <c r="J965" t="s">
        <v>15</v>
      </c>
      <c r="K965" t="s">
        <v>16</v>
      </c>
      <c r="L965" s="1">
        <v>46166.641089594908</v>
      </c>
    </row>
    <row r="966" spans="1:12" x14ac:dyDescent="0.25">
      <c r="A966" t="s">
        <v>1409</v>
      </c>
      <c r="B966" t="str">
        <f>resultado_db_usuario_10[[#This Row],[metodo]]&amp;" "&amp;SUBSTITUTE(resultado_db_usuario_10[[#This Row],[rota]],"/api/v1","")</f>
        <v>POST /pecas/</v>
      </c>
      <c r="C966" t="s">
        <v>33</v>
      </c>
      <c r="D966" t="s">
        <v>24</v>
      </c>
      <c r="E966" t="s">
        <v>25</v>
      </c>
      <c r="F966">
        <v>201</v>
      </c>
      <c r="G966" s="2">
        <v>23.69</v>
      </c>
      <c r="H966" s="1">
        <v>46166.641089583332</v>
      </c>
      <c r="I966" s="1">
        <v>46166.641089861114</v>
      </c>
      <c r="J966" t="s">
        <v>15</v>
      </c>
      <c r="K966" t="s">
        <v>16</v>
      </c>
      <c r="L966" s="1">
        <v>46166.641089872683</v>
      </c>
    </row>
    <row r="967" spans="1:12" x14ac:dyDescent="0.25">
      <c r="A967" t="s">
        <v>1410</v>
      </c>
      <c r="B967" t="str">
        <f>resultado_db_usuario_10[[#This Row],[metodo]]&amp;" "&amp;SUBSTITUTE(resultado_db_usuario_10[[#This Row],[rota]],"/api/v1","")</f>
        <v>POST /pecas/</v>
      </c>
      <c r="C967" t="s">
        <v>33</v>
      </c>
      <c r="D967" t="s">
        <v>24</v>
      </c>
      <c r="E967" t="s">
        <v>25</v>
      </c>
      <c r="F967">
        <v>400</v>
      </c>
      <c r="G967" s="2">
        <v>25.68</v>
      </c>
      <c r="H967" s="1">
        <v>46166.641089594908</v>
      </c>
      <c r="I967" s="1">
        <v>46166.641089895835</v>
      </c>
      <c r="J967" t="s">
        <v>15</v>
      </c>
      <c r="K967" t="s">
        <v>16</v>
      </c>
      <c r="L967" s="1">
        <v>46166.641089907411</v>
      </c>
    </row>
    <row r="968" spans="1:12" x14ac:dyDescent="0.25">
      <c r="A968" t="s">
        <v>1411</v>
      </c>
      <c r="B968" t="str">
        <f>resultado_db_usuario_10[[#This Row],[metodo]]&amp;" "&amp;SUBSTITUTE(resultado_db_usuario_10[[#This Row],[rota]],"/api/v1","")</f>
        <v>POST /pecas/</v>
      </c>
      <c r="C968" t="s">
        <v>33</v>
      </c>
      <c r="D968" t="s">
        <v>24</v>
      </c>
      <c r="E968" t="s">
        <v>25</v>
      </c>
      <c r="F968">
        <v>400</v>
      </c>
      <c r="G968" s="2">
        <v>22.49</v>
      </c>
      <c r="H968" s="1">
        <v>46166.64108966435</v>
      </c>
      <c r="I968" s="1">
        <v>46166.64108991898</v>
      </c>
      <c r="J968" t="s">
        <v>15</v>
      </c>
      <c r="K968" t="s">
        <v>16</v>
      </c>
      <c r="L968" s="1">
        <v>46166.641089930556</v>
      </c>
    </row>
    <row r="969" spans="1:12" x14ac:dyDescent="0.25">
      <c r="A969" t="s">
        <v>1415</v>
      </c>
      <c r="B969" t="str">
        <f>resultado_db_usuario_10[[#This Row],[metodo]]&amp;" "&amp;SUBSTITUTE(resultado_db_usuario_10[[#This Row],[rota]],"/api/v1","")</f>
        <v>POST /pecas/</v>
      </c>
      <c r="C969" t="s">
        <v>33</v>
      </c>
      <c r="D969" t="s">
        <v>24</v>
      </c>
      <c r="E969" t="s">
        <v>25</v>
      </c>
      <c r="F969">
        <v>400</v>
      </c>
      <c r="G969" s="2">
        <v>23.5</v>
      </c>
      <c r="H969" s="1">
        <v>46166.641089699071</v>
      </c>
      <c r="I969" s="1">
        <v>46166.641089965276</v>
      </c>
      <c r="J969" t="s">
        <v>15</v>
      </c>
      <c r="K969" t="s">
        <v>16</v>
      </c>
      <c r="L969" s="1">
        <v>46166.641089988429</v>
      </c>
    </row>
    <row r="970" spans="1:12" x14ac:dyDescent="0.25">
      <c r="A970" t="s">
        <v>1429</v>
      </c>
      <c r="B970" t="str">
        <f>resultado_db_usuario_10[[#This Row],[metodo]]&amp;" "&amp;SUBSTITUTE(resultado_db_usuario_10[[#This Row],[rota]],"/api/v1","")</f>
        <v>POST /pecas/</v>
      </c>
      <c r="C970" t="s">
        <v>33</v>
      </c>
      <c r="D970" t="s">
        <v>24</v>
      </c>
      <c r="E970" t="s">
        <v>25</v>
      </c>
      <c r="F970">
        <v>201</v>
      </c>
      <c r="G970" s="2">
        <v>29.54</v>
      </c>
      <c r="H970" s="1">
        <v>46166.641089988429</v>
      </c>
      <c r="I970" s="1">
        <v>46166.641090335645</v>
      </c>
      <c r="J970" t="s">
        <v>15</v>
      </c>
      <c r="K970" t="s">
        <v>16</v>
      </c>
      <c r="L970" s="1">
        <v>46166.641090347221</v>
      </c>
    </row>
    <row r="971" spans="1:12" x14ac:dyDescent="0.25">
      <c r="A971" t="s">
        <v>1446</v>
      </c>
      <c r="B971" t="str">
        <f>resultado_db_usuario_10[[#This Row],[metodo]]&amp;" "&amp;SUBSTITUTE(resultado_db_usuario_10[[#This Row],[rota]],"/api/v1","")</f>
        <v>POST /pecas/</v>
      </c>
      <c r="C971" t="s">
        <v>33</v>
      </c>
      <c r="D971" t="s">
        <v>24</v>
      </c>
      <c r="E971" t="s">
        <v>25</v>
      </c>
      <c r="F971">
        <v>201</v>
      </c>
      <c r="G971" s="2">
        <v>25.82</v>
      </c>
      <c r="H971" s="1">
        <v>46166.641090555553</v>
      </c>
      <c r="I971" s="1">
        <v>46166.641090844911</v>
      </c>
      <c r="J971" t="s">
        <v>15</v>
      </c>
      <c r="K971" t="s">
        <v>16</v>
      </c>
      <c r="L971" s="1">
        <v>46166.641090868055</v>
      </c>
    </row>
    <row r="972" spans="1:12" x14ac:dyDescent="0.25">
      <c r="A972" t="s">
        <v>1459</v>
      </c>
      <c r="B972" t="str">
        <f>resultado_db_usuario_10[[#This Row],[metodo]]&amp;" "&amp;SUBSTITUTE(resultado_db_usuario_10[[#This Row],[rota]],"/api/v1","")</f>
        <v>POST /pecas/</v>
      </c>
      <c r="C972" t="s">
        <v>33</v>
      </c>
      <c r="D972" t="s">
        <v>24</v>
      </c>
      <c r="E972" t="s">
        <v>25</v>
      </c>
      <c r="F972">
        <v>201</v>
      </c>
      <c r="G972" s="2">
        <v>34.729999999999997</v>
      </c>
      <c r="H972" s="1">
        <v>46166.641090914352</v>
      </c>
      <c r="I972" s="1">
        <v>46166.641091307873</v>
      </c>
      <c r="J972" t="s">
        <v>15</v>
      </c>
      <c r="K972" t="s">
        <v>16</v>
      </c>
      <c r="L972" s="1">
        <v>46166.641091331017</v>
      </c>
    </row>
    <row r="973" spans="1:12" x14ac:dyDescent="0.25">
      <c r="A973" t="s">
        <v>1480</v>
      </c>
      <c r="B973" t="str">
        <f>resultado_db_usuario_10[[#This Row],[metodo]]&amp;" "&amp;SUBSTITUTE(resultado_db_usuario_10[[#This Row],[rota]],"/api/v1","")</f>
        <v>POST /pecas/</v>
      </c>
      <c r="C973" t="s">
        <v>33</v>
      </c>
      <c r="D973" t="s">
        <v>24</v>
      </c>
      <c r="E973" t="s">
        <v>25</v>
      </c>
      <c r="F973">
        <v>201</v>
      </c>
      <c r="G973" s="2">
        <v>29.65</v>
      </c>
      <c r="H973" s="1">
        <v>46166.641091527781</v>
      </c>
      <c r="I973" s="1">
        <v>46166.641091874997</v>
      </c>
      <c r="J973" t="s">
        <v>15</v>
      </c>
      <c r="K973" t="s">
        <v>16</v>
      </c>
      <c r="L973" s="1">
        <v>46166.641091898149</v>
      </c>
    </row>
    <row r="974" spans="1:12" x14ac:dyDescent="0.25">
      <c r="A974" t="s">
        <v>1493</v>
      </c>
      <c r="B974" t="str">
        <f>resultado_db_usuario_10[[#This Row],[metodo]]&amp;" "&amp;SUBSTITUTE(resultado_db_usuario_10[[#This Row],[rota]],"/api/v1","")</f>
        <v>POST /pecas/</v>
      </c>
      <c r="C974" t="s">
        <v>33</v>
      </c>
      <c r="D974" t="s">
        <v>24</v>
      </c>
      <c r="E974" t="s">
        <v>25</v>
      </c>
      <c r="F974">
        <v>201</v>
      </c>
      <c r="G974" s="2">
        <v>29.53</v>
      </c>
      <c r="H974" s="1">
        <v>46166.641091909725</v>
      </c>
      <c r="I974" s="1">
        <v>46166.641092245372</v>
      </c>
      <c r="J974" t="s">
        <v>15</v>
      </c>
      <c r="K974" t="s">
        <v>16</v>
      </c>
      <c r="L974" s="1">
        <v>46166.641092256941</v>
      </c>
    </row>
    <row r="975" spans="1:12" x14ac:dyDescent="0.25">
      <c r="A975" t="s">
        <v>1495</v>
      </c>
      <c r="B975" t="str">
        <f>resultado_db_usuario_10[[#This Row],[metodo]]&amp;" "&amp;SUBSTITUTE(resultado_db_usuario_10[[#This Row],[rota]],"/api/v1","")</f>
        <v>POST /pecas/</v>
      </c>
      <c r="C975" t="s">
        <v>33</v>
      </c>
      <c r="D975" t="s">
        <v>24</v>
      </c>
      <c r="E975" t="s">
        <v>25</v>
      </c>
      <c r="F975">
        <v>400</v>
      </c>
      <c r="G975" s="2">
        <v>23.23</v>
      </c>
      <c r="H975" s="1">
        <v>46166.641092094906</v>
      </c>
      <c r="I975" s="1">
        <v>46166.641092361111</v>
      </c>
      <c r="J975" t="s">
        <v>15</v>
      </c>
      <c r="K975" t="s">
        <v>16</v>
      </c>
      <c r="L975" s="1">
        <v>46166.641092372687</v>
      </c>
    </row>
    <row r="976" spans="1:12" x14ac:dyDescent="0.25">
      <c r="A976" t="s">
        <v>1503</v>
      </c>
      <c r="B976" t="str">
        <f>resultado_db_usuario_10[[#This Row],[metodo]]&amp;" "&amp;SUBSTITUTE(resultado_db_usuario_10[[#This Row],[rota]],"/api/v1","")</f>
        <v>POST /pecas/</v>
      </c>
      <c r="C976" t="s">
        <v>33</v>
      </c>
      <c r="D976" t="s">
        <v>24</v>
      </c>
      <c r="E976" t="s">
        <v>25</v>
      </c>
      <c r="F976">
        <v>201</v>
      </c>
      <c r="G976" s="2">
        <v>26.32</v>
      </c>
      <c r="H976" s="1">
        <v>46166.641092233796</v>
      </c>
      <c r="I976" s="1">
        <v>46166.641092546299</v>
      </c>
      <c r="J976" t="s">
        <v>15</v>
      </c>
      <c r="K976" t="s">
        <v>16</v>
      </c>
      <c r="L976" s="1">
        <v>46166.641092557868</v>
      </c>
    </row>
    <row r="977" spans="1:12" x14ac:dyDescent="0.25">
      <c r="A977" t="s">
        <v>1504</v>
      </c>
      <c r="B977" t="str">
        <f>resultado_db_usuario_10[[#This Row],[metodo]]&amp;" "&amp;SUBSTITUTE(resultado_db_usuario_10[[#This Row],[rota]],"/api/v1","")</f>
        <v>POST /pecas/</v>
      </c>
      <c r="C977" t="s">
        <v>33</v>
      </c>
      <c r="D977" t="s">
        <v>24</v>
      </c>
      <c r="E977" t="s">
        <v>25</v>
      </c>
      <c r="F977">
        <v>400</v>
      </c>
      <c r="G977" s="2">
        <v>26.66</v>
      </c>
      <c r="H977" s="1">
        <v>46166.641092268517</v>
      </c>
      <c r="I977" s="1">
        <v>46166.641092569444</v>
      </c>
      <c r="J977" t="s">
        <v>15</v>
      </c>
      <c r="K977" t="s">
        <v>16</v>
      </c>
      <c r="L977" s="1">
        <v>46166.641092592596</v>
      </c>
    </row>
    <row r="978" spans="1:12" x14ac:dyDescent="0.25">
      <c r="A978" t="s">
        <v>1524</v>
      </c>
      <c r="B978" t="str">
        <f>resultado_db_usuario_10[[#This Row],[metodo]]&amp;" "&amp;SUBSTITUTE(resultado_db_usuario_10[[#This Row],[rota]],"/api/v1","")</f>
        <v>POST /pecas/</v>
      </c>
      <c r="C978" t="s">
        <v>33</v>
      </c>
      <c r="D978" t="s">
        <v>24</v>
      </c>
      <c r="E978" t="s">
        <v>25</v>
      </c>
      <c r="F978">
        <v>201</v>
      </c>
      <c r="G978" s="2">
        <v>28.7</v>
      </c>
      <c r="H978" s="1">
        <v>46166.641092627317</v>
      </c>
      <c r="I978" s="1">
        <v>46166.641092951388</v>
      </c>
      <c r="J978" t="s">
        <v>15</v>
      </c>
      <c r="K978" t="s">
        <v>16</v>
      </c>
      <c r="L978" s="1">
        <v>46166.64109297454</v>
      </c>
    </row>
    <row r="979" spans="1:12" x14ac:dyDescent="0.25">
      <c r="A979" t="s">
        <v>1537</v>
      </c>
      <c r="B979" t="str">
        <f>resultado_db_usuario_10[[#This Row],[metodo]]&amp;" "&amp;SUBSTITUTE(resultado_db_usuario_10[[#This Row],[rota]],"/api/v1","")</f>
        <v>POST /pecas/</v>
      </c>
      <c r="C979" t="s">
        <v>33</v>
      </c>
      <c r="D979" t="s">
        <v>24</v>
      </c>
      <c r="E979" t="s">
        <v>25</v>
      </c>
      <c r="F979">
        <v>201</v>
      </c>
      <c r="G979" s="2">
        <v>35.92</v>
      </c>
      <c r="H979" s="1">
        <v>46166.641093032405</v>
      </c>
      <c r="I979" s="1">
        <v>46166.64109344907</v>
      </c>
      <c r="J979" t="s">
        <v>15</v>
      </c>
      <c r="K979" t="s">
        <v>16</v>
      </c>
      <c r="L979" s="1">
        <v>46166.641093460647</v>
      </c>
    </row>
    <row r="980" spans="1:12" x14ac:dyDescent="0.25">
      <c r="A980" t="s">
        <v>1552</v>
      </c>
      <c r="B980" t="str">
        <f>resultado_db_usuario_10[[#This Row],[metodo]]&amp;" "&amp;SUBSTITUTE(resultado_db_usuario_10[[#This Row],[rota]],"/api/v1","")</f>
        <v>POST /pecas/</v>
      </c>
      <c r="C980" t="s">
        <v>33</v>
      </c>
      <c r="D980" t="s">
        <v>24</v>
      </c>
      <c r="E980" t="s">
        <v>25</v>
      </c>
      <c r="F980">
        <v>201</v>
      </c>
      <c r="G980" s="2">
        <v>34.32</v>
      </c>
      <c r="H980" s="1">
        <v>46166.641093506943</v>
      </c>
      <c r="I980" s="1">
        <v>46166.641093900464</v>
      </c>
      <c r="J980" t="s">
        <v>15</v>
      </c>
      <c r="K980" t="s">
        <v>16</v>
      </c>
      <c r="L980" s="1">
        <v>46166.64109391204</v>
      </c>
    </row>
    <row r="981" spans="1:12" x14ac:dyDescent="0.25">
      <c r="A981" t="s">
        <v>1572</v>
      </c>
      <c r="B981" t="str">
        <f>resultado_db_usuario_10[[#This Row],[metodo]]&amp;" "&amp;SUBSTITUTE(resultado_db_usuario_10[[#This Row],[rota]],"/api/v1","")</f>
        <v>POST /pecas/</v>
      </c>
      <c r="C981" t="s">
        <v>33</v>
      </c>
      <c r="D981" t="s">
        <v>24</v>
      </c>
      <c r="E981" t="s">
        <v>25</v>
      </c>
      <c r="F981">
        <v>201</v>
      </c>
      <c r="G981" s="2">
        <v>22.87</v>
      </c>
      <c r="H981" s="1">
        <v>46166.641094166669</v>
      </c>
      <c r="I981" s="1">
        <v>46166.641094421298</v>
      </c>
      <c r="J981" t="s">
        <v>15</v>
      </c>
      <c r="K981" t="s">
        <v>16</v>
      </c>
      <c r="L981" s="1">
        <v>46166.641094444443</v>
      </c>
    </row>
    <row r="982" spans="1:12" x14ac:dyDescent="0.25">
      <c r="A982" t="s">
        <v>1581</v>
      </c>
      <c r="B982" t="str">
        <f>resultado_db_usuario_10[[#This Row],[metodo]]&amp;" "&amp;SUBSTITUTE(resultado_db_usuario_10[[#This Row],[rota]],"/api/v1","")</f>
        <v>POST /pecas/</v>
      </c>
      <c r="C982" t="s">
        <v>33</v>
      </c>
      <c r="D982" t="s">
        <v>24</v>
      </c>
      <c r="E982" t="s">
        <v>25</v>
      </c>
      <c r="F982">
        <v>201</v>
      </c>
      <c r="G982" s="2">
        <v>20.83</v>
      </c>
      <c r="H982" s="1">
        <v>46166.641094409722</v>
      </c>
      <c r="I982" s="1">
        <v>46166.641094652776</v>
      </c>
      <c r="J982" t="s">
        <v>15</v>
      </c>
      <c r="K982" t="s">
        <v>16</v>
      </c>
      <c r="L982" s="1">
        <v>46166.641094664352</v>
      </c>
    </row>
    <row r="983" spans="1:12" x14ac:dyDescent="0.25">
      <c r="A983" t="s">
        <v>1585</v>
      </c>
      <c r="B983" t="str">
        <f>resultado_db_usuario_10[[#This Row],[metodo]]&amp;" "&amp;SUBSTITUTE(resultado_db_usuario_10[[#This Row],[rota]],"/api/v1","")</f>
        <v>POST /pecas/</v>
      </c>
      <c r="C983" t="s">
        <v>33</v>
      </c>
      <c r="D983" t="s">
        <v>24</v>
      </c>
      <c r="E983" t="s">
        <v>25</v>
      </c>
      <c r="F983">
        <v>201</v>
      </c>
      <c r="G983" s="2">
        <v>20.04</v>
      </c>
      <c r="H983" s="1">
        <v>46166.641094560182</v>
      </c>
      <c r="I983" s="1">
        <v>46166.641094791667</v>
      </c>
      <c r="J983" t="s">
        <v>15</v>
      </c>
      <c r="K983" t="s">
        <v>16</v>
      </c>
      <c r="L983" s="1">
        <v>46166.641094803243</v>
      </c>
    </row>
    <row r="984" spans="1:12" x14ac:dyDescent="0.25">
      <c r="A984" t="s">
        <v>1586</v>
      </c>
      <c r="B984" t="str">
        <f>resultado_db_usuario_10[[#This Row],[metodo]]&amp;" "&amp;SUBSTITUTE(resultado_db_usuario_10[[#This Row],[rota]],"/api/v1","")</f>
        <v>POST /pecas/</v>
      </c>
      <c r="C984" t="s">
        <v>33</v>
      </c>
      <c r="D984" t="s">
        <v>24</v>
      </c>
      <c r="E984" t="s">
        <v>25</v>
      </c>
      <c r="F984">
        <v>400</v>
      </c>
      <c r="G984" s="2">
        <v>20.25</v>
      </c>
      <c r="H984" s="1">
        <v>46166.64109459491</v>
      </c>
      <c r="I984" s="1">
        <v>46166.641094826387</v>
      </c>
      <c r="J984" t="s">
        <v>15</v>
      </c>
      <c r="K984" t="s">
        <v>16</v>
      </c>
      <c r="L984" s="1">
        <v>46166.64109484954</v>
      </c>
    </row>
    <row r="985" spans="1:12" x14ac:dyDescent="0.25">
      <c r="A985" t="s">
        <v>1594</v>
      </c>
      <c r="B985" t="str">
        <f>resultado_db_usuario_10[[#This Row],[metodo]]&amp;" "&amp;SUBSTITUTE(resultado_db_usuario_10[[#This Row],[rota]],"/api/v1","")</f>
        <v>POST /pecas/</v>
      </c>
      <c r="C985" t="s">
        <v>33</v>
      </c>
      <c r="D985" t="s">
        <v>24</v>
      </c>
      <c r="E985" t="s">
        <v>25</v>
      </c>
      <c r="F985">
        <v>201</v>
      </c>
      <c r="G985" s="2">
        <v>26.97</v>
      </c>
      <c r="H985" s="1">
        <v>46166.641094733794</v>
      </c>
      <c r="I985" s="1">
        <v>46166.641095046296</v>
      </c>
      <c r="J985" t="s">
        <v>15</v>
      </c>
      <c r="K985" t="s">
        <v>16</v>
      </c>
      <c r="L985" s="1">
        <v>46166.641095057872</v>
      </c>
    </row>
    <row r="986" spans="1:12" x14ac:dyDescent="0.25">
      <c r="A986" t="s">
        <v>1604</v>
      </c>
      <c r="B986" t="str">
        <f>resultado_db_usuario_10[[#This Row],[metodo]]&amp;" "&amp;SUBSTITUTE(resultado_db_usuario_10[[#This Row],[rota]],"/api/v1","")</f>
        <v>POST /pecas/</v>
      </c>
      <c r="C986" t="s">
        <v>33</v>
      </c>
      <c r="D986" t="s">
        <v>24</v>
      </c>
      <c r="E986" t="s">
        <v>25</v>
      </c>
      <c r="F986">
        <v>201</v>
      </c>
      <c r="G986" s="2">
        <v>19.68</v>
      </c>
      <c r="H986" s="1">
        <v>46166.64109503472</v>
      </c>
      <c r="I986" s="1">
        <v>46166.641095254628</v>
      </c>
      <c r="J986" t="s">
        <v>15</v>
      </c>
      <c r="K986" t="s">
        <v>16</v>
      </c>
      <c r="L986" s="1">
        <v>46166.641095277781</v>
      </c>
    </row>
    <row r="987" spans="1:12" x14ac:dyDescent="0.25">
      <c r="A987" t="s">
        <v>1633</v>
      </c>
      <c r="B987" t="str">
        <f>resultado_db_usuario_10[[#This Row],[metodo]]&amp;" "&amp;SUBSTITUTE(resultado_db_usuario_10[[#This Row],[rota]],"/api/v1","")</f>
        <v>POST /pecas/</v>
      </c>
      <c r="C987" t="s">
        <v>33</v>
      </c>
      <c r="D987" t="s">
        <v>24</v>
      </c>
      <c r="E987" t="s">
        <v>25</v>
      </c>
      <c r="F987">
        <v>201</v>
      </c>
      <c r="G987" s="2">
        <v>18.16</v>
      </c>
      <c r="H987" s="1">
        <v>46166.641095960651</v>
      </c>
      <c r="I987" s="1">
        <v>46166.641096168983</v>
      </c>
      <c r="J987" t="s">
        <v>15</v>
      </c>
      <c r="K987" t="s">
        <v>16</v>
      </c>
      <c r="L987" s="1">
        <v>46166.641096180552</v>
      </c>
    </row>
    <row r="988" spans="1:12" x14ac:dyDescent="0.25">
      <c r="A988" t="s">
        <v>1649</v>
      </c>
      <c r="B988" t="str">
        <f>resultado_db_usuario_10[[#This Row],[metodo]]&amp;" "&amp;SUBSTITUTE(resultado_db_usuario_10[[#This Row],[rota]],"/api/v1","")</f>
        <v>POST /pecas/</v>
      </c>
      <c r="C988" t="s">
        <v>33</v>
      </c>
      <c r="D988" t="s">
        <v>24</v>
      </c>
      <c r="E988" t="s">
        <v>25</v>
      </c>
      <c r="F988">
        <v>201</v>
      </c>
      <c r="G988" s="2">
        <v>18.34</v>
      </c>
      <c r="H988" s="1">
        <v>46166.641096446758</v>
      </c>
      <c r="I988" s="1">
        <v>46166.641096666666</v>
      </c>
      <c r="J988" t="s">
        <v>15</v>
      </c>
      <c r="K988" t="s">
        <v>16</v>
      </c>
      <c r="L988" s="1">
        <v>46166.641096678242</v>
      </c>
    </row>
    <row r="989" spans="1:12" x14ac:dyDescent="0.25">
      <c r="A989" t="s">
        <v>1650</v>
      </c>
      <c r="B989" t="str">
        <f>resultado_db_usuario_10[[#This Row],[metodo]]&amp;" "&amp;SUBSTITUTE(resultado_db_usuario_10[[#This Row],[rota]],"/api/v1","")</f>
        <v>POST /pecas/</v>
      </c>
      <c r="C989" t="s">
        <v>33</v>
      </c>
      <c r="D989" t="s">
        <v>24</v>
      </c>
      <c r="E989" t="s">
        <v>25</v>
      </c>
      <c r="F989">
        <v>400</v>
      </c>
      <c r="G989" s="2">
        <v>10.37</v>
      </c>
      <c r="H989" s="1">
        <v>46166.641096574072</v>
      </c>
      <c r="I989" s="1">
        <v>46166.641096689818</v>
      </c>
      <c r="J989" t="s">
        <v>15</v>
      </c>
      <c r="K989" t="s">
        <v>16</v>
      </c>
      <c r="L989" s="1">
        <v>46166.641096701387</v>
      </c>
    </row>
    <row r="990" spans="1:12" x14ac:dyDescent="0.25">
      <c r="A990" t="s">
        <v>1659</v>
      </c>
      <c r="B990" t="str">
        <f>resultado_db_usuario_10[[#This Row],[metodo]]&amp;" "&amp;SUBSTITUTE(resultado_db_usuario_10[[#This Row],[rota]],"/api/v1","")</f>
        <v>POST /pecas/</v>
      </c>
      <c r="C990" t="s">
        <v>33</v>
      </c>
      <c r="D990" t="s">
        <v>24</v>
      </c>
      <c r="E990" t="s">
        <v>25</v>
      </c>
      <c r="F990">
        <v>201</v>
      </c>
      <c r="G990" s="2">
        <v>16.75</v>
      </c>
      <c r="H990" s="1">
        <v>46166.64109675926</v>
      </c>
      <c r="I990" s="1">
        <v>46166.641096956017</v>
      </c>
      <c r="J990" t="s">
        <v>15</v>
      </c>
      <c r="K990" t="s">
        <v>16</v>
      </c>
      <c r="L990" s="1">
        <v>46166.641096967593</v>
      </c>
    </row>
    <row r="991" spans="1:12" x14ac:dyDescent="0.25">
      <c r="A991" t="s">
        <v>1660</v>
      </c>
      <c r="B991" t="str">
        <f>resultado_db_usuario_10[[#This Row],[metodo]]&amp;" "&amp;SUBSTITUTE(resultado_db_usuario_10[[#This Row],[rota]],"/api/v1","")</f>
        <v>POST /pecas/</v>
      </c>
      <c r="C991" t="s">
        <v>33</v>
      </c>
      <c r="D991" t="s">
        <v>24</v>
      </c>
      <c r="E991" t="s">
        <v>25</v>
      </c>
      <c r="F991">
        <v>400</v>
      </c>
      <c r="G991" s="2">
        <v>18.14</v>
      </c>
      <c r="H991" s="1">
        <v>46166.641096770836</v>
      </c>
      <c r="I991" s="1">
        <v>46166.641096979169</v>
      </c>
      <c r="J991" t="s">
        <v>15</v>
      </c>
      <c r="K991" t="s">
        <v>16</v>
      </c>
      <c r="L991" s="1">
        <v>46166.641096990737</v>
      </c>
    </row>
    <row r="992" spans="1:12" x14ac:dyDescent="0.25">
      <c r="A992" t="s">
        <v>1673</v>
      </c>
      <c r="B992" t="str">
        <f>resultado_db_usuario_10[[#This Row],[metodo]]&amp;" "&amp;SUBSTITUTE(resultado_db_usuario_10[[#This Row],[rota]],"/api/v1","")</f>
        <v>POST /pecas/</v>
      </c>
      <c r="C992" t="s">
        <v>33</v>
      </c>
      <c r="D992" t="s">
        <v>24</v>
      </c>
      <c r="E992" t="s">
        <v>25</v>
      </c>
      <c r="F992">
        <v>201</v>
      </c>
      <c r="G992" s="2">
        <v>13.17</v>
      </c>
      <c r="H992" s="1">
        <v>46166.64109715278</v>
      </c>
      <c r="I992" s="1">
        <v>46166.64109730324</v>
      </c>
      <c r="J992" t="s">
        <v>15</v>
      </c>
      <c r="K992" t="s">
        <v>16</v>
      </c>
      <c r="L992" s="1">
        <v>46166.641097314816</v>
      </c>
    </row>
    <row r="993" spans="1:12" x14ac:dyDescent="0.25">
      <c r="A993" t="s">
        <v>1695</v>
      </c>
      <c r="B993" t="str">
        <f>resultado_db_usuario_10[[#This Row],[metodo]]&amp;" "&amp;SUBSTITUTE(resultado_db_usuario_10[[#This Row],[rota]],"/api/v1","")</f>
        <v>POST /pecas/</v>
      </c>
      <c r="C993" t="s">
        <v>33</v>
      </c>
      <c r="D993" t="s">
        <v>24</v>
      </c>
      <c r="E993" t="s">
        <v>25</v>
      </c>
      <c r="F993">
        <v>201</v>
      </c>
      <c r="G993" s="2">
        <v>10.57</v>
      </c>
      <c r="H993" s="1">
        <v>46166.641097858796</v>
      </c>
      <c r="I993" s="1">
        <v>46166.64109798611</v>
      </c>
      <c r="J993" t="s">
        <v>15</v>
      </c>
      <c r="K993" t="s">
        <v>16</v>
      </c>
      <c r="L993" s="1">
        <v>46166.641097997686</v>
      </c>
    </row>
    <row r="994" spans="1:12" x14ac:dyDescent="0.25">
      <c r="A994" t="s">
        <v>1711</v>
      </c>
      <c r="B994" t="str">
        <f>resultado_db_usuario_10[[#This Row],[metodo]]&amp;" "&amp;SUBSTITUTE(resultado_db_usuario_10[[#This Row],[rota]],"/api/v1","")</f>
        <v>POST /pecas/</v>
      </c>
      <c r="C994" t="s">
        <v>33</v>
      </c>
      <c r="D994" t="s">
        <v>24</v>
      </c>
      <c r="E994" t="s">
        <v>25</v>
      </c>
      <c r="F994">
        <v>201</v>
      </c>
      <c r="G994" s="2">
        <v>17.3</v>
      </c>
      <c r="H994" s="1">
        <v>46166.641098263892</v>
      </c>
      <c r="I994" s="1">
        <v>46166.641098460648</v>
      </c>
      <c r="J994" t="s">
        <v>15</v>
      </c>
      <c r="K994" t="s">
        <v>16</v>
      </c>
      <c r="L994" s="1">
        <v>46166.641098483793</v>
      </c>
    </row>
    <row r="995" spans="1:12" x14ac:dyDescent="0.25">
      <c r="A995" t="s">
        <v>1712</v>
      </c>
      <c r="B995" t="str">
        <f>resultado_db_usuario_10[[#This Row],[metodo]]&amp;" "&amp;SUBSTITUTE(resultado_db_usuario_10[[#This Row],[rota]],"/api/v1","")</f>
        <v>POST /pecas/</v>
      </c>
      <c r="C995" t="s">
        <v>33</v>
      </c>
      <c r="D995" t="s">
        <v>24</v>
      </c>
      <c r="E995" t="s">
        <v>25</v>
      </c>
      <c r="F995">
        <v>400</v>
      </c>
      <c r="G995" s="2">
        <v>12.19</v>
      </c>
      <c r="H995" s="1">
        <v>46166.641098356478</v>
      </c>
      <c r="I995" s="1">
        <v>46166.641098495369</v>
      </c>
      <c r="J995" t="s">
        <v>15</v>
      </c>
      <c r="K995" t="s">
        <v>16</v>
      </c>
      <c r="L995" s="1">
        <v>46166.641098506945</v>
      </c>
    </row>
    <row r="996" spans="1:12" x14ac:dyDescent="0.25">
      <c r="A996" t="s">
        <v>1717</v>
      </c>
      <c r="B996" t="str">
        <f>resultado_db_usuario_10[[#This Row],[metodo]]&amp;" "&amp;SUBSTITUTE(resultado_db_usuario_10[[#This Row],[rota]],"/api/v1","")</f>
        <v>POST /pecas/</v>
      </c>
      <c r="C996" t="s">
        <v>33</v>
      </c>
      <c r="D996" t="s">
        <v>24</v>
      </c>
      <c r="E996" t="s">
        <v>25</v>
      </c>
      <c r="F996">
        <v>201</v>
      </c>
      <c r="G996" s="2">
        <v>15.08</v>
      </c>
      <c r="H996" s="1">
        <v>46166.641098449072</v>
      </c>
      <c r="I996" s="1">
        <v>46166.641098622684</v>
      </c>
      <c r="J996" t="s">
        <v>15</v>
      </c>
      <c r="K996" t="s">
        <v>16</v>
      </c>
      <c r="L996" s="1">
        <v>46166.64109863426</v>
      </c>
    </row>
    <row r="997" spans="1:12" x14ac:dyDescent="0.25">
      <c r="A997" t="s">
        <v>1732</v>
      </c>
      <c r="B997" t="str">
        <f>resultado_db_usuario_10[[#This Row],[metodo]]&amp;" "&amp;SUBSTITUTE(resultado_db_usuario_10[[#This Row],[rota]],"/api/v1","")</f>
        <v>POST /pecas/</v>
      </c>
      <c r="C997" t="s">
        <v>33</v>
      </c>
      <c r="D997" t="s">
        <v>24</v>
      </c>
      <c r="E997" t="s">
        <v>25</v>
      </c>
      <c r="F997">
        <v>201</v>
      </c>
      <c r="G997" s="2">
        <v>11.36</v>
      </c>
      <c r="H997" s="1">
        <v>46166.641098865737</v>
      </c>
      <c r="I997" s="1">
        <v>46166.641098993059</v>
      </c>
      <c r="J997" t="s">
        <v>15</v>
      </c>
      <c r="K997" t="s">
        <v>16</v>
      </c>
      <c r="L997" s="1">
        <v>46166.641099016204</v>
      </c>
    </row>
    <row r="998" spans="1:12" x14ac:dyDescent="0.25">
      <c r="A998" t="s">
        <v>1744</v>
      </c>
      <c r="B998" t="str">
        <f>resultado_db_usuario_10[[#This Row],[metodo]]&amp;" "&amp;SUBSTITUTE(resultado_db_usuario_10[[#This Row],[rota]],"/api/v1","")</f>
        <v>POST /pecas/</v>
      </c>
      <c r="C998" t="s">
        <v>33</v>
      </c>
      <c r="D998" t="s">
        <v>24</v>
      </c>
      <c r="E998" t="s">
        <v>25</v>
      </c>
      <c r="F998">
        <v>201</v>
      </c>
      <c r="G998" s="2">
        <v>9.41</v>
      </c>
      <c r="H998" s="1">
        <v>46166.641099270833</v>
      </c>
      <c r="I998" s="1">
        <v>46166.641099375003</v>
      </c>
      <c r="J998" t="s">
        <v>15</v>
      </c>
      <c r="K998" t="s">
        <v>16</v>
      </c>
      <c r="L998" s="1">
        <v>46166.641099398148</v>
      </c>
    </row>
    <row r="999" spans="1:12" x14ac:dyDescent="0.25">
      <c r="A999" t="s">
        <v>1753</v>
      </c>
      <c r="B999" t="str">
        <f>resultado_db_usuario_10[[#This Row],[metodo]]&amp;" "&amp;SUBSTITUTE(resultado_db_usuario_10[[#This Row],[rota]],"/api/v1","")</f>
        <v>POST /pecas/</v>
      </c>
      <c r="C999" t="s">
        <v>33</v>
      </c>
      <c r="D999" t="s">
        <v>24</v>
      </c>
      <c r="E999" t="s">
        <v>25</v>
      </c>
      <c r="F999">
        <v>201</v>
      </c>
      <c r="G999" s="2">
        <v>8.1300000000000008</v>
      </c>
      <c r="H999" s="1">
        <v>46166.641099548608</v>
      </c>
      <c r="I999" s="1">
        <v>46166.641099641201</v>
      </c>
      <c r="J999" t="s">
        <v>15</v>
      </c>
      <c r="K999" t="s">
        <v>16</v>
      </c>
      <c r="L999" s="1">
        <v>46166.641099652777</v>
      </c>
    </row>
    <row r="1000" spans="1:12" x14ac:dyDescent="0.25">
      <c r="A1000" t="s">
        <v>1766</v>
      </c>
      <c r="B1000" t="str">
        <f>resultado_db_usuario_10[[#This Row],[metodo]]&amp;" "&amp;SUBSTITUTE(resultado_db_usuario_10[[#This Row],[rota]],"/api/v1","")</f>
        <v>POST /pecas/</v>
      </c>
      <c r="C1000" t="s">
        <v>33</v>
      </c>
      <c r="D1000" t="s">
        <v>24</v>
      </c>
      <c r="E1000" t="s">
        <v>25</v>
      </c>
      <c r="F1000">
        <v>201</v>
      </c>
      <c r="G1000" s="2">
        <v>8.7899999999999991</v>
      </c>
      <c r="H1000" s="1">
        <v>46166.641099907407</v>
      </c>
      <c r="I1000" s="1">
        <v>46166.641100011577</v>
      </c>
      <c r="J1000" t="s">
        <v>15</v>
      </c>
      <c r="K1000" t="s">
        <v>16</v>
      </c>
      <c r="L1000" s="1">
        <v>46166.641100023146</v>
      </c>
    </row>
    <row r="1001" spans="1:12" x14ac:dyDescent="0.25">
      <c r="A1001" t="s">
        <v>1773</v>
      </c>
      <c r="B1001" t="str">
        <f>resultado_db_usuario_10[[#This Row],[metodo]]&amp;" "&amp;SUBSTITUTE(resultado_db_usuario_10[[#This Row],[rota]],"/api/v1","")</f>
        <v>POST /pecas/</v>
      </c>
      <c r="C1001" t="s">
        <v>33</v>
      </c>
      <c r="D1001" t="s">
        <v>24</v>
      </c>
      <c r="E1001" t="s">
        <v>25</v>
      </c>
      <c r="F1001">
        <v>201</v>
      </c>
      <c r="G1001" s="2">
        <v>10.32</v>
      </c>
      <c r="H1001" s="1">
        <v>46166.64110015046</v>
      </c>
      <c r="I1001" s="1">
        <v>46166.641100266206</v>
      </c>
      <c r="J1001" t="s">
        <v>15</v>
      </c>
      <c r="K1001" t="s">
        <v>16</v>
      </c>
      <c r="L1001" s="1">
        <v>46166.641100289351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DE7E-AD8C-43F3-AEBA-2A1E8704B4A4}">
  <dimension ref="B2:R15"/>
  <sheetViews>
    <sheetView topLeftCell="E1" workbookViewId="0">
      <selection activeCell="F22" sqref="F22"/>
    </sheetView>
  </sheetViews>
  <sheetFormatPr defaultRowHeight="15" x14ac:dyDescent="0.25"/>
  <cols>
    <col min="1" max="1" width="3.7109375" customWidth="1"/>
    <col min="2" max="2" width="19.85546875" bestFit="1" customWidth="1"/>
    <col min="3" max="3" width="26.5703125" bestFit="1" customWidth="1"/>
    <col min="4" max="4" width="22" bestFit="1" customWidth="1"/>
    <col min="5" max="5" width="20.28515625" bestFit="1" customWidth="1"/>
    <col min="6" max="6" width="20.5703125" bestFit="1" customWidth="1"/>
    <col min="7" max="7" width="3.7109375" customWidth="1"/>
    <col min="8" max="8" width="19.85546875" bestFit="1" customWidth="1"/>
    <col min="9" max="9" width="26.5703125" bestFit="1" customWidth="1"/>
    <col min="10" max="10" width="22" bestFit="1" customWidth="1"/>
    <col min="11" max="11" width="20.28515625" bestFit="1" customWidth="1"/>
    <col min="12" max="12" width="20.5703125" bestFit="1" customWidth="1"/>
    <col min="13" max="13" width="3.7109375" customWidth="1"/>
    <col min="14" max="14" width="19.85546875" bestFit="1" customWidth="1"/>
    <col min="15" max="15" width="23.5703125" bestFit="1" customWidth="1"/>
    <col min="16" max="16" width="20.5703125" bestFit="1" customWidth="1"/>
    <col min="17" max="17" width="19" bestFit="1" customWidth="1"/>
    <col min="18" max="18" width="19.28515625" bestFit="1" customWidth="1"/>
  </cols>
  <sheetData>
    <row r="2" spans="2:18" x14ac:dyDescent="0.25">
      <c r="B2" s="5" t="s">
        <v>1798</v>
      </c>
      <c r="H2" s="5" t="s">
        <v>1799</v>
      </c>
      <c r="N2" s="5" t="s">
        <v>1800</v>
      </c>
    </row>
    <row r="4" spans="2:18" x14ac:dyDescent="0.25">
      <c r="B4" s="3" t="s">
        <v>1791</v>
      </c>
      <c r="C4" t="s">
        <v>1794</v>
      </c>
      <c r="D4" t="s">
        <v>1795</v>
      </c>
      <c r="E4" t="s">
        <v>1797</v>
      </c>
      <c r="F4" t="s">
        <v>1796</v>
      </c>
      <c r="H4" s="3" t="s">
        <v>1791</v>
      </c>
      <c r="I4" t="s">
        <v>1794</v>
      </c>
      <c r="J4" t="s">
        <v>1795</v>
      </c>
      <c r="K4" t="s">
        <v>1797</v>
      </c>
      <c r="L4" t="s">
        <v>1796</v>
      </c>
      <c r="N4" s="3" t="s">
        <v>1777</v>
      </c>
      <c r="O4" t="s">
        <v>1789</v>
      </c>
      <c r="P4" t="s">
        <v>1790</v>
      </c>
      <c r="Q4" t="s">
        <v>1793</v>
      </c>
      <c r="R4" t="s">
        <v>1792</v>
      </c>
    </row>
    <row r="5" spans="2:18" x14ac:dyDescent="0.25">
      <c r="B5" s="4" t="s">
        <v>1778</v>
      </c>
      <c r="C5">
        <v>10</v>
      </c>
      <c r="D5">
        <v>6.2829999999999995</v>
      </c>
      <c r="E5">
        <v>5.43</v>
      </c>
      <c r="F5">
        <v>7.46</v>
      </c>
      <c r="H5" s="4" t="s">
        <v>1778</v>
      </c>
      <c r="I5">
        <v>50</v>
      </c>
      <c r="J5">
        <v>11.177346938775509</v>
      </c>
      <c r="K5">
        <v>4.7300000000000004</v>
      </c>
      <c r="L5">
        <v>26.4</v>
      </c>
      <c r="N5" s="4" t="s">
        <v>1778</v>
      </c>
      <c r="O5">
        <v>100</v>
      </c>
      <c r="P5">
        <v>11.298888888888888</v>
      </c>
      <c r="Q5">
        <v>3.03</v>
      </c>
      <c r="R5">
        <v>22.6</v>
      </c>
    </row>
    <row r="6" spans="2:18" x14ac:dyDescent="0.25">
      <c r="B6" s="4" t="s">
        <v>1779</v>
      </c>
      <c r="C6">
        <v>10</v>
      </c>
      <c r="D6">
        <v>16.418999999999997</v>
      </c>
      <c r="E6">
        <v>13.69</v>
      </c>
      <c r="F6">
        <v>24.57</v>
      </c>
      <c r="H6" s="4" t="s">
        <v>1779</v>
      </c>
      <c r="I6">
        <v>50</v>
      </c>
      <c r="J6">
        <v>29.008775510204078</v>
      </c>
      <c r="K6">
        <v>14.3</v>
      </c>
      <c r="L6">
        <v>68.8</v>
      </c>
      <c r="N6" s="4" t="s">
        <v>1779</v>
      </c>
      <c r="O6">
        <v>100</v>
      </c>
      <c r="P6">
        <v>24.023877551020409</v>
      </c>
      <c r="Q6">
        <v>8.58</v>
      </c>
      <c r="R6">
        <v>49.95</v>
      </c>
    </row>
    <row r="7" spans="2:18" x14ac:dyDescent="0.25">
      <c r="B7" s="4" t="s">
        <v>1780</v>
      </c>
      <c r="C7">
        <v>10</v>
      </c>
      <c r="D7">
        <v>6.8519999999999994</v>
      </c>
      <c r="E7">
        <v>5.31</v>
      </c>
      <c r="F7">
        <v>10.18</v>
      </c>
      <c r="H7" s="4" t="s">
        <v>1780</v>
      </c>
      <c r="I7">
        <v>50</v>
      </c>
      <c r="J7">
        <v>12.089599999999995</v>
      </c>
      <c r="K7">
        <v>5.32</v>
      </c>
      <c r="L7">
        <v>27.8</v>
      </c>
      <c r="N7" s="4" t="s">
        <v>1780</v>
      </c>
      <c r="O7">
        <v>100</v>
      </c>
      <c r="P7">
        <v>10.693200000000001</v>
      </c>
      <c r="Q7">
        <v>3.54</v>
      </c>
      <c r="R7">
        <v>23.96</v>
      </c>
    </row>
    <row r="8" spans="2:18" x14ac:dyDescent="0.25">
      <c r="B8" s="4" t="s">
        <v>1781</v>
      </c>
      <c r="C8">
        <v>10</v>
      </c>
      <c r="D8">
        <v>3.653</v>
      </c>
      <c r="E8">
        <v>3.07</v>
      </c>
      <c r="F8">
        <v>4.4000000000000004</v>
      </c>
      <c r="H8" s="4" t="s">
        <v>1781</v>
      </c>
      <c r="I8">
        <v>50</v>
      </c>
      <c r="J8">
        <v>8.3803999999999998</v>
      </c>
      <c r="K8">
        <v>2.81</v>
      </c>
      <c r="L8">
        <v>21.38</v>
      </c>
      <c r="N8" s="4" t="s">
        <v>1781</v>
      </c>
      <c r="O8">
        <v>100</v>
      </c>
      <c r="P8">
        <v>8.4299000000000017</v>
      </c>
      <c r="Q8">
        <v>2.21</v>
      </c>
      <c r="R8">
        <v>22.66</v>
      </c>
    </row>
    <row r="9" spans="2:18" x14ac:dyDescent="0.25">
      <c r="B9" s="4" t="s">
        <v>1782</v>
      </c>
      <c r="C9">
        <v>10</v>
      </c>
      <c r="D9">
        <v>4.3599999999999994</v>
      </c>
      <c r="E9">
        <v>3.35</v>
      </c>
      <c r="F9">
        <v>5.56</v>
      </c>
      <c r="H9" s="4" t="s">
        <v>1782</v>
      </c>
      <c r="I9">
        <v>50</v>
      </c>
      <c r="J9">
        <v>8.9308000000000032</v>
      </c>
      <c r="K9">
        <v>3.22</v>
      </c>
      <c r="L9">
        <v>23.63</v>
      </c>
      <c r="N9" s="4" t="s">
        <v>1782</v>
      </c>
      <c r="O9">
        <v>100</v>
      </c>
      <c r="P9">
        <v>8.9392929292929288</v>
      </c>
      <c r="Q9">
        <v>2.58</v>
      </c>
      <c r="R9">
        <v>20.04</v>
      </c>
    </row>
    <row r="10" spans="2:18" x14ac:dyDescent="0.25">
      <c r="B10" s="4" t="s">
        <v>1783</v>
      </c>
      <c r="C10">
        <v>10</v>
      </c>
      <c r="D10">
        <v>2.7030000000000003</v>
      </c>
      <c r="E10">
        <v>2.14</v>
      </c>
      <c r="F10">
        <v>3.55</v>
      </c>
      <c r="H10" s="4" t="s">
        <v>1783</v>
      </c>
      <c r="I10">
        <v>50</v>
      </c>
      <c r="J10">
        <v>7.0683673469387749</v>
      </c>
      <c r="K10">
        <v>2.71</v>
      </c>
      <c r="L10">
        <v>17.11</v>
      </c>
      <c r="N10" s="4" t="s">
        <v>1783</v>
      </c>
      <c r="O10">
        <v>100</v>
      </c>
      <c r="P10">
        <v>8.2624657534246566</v>
      </c>
      <c r="Q10">
        <v>1.75</v>
      </c>
      <c r="R10">
        <v>19.86</v>
      </c>
    </row>
    <row r="11" spans="2:18" x14ac:dyDescent="0.25">
      <c r="B11" s="4" t="s">
        <v>1784</v>
      </c>
      <c r="C11">
        <v>10</v>
      </c>
      <c r="D11">
        <v>4.6660000000000004</v>
      </c>
      <c r="E11">
        <v>3.53</v>
      </c>
      <c r="F11">
        <v>5.28</v>
      </c>
      <c r="H11" s="4" t="s">
        <v>1784</v>
      </c>
      <c r="I11">
        <v>50</v>
      </c>
      <c r="J11">
        <v>8.2169999999999987</v>
      </c>
      <c r="K11">
        <v>3.12</v>
      </c>
      <c r="L11">
        <v>25.96</v>
      </c>
      <c r="N11" s="4" t="s">
        <v>1784</v>
      </c>
      <c r="O11">
        <v>100</v>
      </c>
      <c r="P11">
        <v>9.9797979797979774</v>
      </c>
      <c r="Q11">
        <v>2.33</v>
      </c>
      <c r="R11">
        <v>32.97</v>
      </c>
    </row>
    <row r="12" spans="2:18" x14ac:dyDescent="0.25">
      <c r="B12" s="4" t="s">
        <v>1785</v>
      </c>
      <c r="C12">
        <v>10</v>
      </c>
      <c r="D12">
        <v>3.7530000000000001</v>
      </c>
      <c r="E12">
        <v>2.72</v>
      </c>
      <c r="F12">
        <v>4.4800000000000004</v>
      </c>
      <c r="H12" s="4" t="s">
        <v>1785</v>
      </c>
      <c r="I12">
        <v>50</v>
      </c>
      <c r="J12">
        <v>7.3926000000000007</v>
      </c>
      <c r="K12">
        <v>3.48</v>
      </c>
      <c r="L12">
        <v>35.07</v>
      </c>
      <c r="N12" s="4" t="s">
        <v>1785</v>
      </c>
      <c r="O12">
        <v>100</v>
      </c>
      <c r="P12">
        <v>9.0695959595959597</v>
      </c>
      <c r="Q12">
        <v>1.96</v>
      </c>
      <c r="R12">
        <v>25.09</v>
      </c>
    </row>
    <row r="13" spans="2:18" x14ac:dyDescent="0.25">
      <c r="B13" s="4" t="s">
        <v>1786</v>
      </c>
      <c r="C13">
        <v>10</v>
      </c>
      <c r="D13">
        <v>10.416</v>
      </c>
      <c r="E13">
        <v>8.3699999999999992</v>
      </c>
      <c r="F13">
        <v>12.61</v>
      </c>
      <c r="H13" s="4" t="s">
        <v>1786</v>
      </c>
      <c r="I13">
        <v>50</v>
      </c>
      <c r="J13">
        <v>15.658775510204078</v>
      </c>
      <c r="K13">
        <v>3.15</v>
      </c>
      <c r="L13">
        <v>49.08</v>
      </c>
      <c r="N13" s="4" t="s">
        <v>1786</v>
      </c>
      <c r="O13">
        <v>100</v>
      </c>
      <c r="P13">
        <v>21.09152777777777</v>
      </c>
      <c r="Q13">
        <v>5.46</v>
      </c>
      <c r="R13">
        <v>43.58</v>
      </c>
    </row>
    <row r="14" spans="2:18" x14ac:dyDescent="0.25">
      <c r="B14" s="4" t="s">
        <v>1787</v>
      </c>
      <c r="C14">
        <v>10</v>
      </c>
      <c r="D14">
        <v>11.621</v>
      </c>
      <c r="E14">
        <v>9.18</v>
      </c>
      <c r="F14">
        <v>18.97</v>
      </c>
      <c r="H14" s="4" t="s">
        <v>1787</v>
      </c>
      <c r="I14">
        <v>50</v>
      </c>
      <c r="J14">
        <v>21.053673469387757</v>
      </c>
      <c r="K14">
        <v>8.49</v>
      </c>
      <c r="L14">
        <v>37.49</v>
      </c>
      <c r="N14" s="4" t="s">
        <v>1787</v>
      </c>
      <c r="O14">
        <v>100</v>
      </c>
      <c r="P14">
        <v>25.583434343434337</v>
      </c>
      <c r="Q14">
        <v>7.5</v>
      </c>
      <c r="R14">
        <v>47.6</v>
      </c>
    </row>
    <row r="15" spans="2:18" x14ac:dyDescent="0.25">
      <c r="B15" s="4" t="s">
        <v>1788</v>
      </c>
      <c r="C15">
        <v>100</v>
      </c>
      <c r="D15">
        <v>7.1000000000000023</v>
      </c>
      <c r="E15">
        <v>2.14</v>
      </c>
      <c r="F15">
        <v>24.57</v>
      </c>
      <c r="H15" s="4" t="s">
        <v>1788</v>
      </c>
      <c r="I15">
        <v>500</v>
      </c>
      <c r="J15">
        <v>12.858383838383839</v>
      </c>
      <c r="K15">
        <v>2.71</v>
      </c>
      <c r="L15">
        <v>68.8</v>
      </c>
      <c r="N15" s="4" t="s">
        <v>1788</v>
      </c>
      <c r="O15">
        <v>1000</v>
      </c>
      <c r="P15">
        <v>13.727288693743143</v>
      </c>
      <c r="Q15">
        <v>1.75</v>
      </c>
      <c r="R15">
        <v>49.95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3FB9-B9C0-4B4A-AB07-F587C5400018}">
  <dimension ref="B2:AS16"/>
  <sheetViews>
    <sheetView workbookViewId="0">
      <selection activeCell="E34" sqref="E34"/>
    </sheetView>
  </sheetViews>
  <sheetFormatPr defaultRowHeight="15" x14ac:dyDescent="0.25"/>
  <cols>
    <col min="1" max="1" width="3.7109375" customWidth="1"/>
    <col min="2" max="2" width="20.7109375" customWidth="1"/>
    <col min="3" max="12" width="10.7109375" customWidth="1"/>
    <col min="13" max="13" width="15.7109375" customWidth="1"/>
    <col min="14" max="15" width="10.7109375" customWidth="1"/>
    <col min="16" max="16" width="3.7109375" customWidth="1"/>
    <col min="17" max="17" width="20.7109375" customWidth="1"/>
    <col min="18" max="27" width="10.7109375" customWidth="1"/>
    <col min="28" max="28" width="15.7109375" customWidth="1"/>
    <col min="29" max="30" width="10.7109375" customWidth="1"/>
    <col min="31" max="31" width="3.7109375" customWidth="1"/>
    <col min="32" max="32" width="20.7109375" customWidth="1"/>
    <col min="33" max="42" width="10.7109375" customWidth="1"/>
    <col min="43" max="43" width="15.7109375" customWidth="1"/>
    <col min="44" max="45" width="10.7109375" customWidth="1"/>
  </cols>
  <sheetData>
    <row r="2" spans="2:45" x14ac:dyDescent="0.25">
      <c r="B2" s="5" t="s">
        <v>1798</v>
      </c>
      <c r="Q2" s="5" t="s">
        <v>1799</v>
      </c>
      <c r="AF2" s="5" t="s">
        <v>1800</v>
      </c>
    </row>
    <row r="4" spans="2:45" x14ac:dyDescent="0.25">
      <c r="B4" s="9" t="s">
        <v>1812</v>
      </c>
      <c r="C4" s="55" t="s">
        <v>1817</v>
      </c>
      <c r="D4" s="56"/>
      <c r="E4" s="57"/>
      <c r="F4" s="55" t="s">
        <v>1825</v>
      </c>
      <c r="G4" s="56"/>
      <c r="H4" s="56"/>
      <c r="I4" s="56"/>
      <c r="J4" s="56"/>
      <c r="K4" s="56"/>
      <c r="L4" s="57"/>
      <c r="M4" s="9" t="s">
        <v>1827</v>
      </c>
      <c r="N4" s="56" t="s">
        <v>1830</v>
      </c>
      <c r="O4" s="57"/>
      <c r="Q4" s="9" t="s">
        <v>1812</v>
      </c>
      <c r="R4" s="55" t="s">
        <v>1817</v>
      </c>
      <c r="S4" s="56"/>
      <c r="T4" s="57"/>
      <c r="U4" s="55" t="s">
        <v>1825</v>
      </c>
      <c r="V4" s="56"/>
      <c r="W4" s="56"/>
      <c r="X4" s="56"/>
      <c r="Y4" s="56"/>
      <c r="Z4" s="56"/>
      <c r="AA4" s="57"/>
      <c r="AB4" s="9" t="s">
        <v>1827</v>
      </c>
      <c r="AC4" s="56" t="s">
        <v>1830</v>
      </c>
      <c r="AD4" s="57"/>
      <c r="AF4" s="9" t="s">
        <v>1812</v>
      </c>
      <c r="AG4" s="55" t="s">
        <v>1817</v>
      </c>
      <c r="AH4" s="56"/>
      <c r="AI4" s="57"/>
      <c r="AJ4" s="55" t="s">
        <v>1825</v>
      </c>
      <c r="AK4" s="56"/>
      <c r="AL4" s="56"/>
      <c r="AM4" s="56"/>
      <c r="AN4" s="56"/>
      <c r="AO4" s="56"/>
      <c r="AP4" s="57"/>
      <c r="AQ4" s="9" t="s">
        <v>1827</v>
      </c>
      <c r="AR4" s="56" t="s">
        <v>1830</v>
      </c>
      <c r="AS4" s="57"/>
    </row>
    <row r="5" spans="2:45" x14ac:dyDescent="0.25">
      <c r="B5" s="10" t="s">
        <v>1813</v>
      </c>
      <c r="C5" s="6" t="s">
        <v>1814</v>
      </c>
      <c r="D5" s="7" t="s">
        <v>1815</v>
      </c>
      <c r="E5" s="8" t="s">
        <v>1816</v>
      </c>
      <c r="F5" s="6" t="s">
        <v>1818</v>
      </c>
      <c r="G5" s="7" t="s">
        <v>1819</v>
      </c>
      <c r="H5" s="7" t="s">
        <v>1820</v>
      </c>
      <c r="I5" s="7" t="s">
        <v>1821</v>
      </c>
      <c r="J5" s="7" t="s">
        <v>1822</v>
      </c>
      <c r="K5" s="7" t="s">
        <v>1823</v>
      </c>
      <c r="L5" s="8" t="s">
        <v>1824</v>
      </c>
      <c r="M5" s="10" t="s">
        <v>1826</v>
      </c>
      <c r="N5" s="7" t="s">
        <v>1828</v>
      </c>
      <c r="O5" s="8" t="s">
        <v>1829</v>
      </c>
      <c r="Q5" s="10" t="s">
        <v>1813</v>
      </c>
      <c r="R5" s="6" t="s">
        <v>1814</v>
      </c>
      <c r="S5" s="7" t="s">
        <v>1815</v>
      </c>
      <c r="T5" s="8" t="s">
        <v>1816</v>
      </c>
      <c r="U5" s="6" t="s">
        <v>1818</v>
      </c>
      <c r="V5" s="7" t="s">
        <v>1819</v>
      </c>
      <c r="W5" s="7" t="s">
        <v>1820</v>
      </c>
      <c r="X5" s="7" t="s">
        <v>1821</v>
      </c>
      <c r="Y5" s="7" t="s">
        <v>1822</v>
      </c>
      <c r="Z5" s="7" t="s">
        <v>1823</v>
      </c>
      <c r="AA5" s="8" t="s">
        <v>1824</v>
      </c>
      <c r="AB5" s="10" t="s">
        <v>1826</v>
      </c>
      <c r="AC5" s="7" t="s">
        <v>1828</v>
      </c>
      <c r="AD5" s="8" t="s">
        <v>1829</v>
      </c>
      <c r="AF5" s="10" t="s">
        <v>1813</v>
      </c>
      <c r="AG5" s="6" t="s">
        <v>1814</v>
      </c>
      <c r="AH5" s="7" t="s">
        <v>1815</v>
      </c>
      <c r="AI5" s="8" t="s">
        <v>1816</v>
      </c>
      <c r="AJ5" s="6" t="s">
        <v>1818</v>
      </c>
      <c r="AK5" s="7" t="s">
        <v>1819</v>
      </c>
      <c r="AL5" s="7" t="s">
        <v>1820</v>
      </c>
      <c r="AM5" s="7" t="s">
        <v>1821</v>
      </c>
      <c r="AN5" s="7" t="s">
        <v>1822</v>
      </c>
      <c r="AO5" s="7" t="s">
        <v>1823</v>
      </c>
      <c r="AP5" s="8" t="s">
        <v>1824</v>
      </c>
      <c r="AQ5" s="10" t="s">
        <v>1826</v>
      </c>
      <c r="AR5" s="7" t="s">
        <v>1828</v>
      </c>
      <c r="AS5" s="8" t="s">
        <v>1829</v>
      </c>
    </row>
    <row r="6" spans="2:45" x14ac:dyDescent="0.25">
      <c r="B6" s="11" t="s">
        <v>1811</v>
      </c>
      <c r="C6" s="14">
        <v>100</v>
      </c>
      <c r="D6" s="15">
        <v>0</v>
      </c>
      <c r="E6" s="16">
        <v>0</v>
      </c>
      <c r="F6" s="23">
        <v>8.49</v>
      </c>
      <c r="G6" s="24">
        <v>3</v>
      </c>
      <c r="H6" s="24">
        <v>26</v>
      </c>
      <c r="I6" s="24">
        <v>7</v>
      </c>
      <c r="J6" s="24">
        <v>14.9</v>
      </c>
      <c r="K6" s="24">
        <v>18</v>
      </c>
      <c r="L6" s="25">
        <v>25.95</v>
      </c>
      <c r="M6" s="31">
        <v>112.49</v>
      </c>
      <c r="N6" s="23">
        <v>412.76</v>
      </c>
      <c r="O6" s="25">
        <v>22.35</v>
      </c>
      <c r="Q6" s="11" t="s">
        <v>1811</v>
      </c>
      <c r="R6" s="14">
        <v>500</v>
      </c>
      <c r="S6" s="15">
        <v>40</v>
      </c>
      <c r="T6" s="16">
        <v>0.08</v>
      </c>
      <c r="U6" s="23">
        <v>19.940000000000001</v>
      </c>
      <c r="V6" s="24">
        <v>3</v>
      </c>
      <c r="W6" s="24">
        <v>71</v>
      </c>
      <c r="X6" s="24">
        <v>17</v>
      </c>
      <c r="Y6" s="24">
        <v>34</v>
      </c>
      <c r="Z6" s="24">
        <v>42</v>
      </c>
      <c r="AA6" s="25">
        <v>54.99</v>
      </c>
      <c r="AB6" s="31">
        <v>185.32</v>
      </c>
      <c r="AC6" s="23">
        <v>683.8</v>
      </c>
      <c r="AD6" s="25">
        <v>37.04</v>
      </c>
      <c r="AF6" s="11" t="s">
        <v>1811</v>
      </c>
      <c r="AG6" s="14">
        <v>1000</v>
      </c>
      <c r="AH6" s="15">
        <v>108</v>
      </c>
      <c r="AI6" s="16">
        <v>0.108</v>
      </c>
      <c r="AJ6" s="23">
        <v>21.69</v>
      </c>
      <c r="AK6" s="24">
        <v>2</v>
      </c>
      <c r="AL6" s="24">
        <v>66</v>
      </c>
      <c r="AM6" s="24">
        <v>20</v>
      </c>
      <c r="AN6" s="24">
        <v>37</v>
      </c>
      <c r="AO6" s="24">
        <v>43</v>
      </c>
      <c r="AP6" s="25">
        <v>55</v>
      </c>
      <c r="AQ6" s="31">
        <v>332.23</v>
      </c>
      <c r="AR6" s="23">
        <v>1232.46</v>
      </c>
      <c r="AS6" s="25">
        <v>66.53</v>
      </c>
    </row>
    <row r="7" spans="2:45" x14ac:dyDescent="0.25">
      <c r="B7" s="12" t="s">
        <v>1801</v>
      </c>
      <c r="C7" s="17">
        <v>10</v>
      </c>
      <c r="D7" s="18">
        <v>0</v>
      </c>
      <c r="E7" s="19">
        <v>0</v>
      </c>
      <c r="F7" s="26">
        <v>7.9</v>
      </c>
      <c r="G7" s="2">
        <v>7</v>
      </c>
      <c r="H7" s="2">
        <v>11</v>
      </c>
      <c r="I7" s="2">
        <v>7.5</v>
      </c>
      <c r="J7" s="2">
        <v>10.8</v>
      </c>
      <c r="K7" s="2">
        <v>11</v>
      </c>
      <c r="L7" s="27">
        <v>11</v>
      </c>
      <c r="M7" s="32">
        <v>12.53</v>
      </c>
      <c r="N7" s="26">
        <v>2.0299999999999998</v>
      </c>
      <c r="O7" s="27">
        <v>2.2799999999999998</v>
      </c>
      <c r="Q7" s="12" t="s">
        <v>1801</v>
      </c>
      <c r="R7" s="17">
        <v>50</v>
      </c>
      <c r="S7" s="18">
        <v>10</v>
      </c>
      <c r="T7" s="19">
        <v>0.2</v>
      </c>
      <c r="U7" s="26">
        <v>18.14</v>
      </c>
      <c r="V7" s="2">
        <v>7</v>
      </c>
      <c r="W7" s="2">
        <v>42</v>
      </c>
      <c r="X7" s="2">
        <v>16.5</v>
      </c>
      <c r="Y7" s="2">
        <v>28.9</v>
      </c>
      <c r="Z7" s="2">
        <v>33</v>
      </c>
      <c r="AA7" s="27">
        <v>42</v>
      </c>
      <c r="AB7" s="32">
        <v>19.309999999999999</v>
      </c>
      <c r="AC7" s="26">
        <v>3.66</v>
      </c>
      <c r="AD7" s="27">
        <v>3.56</v>
      </c>
      <c r="AF7" s="12" t="s">
        <v>1801</v>
      </c>
      <c r="AG7" s="17">
        <v>100</v>
      </c>
      <c r="AH7" s="18">
        <v>27</v>
      </c>
      <c r="AI7" s="19">
        <v>0.27</v>
      </c>
      <c r="AJ7" s="26">
        <v>19.11</v>
      </c>
      <c r="AK7" s="2">
        <v>5</v>
      </c>
      <c r="AL7" s="2">
        <v>45</v>
      </c>
      <c r="AM7" s="2">
        <v>20</v>
      </c>
      <c r="AN7" s="2">
        <v>26.9</v>
      </c>
      <c r="AO7" s="2">
        <v>28.95</v>
      </c>
      <c r="AP7" s="27">
        <v>44.9</v>
      </c>
      <c r="AQ7" s="32">
        <v>33.92</v>
      </c>
      <c r="AR7" s="26">
        <v>6.77</v>
      </c>
      <c r="AS7" s="27">
        <v>6.3</v>
      </c>
    </row>
    <row r="8" spans="2:45" x14ac:dyDescent="0.25">
      <c r="B8" s="12" t="s">
        <v>1802</v>
      </c>
      <c r="C8" s="17">
        <v>10</v>
      </c>
      <c r="D8" s="18">
        <v>0</v>
      </c>
      <c r="E8" s="19">
        <v>0</v>
      </c>
      <c r="F8" s="26">
        <v>17.899999999999999</v>
      </c>
      <c r="G8" s="2">
        <v>14</v>
      </c>
      <c r="H8" s="2">
        <v>26</v>
      </c>
      <c r="I8" s="2">
        <v>17.5</v>
      </c>
      <c r="J8" s="2">
        <v>25.3</v>
      </c>
      <c r="K8" s="2">
        <v>26</v>
      </c>
      <c r="L8" s="27">
        <v>26</v>
      </c>
      <c r="M8" s="32">
        <v>12.22</v>
      </c>
      <c r="N8" s="26">
        <v>173.8</v>
      </c>
      <c r="O8" s="27">
        <v>1.97</v>
      </c>
      <c r="Q8" s="12" t="s">
        <v>1802</v>
      </c>
      <c r="R8" s="17">
        <v>50</v>
      </c>
      <c r="S8" s="18">
        <v>0</v>
      </c>
      <c r="T8" s="19">
        <v>0</v>
      </c>
      <c r="U8" s="26">
        <v>36.36</v>
      </c>
      <c r="V8" s="2">
        <v>17</v>
      </c>
      <c r="W8" s="2">
        <v>71</v>
      </c>
      <c r="X8" s="2">
        <v>34.5</v>
      </c>
      <c r="Y8" s="2">
        <v>52</v>
      </c>
      <c r="Z8" s="2">
        <v>58.8</v>
      </c>
      <c r="AA8" s="27">
        <v>71</v>
      </c>
      <c r="AB8" s="32">
        <v>18.96</v>
      </c>
      <c r="AC8" s="26">
        <v>274.5</v>
      </c>
      <c r="AD8" s="27">
        <v>3.06</v>
      </c>
      <c r="AF8" s="12" t="s">
        <v>1802</v>
      </c>
      <c r="AG8" s="17">
        <v>100</v>
      </c>
      <c r="AH8" s="18">
        <v>0</v>
      </c>
      <c r="AI8" s="19">
        <v>0</v>
      </c>
      <c r="AJ8" s="26">
        <v>31.86</v>
      </c>
      <c r="AK8" s="2">
        <v>11</v>
      </c>
      <c r="AL8" s="2">
        <v>66</v>
      </c>
      <c r="AM8" s="2">
        <v>31</v>
      </c>
      <c r="AN8" s="2">
        <v>48</v>
      </c>
      <c r="AO8" s="2">
        <v>54.95</v>
      </c>
      <c r="AP8" s="27">
        <v>65.95</v>
      </c>
      <c r="AQ8" s="32">
        <v>33.81</v>
      </c>
      <c r="AR8" s="26">
        <v>496.86</v>
      </c>
      <c r="AS8" s="27">
        <v>5.45</v>
      </c>
    </row>
    <row r="9" spans="2:45" x14ac:dyDescent="0.25">
      <c r="B9" s="12" t="s">
        <v>1803</v>
      </c>
      <c r="C9" s="17">
        <v>10</v>
      </c>
      <c r="D9" s="18">
        <v>0</v>
      </c>
      <c r="E9" s="19">
        <v>0</v>
      </c>
      <c r="F9" s="26">
        <v>8.5</v>
      </c>
      <c r="G9" s="2">
        <v>7</v>
      </c>
      <c r="H9" s="2">
        <v>11</v>
      </c>
      <c r="I9" s="2">
        <v>8</v>
      </c>
      <c r="J9" s="2">
        <v>10.9</v>
      </c>
      <c r="K9" s="2">
        <v>11</v>
      </c>
      <c r="L9" s="27">
        <v>11</v>
      </c>
      <c r="M9" s="32">
        <v>12.35</v>
      </c>
      <c r="N9" s="26">
        <v>43.79</v>
      </c>
      <c r="O9" s="27">
        <v>1.95</v>
      </c>
      <c r="Q9" s="12" t="s">
        <v>1803</v>
      </c>
      <c r="R9" s="17">
        <v>50</v>
      </c>
      <c r="S9" s="18">
        <v>0</v>
      </c>
      <c r="T9" s="19">
        <v>0</v>
      </c>
      <c r="U9" s="26">
        <v>20.5</v>
      </c>
      <c r="V9" s="2">
        <v>8</v>
      </c>
      <c r="W9" s="2">
        <v>42</v>
      </c>
      <c r="X9" s="2">
        <v>20</v>
      </c>
      <c r="Y9" s="2">
        <v>30.9</v>
      </c>
      <c r="Z9" s="2">
        <v>41</v>
      </c>
      <c r="AA9" s="27">
        <v>42</v>
      </c>
      <c r="AB9" s="32">
        <v>19.16</v>
      </c>
      <c r="AC9" s="26">
        <v>67.95</v>
      </c>
      <c r="AD9" s="27">
        <v>3.03</v>
      </c>
      <c r="AF9" s="12" t="s">
        <v>1803</v>
      </c>
      <c r="AG9" s="17">
        <v>100</v>
      </c>
      <c r="AH9" s="18">
        <v>0</v>
      </c>
      <c r="AI9" s="19">
        <v>0</v>
      </c>
      <c r="AJ9" s="26">
        <v>20.11</v>
      </c>
      <c r="AK9" s="2">
        <v>5</v>
      </c>
      <c r="AL9" s="2">
        <v>42</v>
      </c>
      <c r="AM9" s="2">
        <v>20</v>
      </c>
      <c r="AN9" s="2">
        <v>30.8</v>
      </c>
      <c r="AO9" s="2">
        <v>34</v>
      </c>
      <c r="AP9" s="27">
        <v>41.99</v>
      </c>
      <c r="AQ9" s="32">
        <v>33.97</v>
      </c>
      <c r="AR9" s="26">
        <v>120.48</v>
      </c>
      <c r="AS9" s="27">
        <v>5.37</v>
      </c>
    </row>
    <row r="10" spans="2:45" x14ac:dyDescent="0.25">
      <c r="B10" s="12" t="s">
        <v>1804</v>
      </c>
      <c r="C10" s="17">
        <v>10</v>
      </c>
      <c r="D10" s="18">
        <v>0</v>
      </c>
      <c r="E10" s="19">
        <v>0</v>
      </c>
      <c r="F10" s="26">
        <v>5.7</v>
      </c>
      <c r="G10" s="2">
        <v>5</v>
      </c>
      <c r="H10" s="2">
        <v>9</v>
      </c>
      <c r="I10" s="2">
        <v>5</v>
      </c>
      <c r="J10" s="2">
        <v>8.6999999999999993</v>
      </c>
      <c r="K10" s="2">
        <v>9</v>
      </c>
      <c r="L10" s="27">
        <v>9</v>
      </c>
      <c r="M10" s="32">
        <v>12.41</v>
      </c>
      <c r="N10" s="26">
        <v>26.18</v>
      </c>
      <c r="O10" s="27">
        <v>2.04</v>
      </c>
      <c r="Q10" s="12" t="s">
        <v>1804</v>
      </c>
      <c r="R10" s="17">
        <v>50</v>
      </c>
      <c r="S10" s="18">
        <v>0</v>
      </c>
      <c r="T10" s="19">
        <v>0</v>
      </c>
      <c r="U10" s="26">
        <v>16.64</v>
      </c>
      <c r="V10" s="2">
        <v>5</v>
      </c>
      <c r="W10" s="2">
        <v>42</v>
      </c>
      <c r="X10" s="2">
        <v>15.5</v>
      </c>
      <c r="Y10" s="2">
        <v>28</v>
      </c>
      <c r="Z10" s="2">
        <v>34.799999999999997</v>
      </c>
      <c r="AA10" s="27">
        <v>42</v>
      </c>
      <c r="AB10" s="32">
        <v>19.16</v>
      </c>
      <c r="AC10" s="26">
        <v>40.44</v>
      </c>
      <c r="AD10" s="27">
        <v>3.14</v>
      </c>
      <c r="AF10" s="12" t="s">
        <v>1804</v>
      </c>
      <c r="AG10" s="17">
        <v>100</v>
      </c>
      <c r="AH10" s="18">
        <v>0</v>
      </c>
      <c r="AI10" s="19">
        <v>0</v>
      </c>
      <c r="AJ10" s="26">
        <v>17.05</v>
      </c>
      <c r="AK10" s="2">
        <v>4</v>
      </c>
      <c r="AL10" s="2">
        <v>40</v>
      </c>
      <c r="AM10" s="2">
        <v>18</v>
      </c>
      <c r="AN10" s="2">
        <v>23.9</v>
      </c>
      <c r="AO10" s="2">
        <v>32.700000000000003</v>
      </c>
      <c r="AP10" s="27">
        <v>39.97</v>
      </c>
      <c r="AQ10" s="32">
        <v>33.97</v>
      </c>
      <c r="AR10" s="26">
        <v>71.680000000000007</v>
      </c>
      <c r="AS10" s="27">
        <v>5.57</v>
      </c>
    </row>
    <row r="11" spans="2:45" x14ac:dyDescent="0.25">
      <c r="B11" s="12" t="s">
        <v>1805</v>
      </c>
      <c r="C11" s="17">
        <v>10</v>
      </c>
      <c r="D11" s="18">
        <v>0</v>
      </c>
      <c r="E11" s="19">
        <v>0</v>
      </c>
      <c r="F11" s="26">
        <v>5.6</v>
      </c>
      <c r="G11" s="2">
        <v>4</v>
      </c>
      <c r="H11" s="2">
        <v>7</v>
      </c>
      <c r="I11" s="2">
        <v>6</v>
      </c>
      <c r="J11" s="2">
        <v>7</v>
      </c>
      <c r="K11" s="2">
        <v>7</v>
      </c>
      <c r="L11" s="27">
        <v>7</v>
      </c>
      <c r="M11" s="32">
        <v>12.39</v>
      </c>
      <c r="N11" s="26">
        <v>37.1</v>
      </c>
      <c r="O11" s="27">
        <v>1.95</v>
      </c>
      <c r="Q11" s="12" t="s">
        <v>1805</v>
      </c>
      <c r="R11" s="17">
        <v>50</v>
      </c>
      <c r="S11" s="18">
        <v>0</v>
      </c>
      <c r="T11" s="19">
        <v>0</v>
      </c>
      <c r="U11" s="26">
        <v>15.94</v>
      </c>
      <c r="V11" s="2">
        <v>4</v>
      </c>
      <c r="W11" s="2">
        <v>54</v>
      </c>
      <c r="X11" s="2">
        <v>13</v>
      </c>
      <c r="Y11" s="2">
        <v>27.8</v>
      </c>
      <c r="Z11" s="2">
        <v>33</v>
      </c>
      <c r="AA11" s="27">
        <v>54</v>
      </c>
      <c r="AB11" s="32">
        <v>19.18</v>
      </c>
      <c r="AC11" s="26">
        <v>57.43</v>
      </c>
      <c r="AD11" s="27">
        <v>3.02</v>
      </c>
      <c r="AF11" s="12" t="s">
        <v>1805</v>
      </c>
      <c r="AG11" s="17">
        <v>100</v>
      </c>
      <c r="AH11" s="18">
        <v>0</v>
      </c>
      <c r="AI11" s="19">
        <v>0</v>
      </c>
      <c r="AJ11" s="26">
        <v>16.52</v>
      </c>
      <c r="AK11" s="2">
        <v>4</v>
      </c>
      <c r="AL11" s="2">
        <v>38</v>
      </c>
      <c r="AM11" s="2">
        <v>17.5</v>
      </c>
      <c r="AN11" s="2">
        <v>25</v>
      </c>
      <c r="AO11" s="2">
        <v>27.95</v>
      </c>
      <c r="AP11" s="27">
        <v>38</v>
      </c>
      <c r="AQ11" s="32">
        <v>33.97</v>
      </c>
      <c r="AR11" s="26">
        <v>101.7</v>
      </c>
      <c r="AS11" s="27">
        <v>5.34</v>
      </c>
    </row>
    <row r="12" spans="2:45" x14ac:dyDescent="0.25">
      <c r="B12" s="12" t="s">
        <v>1806</v>
      </c>
      <c r="C12" s="17">
        <v>10</v>
      </c>
      <c r="D12" s="18">
        <v>0</v>
      </c>
      <c r="E12" s="19">
        <v>0</v>
      </c>
      <c r="F12" s="26">
        <v>3.8</v>
      </c>
      <c r="G12" s="2">
        <v>3</v>
      </c>
      <c r="H12" s="2">
        <v>6</v>
      </c>
      <c r="I12" s="2">
        <v>3.5</v>
      </c>
      <c r="J12" s="2">
        <v>5.9</v>
      </c>
      <c r="K12" s="2">
        <v>6</v>
      </c>
      <c r="L12" s="27">
        <v>6</v>
      </c>
      <c r="M12" s="32">
        <v>12.59</v>
      </c>
      <c r="N12" s="26">
        <v>7.2</v>
      </c>
      <c r="O12" s="27">
        <v>2.02</v>
      </c>
      <c r="Q12" s="12" t="s">
        <v>1806</v>
      </c>
      <c r="R12" s="17">
        <v>50</v>
      </c>
      <c r="S12" s="18">
        <v>10</v>
      </c>
      <c r="T12" s="19">
        <v>0.2</v>
      </c>
      <c r="U12" s="26">
        <v>12.7</v>
      </c>
      <c r="V12" s="2">
        <v>3</v>
      </c>
      <c r="W12" s="2">
        <v>34</v>
      </c>
      <c r="X12" s="2">
        <v>10.5</v>
      </c>
      <c r="Y12" s="2">
        <v>24</v>
      </c>
      <c r="Z12" s="2">
        <v>31.35</v>
      </c>
      <c r="AA12" s="27">
        <v>34</v>
      </c>
      <c r="AB12" s="32">
        <v>19.329999999999998</v>
      </c>
      <c r="AC12" s="26">
        <v>10.02</v>
      </c>
      <c r="AD12" s="27">
        <v>3.15</v>
      </c>
      <c r="AF12" s="12" t="s">
        <v>1806</v>
      </c>
      <c r="AG12" s="17">
        <v>100</v>
      </c>
      <c r="AH12" s="18">
        <v>27</v>
      </c>
      <c r="AI12" s="19">
        <v>0.27</v>
      </c>
      <c r="AJ12" s="26">
        <v>16.260000000000002</v>
      </c>
      <c r="AK12" s="2">
        <v>2</v>
      </c>
      <c r="AL12" s="2">
        <v>38</v>
      </c>
      <c r="AM12" s="2">
        <v>18</v>
      </c>
      <c r="AN12" s="2">
        <v>23.9</v>
      </c>
      <c r="AO12" s="2">
        <v>25.95</v>
      </c>
      <c r="AP12" s="27">
        <v>37.94</v>
      </c>
      <c r="AQ12" s="32">
        <v>33.94</v>
      </c>
      <c r="AR12" s="26">
        <v>16.96</v>
      </c>
      <c r="AS12" s="27">
        <v>5.57</v>
      </c>
    </row>
    <row r="13" spans="2:45" x14ac:dyDescent="0.25">
      <c r="B13" s="12" t="s">
        <v>1807</v>
      </c>
      <c r="C13" s="17">
        <v>10</v>
      </c>
      <c r="D13" s="18">
        <v>0</v>
      </c>
      <c r="E13" s="19">
        <v>0</v>
      </c>
      <c r="F13" s="26">
        <v>5.6</v>
      </c>
      <c r="G13" s="2">
        <v>5</v>
      </c>
      <c r="H13" s="2">
        <v>7</v>
      </c>
      <c r="I13" s="2">
        <v>5.5</v>
      </c>
      <c r="J13" s="2">
        <v>6.9</v>
      </c>
      <c r="K13" s="2">
        <v>7</v>
      </c>
      <c r="L13" s="27">
        <v>7</v>
      </c>
      <c r="M13" s="32">
        <v>12.39</v>
      </c>
      <c r="N13" s="26">
        <v>112.9</v>
      </c>
      <c r="O13" s="27">
        <v>2.0099999999999998</v>
      </c>
      <c r="Q13" s="12" t="s">
        <v>1807</v>
      </c>
      <c r="R13" s="17">
        <v>50</v>
      </c>
      <c r="S13" s="18">
        <v>0</v>
      </c>
      <c r="T13" s="19">
        <v>0</v>
      </c>
      <c r="U13" s="26">
        <v>15.44</v>
      </c>
      <c r="V13" s="2">
        <v>4</v>
      </c>
      <c r="W13" s="2">
        <v>50</v>
      </c>
      <c r="X13" s="2">
        <v>12.5</v>
      </c>
      <c r="Y13" s="2">
        <v>25.8</v>
      </c>
      <c r="Z13" s="2">
        <v>37.9</v>
      </c>
      <c r="AA13" s="27">
        <v>50</v>
      </c>
      <c r="AB13" s="32">
        <v>19.2</v>
      </c>
      <c r="AC13" s="26">
        <v>174.95</v>
      </c>
      <c r="AD13" s="27">
        <v>3.11</v>
      </c>
      <c r="AF13" s="12" t="s">
        <v>1807</v>
      </c>
      <c r="AG13" s="17">
        <v>100</v>
      </c>
      <c r="AH13" s="18">
        <v>0</v>
      </c>
      <c r="AI13" s="19">
        <v>0</v>
      </c>
      <c r="AJ13" s="26">
        <v>18.04</v>
      </c>
      <c r="AK13" s="2">
        <v>4</v>
      </c>
      <c r="AL13" s="2">
        <v>45</v>
      </c>
      <c r="AM13" s="2">
        <v>18</v>
      </c>
      <c r="AN13" s="2">
        <v>26</v>
      </c>
      <c r="AO13" s="2">
        <v>34.85</v>
      </c>
      <c r="AP13" s="27">
        <v>44.94</v>
      </c>
      <c r="AQ13" s="32">
        <v>33.97</v>
      </c>
      <c r="AR13" s="26">
        <v>309.49</v>
      </c>
      <c r="AS13" s="27">
        <v>5.51</v>
      </c>
    </row>
    <row r="14" spans="2:45" x14ac:dyDescent="0.25">
      <c r="B14" s="12" t="s">
        <v>1808</v>
      </c>
      <c r="C14" s="17">
        <v>10</v>
      </c>
      <c r="D14" s="18">
        <v>0</v>
      </c>
      <c r="E14" s="19">
        <v>0</v>
      </c>
      <c r="F14" s="26">
        <v>4.8</v>
      </c>
      <c r="G14" s="2">
        <v>4</v>
      </c>
      <c r="H14" s="2">
        <v>6</v>
      </c>
      <c r="I14" s="2">
        <v>5</v>
      </c>
      <c r="J14" s="2">
        <v>5.9</v>
      </c>
      <c r="K14" s="2">
        <v>6</v>
      </c>
      <c r="L14" s="27">
        <v>6</v>
      </c>
      <c r="M14" s="32">
        <v>12.39</v>
      </c>
      <c r="N14" s="26">
        <v>35.229999999999997</v>
      </c>
      <c r="O14" s="27">
        <v>1.96</v>
      </c>
      <c r="Q14" s="12" t="s">
        <v>1808</v>
      </c>
      <c r="R14" s="17">
        <v>50</v>
      </c>
      <c r="S14" s="18">
        <v>0</v>
      </c>
      <c r="T14" s="19">
        <v>0</v>
      </c>
      <c r="U14" s="26">
        <v>14.38</v>
      </c>
      <c r="V14" s="2">
        <v>4</v>
      </c>
      <c r="W14" s="2">
        <v>52</v>
      </c>
      <c r="X14" s="2">
        <v>13</v>
      </c>
      <c r="Y14" s="2">
        <v>25.9</v>
      </c>
      <c r="Z14" s="2">
        <v>31.8</v>
      </c>
      <c r="AA14" s="27">
        <v>52</v>
      </c>
      <c r="AB14" s="32">
        <v>19.23</v>
      </c>
      <c r="AC14" s="26">
        <v>54.67</v>
      </c>
      <c r="AD14" s="27">
        <v>3.04</v>
      </c>
      <c r="AF14" s="12" t="s">
        <v>1808</v>
      </c>
      <c r="AG14" s="17">
        <v>100</v>
      </c>
      <c r="AH14" s="18">
        <v>0</v>
      </c>
      <c r="AI14" s="19">
        <v>0</v>
      </c>
      <c r="AJ14" s="26">
        <v>17.899999999999999</v>
      </c>
      <c r="AK14" s="2">
        <v>3</v>
      </c>
      <c r="AL14" s="2">
        <v>39</v>
      </c>
      <c r="AM14" s="2">
        <v>18</v>
      </c>
      <c r="AN14" s="2">
        <v>27.9</v>
      </c>
      <c r="AO14" s="2">
        <v>31.9</v>
      </c>
      <c r="AP14" s="27">
        <v>38.979999999999997</v>
      </c>
      <c r="AQ14" s="32">
        <v>33.97</v>
      </c>
      <c r="AR14" s="26">
        <v>96.56</v>
      </c>
      <c r="AS14" s="27">
        <v>5.37</v>
      </c>
    </row>
    <row r="15" spans="2:45" x14ac:dyDescent="0.25">
      <c r="B15" s="12" t="s">
        <v>1809</v>
      </c>
      <c r="C15" s="17">
        <v>10</v>
      </c>
      <c r="D15" s="18">
        <v>0</v>
      </c>
      <c r="E15" s="19">
        <v>0</v>
      </c>
      <c r="F15" s="26">
        <v>11.8</v>
      </c>
      <c r="G15" s="2">
        <v>10</v>
      </c>
      <c r="H15" s="2">
        <v>14</v>
      </c>
      <c r="I15" s="2">
        <v>12</v>
      </c>
      <c r="J15" s="2">
        <v>14</v>
      </c>
      <c r="K15" s="2">
        <v>14</v>
      </c>
      <c r="L15" s="27">
        <v>14</v>
      </c>
      <c r="M15" s="32">
        <v>12.42</v>
      </c>
      <c r="N15" s="26">
        <v>7.1</v>
      </c>
      <c r="O15" s="27">
        <v>4.34</v>
      </c>
      <c r="Q15" s="12" t="s">
        <v>1809</v>
      </c>
      <c r="R15" s="17">
        <v>50</v>
      </c>
      <c r="S15" s="18">
        <v>10</v>
      </c>
      <c r="T15" s="19">
        <v>0.2</v>
      </c>
      <c r="U15" s="26">
        <v>22</v>
      </c>
      <c r="V15" s="2">
        <v>6</v>
      </c>
      <c r="W15" s="2">
        <v>55</v>
      </c>
      <c r="X15" s="2">
        <v>20.5</v>
      </c>
      <c r="Y15" s="2">
        <v>37.5</v>
      </c>
      <c r="Z15" s="2">
        <v>50.05</v>
      </c>
      <c r="AA15" s="27">
        <v>55</v>
      </c>
      <c r="AB15" s="32">
        <v>19.260000000000002</v>
      </c>
      <c r="AC15" s="26">
        <v>9.99</v>
      </c>
      <c r="AD15" s="27">
        <v>6.81</v>
      </c>
      <c r="AF15" s="12" t="s">
        <v>1809</v>
      </c>
      <c r="AG15" s="17">
        <v>100</v>
      </c>
      <c r="AH15" s="18">
        <v>27</v>
      </c>
      <c r="AI15" s="19">
        <v>0.27</v>
      </c>
      <c r="AJ15" s="26">
        <v>25.98</v>
      </c>
      <c r="AK15" s="2">
        <v>4</v>
      </c>
      <c r="AL15" s="2">
        <v>59</v>
      </c>
      <c r="AM15" s="2">
        <v>25.5</v>
      </c>
      <c r="AN15" s="2">
        <v>41</v>
      </c>
      <c r="AO15" s="2">
        <v>47.9</v>
      </c>
      <c r="AP15" s="27">
        <v>58.94</v>
      </c>
      <c r="AQ15" s="32">
        <v>33.89</v>
      </c>
      <c r="AR15" s="26">
        <v>16.93</v>
      </c>
      <c r="AS15" s="27">
        <v>12.02</v>
      </c>
    </row>
    <row r="16" spans="2:45" x14ac:dyDescent="0.25">
      <c r="B16" s="13" t="s">
        <v>1810</v>
      </c>
      <c r="C16" s="20">
        <v>10</v>
      </c>
      <c r="D16" s="21">
        <v>0</v>
      </c>
      <c r="E16" s="22">
        <v>0</v>
      </c>
      <c r="F16" s="28">
        <v>13.3</v>
      </c>
      <c r="G16" s="29">
        <v>10</v>
      </c>
      <c r="H16" s="29">
        <v>21</v>
      </c>
      <c r="I16" s="29">
        <v>13</v>
      </c>
      <c r="J16" s="29">
        <v>20.3</v>
      </c>
      <c r="K16" s="29">
        <v>21</v>
      </c>
      <c r="L16" s="30">
        <v>21</v>
      </c>
      <c r="M16" s="33">
        <v>12.27</v>
      </c>
      <c r="N16" s="28">
        <v>6.95</v>
      </c>
      <c r="O16" s="30">
        <v>4.1100000000000003</v>
      </c>
      <c r="Q16" s="13" t="s">
        <v>1810</v>
      </c>
      <c r="R16" s="20">
        <v>50</v>
      </c>
      <c r="S16" s="21">
        <v>10</v>
      </c>
      <c r="T16" s="22">
        <v>0.2</v>
      </c>
      <c r="U16" s="28">
        <v>27.26</v>
      </c>
      <c r="V16" s="29">
        <v>10</v>
      </c>
      <c r="W16" s="29">
        <v>50</v>
      </c>
      <c r="X16" s="29">
        <v>27</v>
      </c>
      <c r="Y16" s="29">
        <v>36.9</v>
      </c>
      <c r="Z16" s="29">
        <v>44.35</v>
      </c>
      <c r="AA16" s="30">
        <v>50</v>
      </c>
      <c r="AB16" s="33">
        <v>19.21</v>
      </c>
      <c r="AC16" s="28">
        <v>11.3</v>
      </c>
      <c r="AD16" s="30">
        <v>6.46</v>
      </c>
      <c r="AF16" s="13" t="s">
        <v>1810</v>
      </c>
      <c r="AG16" s="20">
        <v>100</v>
      </c>
      <c r="AH16" s="21">
        <v>27</v>
      </c>
      <c r="AI16" s="22">
        <v>0.27</v>
      </c>
      <c r="AJ16" s="28">
        <v>34.03</v>
      </c>
      <c r="AK16" s="29">
        <v>9</v>
      </c>
      <c r="AL16" s="29">
        <v>63</v>
      </c>
      <c r="AM16" s="29">
        <v>35</v>
      </c>
      <c r="AN16" s="29">
        <v>50.8</v>
      </c>
      <c r="AO16" s="29">
        <v>57.85</v>
      </c>
      <c r="AP16" s="30">
        <v>63</v>
      </c>
      <c r="AQ16" s="33">
        <v>33.86</v>
      </c>
      <c r="AR16" s="28">
        <v>20.170000000000002</v>
      </c>
      <c r="AS16" s="30">
        <v>11.41</v>
      </c>
    </row>
  </sheetData>
  <mergeCells count="9">
    <mergeCell ref="AG4:AI4"/>
    <mergeCell ref="AJ4:AP4"/>
    <mergeCell ref="AR4:AS4"/>
    <mergeCell ref="C4:E4"/>
    <mergeCell ref="F4:L4"/>
    <mergeCell ref="N4:O4"/>
    <mergeCell ref="R4:T4"/>
    <mergeCell ref="U4:AA4"/>
    <mergeCell ref="AC4:AD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44FF-2CBC-4146-9E19-0502D4B33F0E}">
  <dimension ref="B2:BT16"/>
  <sheetViews>
    <sheetView workbookViewId="0">
      <selection activeCell="R25" sqref="R25"/>
    </sheetView>
  </sheetViews>
  <sheetFormatPr defaultRowHeight="15" x14ac:dyDescent="0.25"/>
  <cols>
    <col min="1" max="1" width="3.7109375" customWidth="1"/>
    <col min="2" max="2" width="20.7109375" customWidth="1"/>
    <col min="3" max="21" width="10.7109375" customWidth="1"/>
    <col min="22" max="22" width="15.7109375" customWidth="1"/>
    <col min="23" max="24" width="10.7109375" customWidth="1"/>
    <col min="25" max="25" width="3.7109375" customWidth="1"/>
    <col min="26" max="26" width="20.7109375" customWidth="1"/>
    <col min="27" max="45" width="10.7109375" customWidth="1"/>
    <col min="46" max="46" width="15.7109375" customWidth="1"/>
    <col min="47" max="48" width="10.7109375" customWidth="1"/>
    <col min="49" max="49" width="3.7109375" customWidth="1"/>
    <col min="50" max="50" width="20.7109375" customWidth="1"/>
    <col min="51" max="69" width="10.7109375" customWidth="1"/>
    <col min="70" max="70" width="15.7109375" customWidth="1"/>
    <col min="71" max="72" width="10.7109375" customWidth="1"/>
    <col min="73" max="73" width="3.7109375" customWidth="1"/>
  </cols>
  <sheetData>
    <row r="2" spans="2:72" x14ac:dyDescent="0.25">
      <c r="B2" s="5" t="s">
        <v>1798</v>
      </c>
      <c r="Z2" s="5" t="s">
        <v>1799</v>
      </c>
      <c r="AX2" s="5" t="s">
        <v>1800</v>
      </c>
    </row>
    <row r="4" spans="2:72" x14ac:dyDescent="0.25">
      <c r="B4" s="9" t="s">
        <v>1812</v>
      </c>
      <c r="C4" s="55" t="s">
        <v>1817</v>
      </c>
      <c r="D4" s="56"/>
      <c r="E4" s="57"/>
      <c r="F4" s="55" t="s">
        <v>1825</v>
      </c>
      <c r="G4" s="56"/>
      <c r="H4" s="56"/>
      <c r="I4" s="56"/>
      <c r="J4" s="56"/>
      <c r="K4" s="56"/>
      <c r="L4" s="57"/>
      <c r="M4" s="55" t="s">
        <v>1832</v>
      </c>
      <c r="N4" s="56"/>
      <c r="O4" s="57"/>
      <c r="P4" s="55" t="s">
        <v>1831</v>
      </c>
      <c r="Q4" s="56"/>
      <c r="R4" s="57"/>
      <c r="S4" s="55" t="s">
        <v>1833</v>
      </c>
      <c r="T4" s="56"/>
      <c r="U4" s="57"/>
      <c r="V4" s="9" t="s">
        <v>1827</v>
      </c>
      <c r="W4" s="56" t="s">
        <v>1830</v>
      </c>
      <c r="X4" s="57"/>
      <c r="Z4" s="9" t="s">
        <v>1812</v>
      </c>
      <c r="AA4" s="55" t="s">
        <v>1817</v>
      </c>
      <c r="AB4" s="56"/>
      <c r="AC4" s="57"/>
      <c r="AD4" s="55" t="s">
        <v>1825</v>
      </c>
      <c r="AE4" s="56"/>
      <c r="AF4" s="56"/>
      <c r="AG4" s="56"/>
      <c r="AH4" s="56"/>
      <c r="AI4" s="56"/>
      <c r="AJ4" s="57"/>
      <c r="AK4" s="55" t="s">
        <v>1832</v>
      </c>
      <c r="AL4" s="56"/>
      <c r="AM4" s="57"/>
      <c r="AN4" s="55" t="s">
        <v>1831</v>
      </c>
      <c r="AO4" s="56"/>
      <c r="AP4" s="57"/>
      <c r="AQ4" s="55" t="s">
        <v>1833</v>
      </c>
      <c r="AR4" s="56"/>
      <c r="AS4" s="57"/>
      <c r="AT4" s="9" t="s">
        <v>1827</v>
      </c>
      <c r="AU4" s="56" t="s">
        <v>1830</v>
      </c>
      <c r="AV4" s="57"/>
      <c r="AX4" s="9" t="s">
        <v>1812</v>
      </c>
      <c r="AY4" s="55" t="s">
        <v>1817</v>
      </c>
      <c r="AZ4" s="56"/>
      <c r="BA4" s="57"/>
      <c r="BB4" s="55" t="s">
        <v>1825</v>
      </c>
      <c r="BC4" s="56"/>
      <c r="BD4" s="56"/>
      <c r="BE4" s="56"/>
      <c r="BF4" s="56"/>
      <c r="BG4" s="56"/>
      <c r="BH4" s="57"/>
      <c r="BI4" s="55" t="s">
        <v>1832</v>
      </c>
      <c r="BJ4" s="56"/>
      <c r="BK4" s="57"/>
      <c r="BL4" s="55" t="s">
        <v>1831</v>
      </c>
      <c r="BM4" s="56"/>
      <c r="BN4" s="57"/>
      <c r="BO4" s="55" t="s">
        <v>1833</v>
      </c>
      <c r="BP4" s="56"/>
      <c r="BQ4" s="57"/>
      <c r="BR4" s="9" t="s">
        <v>1827</v>
      </c>
      <c r="BS4" s="56" t="s">
        <v>1830</v>
      </c>
      <c r="BT4" s="57"/>
    </row>
    <row r="5" spans="2:72" x14ac:dyDescent="0.25">
      <c r="B5" s="10" t="s">
        <v>1813</v>
      </c>
      <c r="C5" s="6" t="s">
        <v>1814</v>
      </c>
      <c r="D5" s="7" t="s">
        <v>1815</v>
      </c>
      <c r="E5" s="8" t="s">
        <v>1816</v>
      </c>
      <c r="F5" s="6" t="s">
        <v>1818</v>
      </c>
      <c r="G5" s="7" t="s">
        <v>1819</v>
      </c>
      <c r="H5" s="7" t="s">
        <v>1820</v>
      </c>
      <c r="I5" s="7" t="s">
        <v>1821</v>
      </c>
      <c r="J5" s="7" t="s">
        <v>1822</v>
      </c>
      <c r="K5" s="7" t="s">
        <v>1823</v>
      </c>
      <c r="L5" s="8" t="s">
        <v>1824</v>
      </c>
      <c r="M5" s="6" t="s">
        <v>1818</v>
      </c>
      <c r="N5" s="7" t="s">
        <v>1819</v>
      </c>
      <c r="O5" s="8" t="s">
        <v>1820</v>
      </c>
      <c r="P5" s="6" t="s">
        <v>1818</v>
      </c>
      <c r="Q5" s="7" t="s">
        <v>1819</v>
      </c>
      <c r="R5" s="8" t="s">
        <v>1820</v>
      </c>
      <c r="S5" s="7" t="s">
        <v>1818</v>
      </c>
      <c r="T5" s="7" t="s">
        <v>1819</v>
      </c>
      <c r="U5" s="7" t="s">
        <v>1820</v>
      </c>
      <c r="V5" s="10" t="s">
        <v>1826</v>
      </c>
      <c r="W5" s="7" t="s">
        <v>1828</v>
      </c>
      <c r="X5" s="8" t="s">
        <v>1829</v>
      </c>
      <c r="Z5" s="10" t="s">
        <v>1813</v>
      </c>
      <c r="AA5" s="6" t="s">
        <v>1814</v>
      </c>
      <c r="AB5" s="7" t="s">
        <v>1815</v>
      </c>
      <c r="AC5" s="8" t="s">
        <v>1816</v>
      </c>
      <c r="AD5" s="6" t="s">
        <v>1818</v>
      </c>
      <c r="AE5" s="7" t="s">
        <v>1819</v>
      </c>
      <c r="AF5" s="7" t="s">
        <v>1820</v>
      </c>
      <c r="AG5" s="7" t="s">
        <v>1821</v>
      </c>
      <c r="AH5" s="7" t="s">
        <v>1822</v>
      </c>
      <c r="AI5" s="7" t="s">
        <v>1823</v>
      </c>
      <c r="AJ5" s="8" t="s">
        <v>1824</v>
      </c>
      <c r="AK5" s="6" t="s">
        <v>1818</v>
      </c>
      <c r="AL5" s="7" t="s">
        <v>1819</v>
      </c>
      <c r="AM5" s="8" t="s">
        <v>1820</v>
      </c>
      <c r="AN5" s="6" t="s">
        <v>1818</v>
      </c>
      <c r="AO5" s="7" t="s">
        <v>1819</v>
      </c>
      <c r="AP5" s="8" t="s">
        <v>1820</v>
      </c>
      <c r="AQ5" s="7" t="s">
        <v>1818</v>
      </c>
      <c r="AR5" s="7" t="s">
        <v>1819</v>
      </c>
      <c r="AS5" s="7" t="s">
        <v>1820</v>
      </c>
      <c r="AT5" s="10" t="s">
        <v>1826</v>
      </c>
      <c r="AU5" s="7" t="s">
        <v>1828</v>
      </c>
      <c r="AV5" s="8" t="s">
        <v>1829</v>
      </c>
      <c r="AX5" s="10" t="s">
        <v>1813</v>
      </c>
      <c r="AY5" s="6" t="s">
        <v>1814</v>
      </c>
      <c r="AZ5" s="7" t="s">
        <v>1815</v>
      </c>
      <c r="BA5" s="8" t="s">
        <v>1816</v>
      </c>
      <c r="BB5" s="6" t="s">
        <v>1818</v>
      </c>
      <c r="BC5" s="7" t="s">
        <v>1819</v>
      </c>
      <c r="BD5" s="7" t="s">
        <v>1820</v>
      </c>
      <c r="BE5" s="7" t="s">
        <v>1821</v>
      </c>
      <c r="BF5" s="7" t="s">
        <v>1822</v>
      </c>
      <c r="BG5" s="7" t="s">
        <v>1823</v>
      </c>
      <c r="BH5" s="8" t="s">
        <v>1824</v>
      </c>
      <c r="BI5" s="6" t="s">
        <v>1818</v>
      </c>
      <c r="BJ5" s="7" t="s">
        <v>1819</v>
      </c>
      <c r="BK5" s="8" t="s">
        <v>1820</v>
      </c>
      <c r="BL5" s="6" t="s">
        <v>1818</v>
      </c>
      <c r="BM5" s="7" t="s">
        <v>1819</v>
      </c>
      <c r="BN5" s="8" t="s">
        <v>1820</v>
      </c>
      <c r="BO5" s="7" t="s">
        <v>1818</v>
      </c>
      <c r="BP5" s="7" t="s">
        <v>1819</v>
      </c>
      <c r="BQ5" s="7" t="s">
        <v>1820</v>
      </c>
      <c r="BR5" s="10" t="s">
        <v>1826</v>
      </c>
      <c r="BS5" s="7" t="s">
        <v>1828</v>
      </c>
      <c r="BT5" s="8" t="s">
        <v>1829</v>
      </c>
    </row>
    <row r="6" spans="2:72" x14ac:dyDescent="0.25">
      <c r="B6" s="11" t="s">
        <v>1811</v>
      </c>
      <c r="C6" s="14">
        <v>100</v>
      </c>
      <c r="D6" s="15">
        <v>0</v>
      </c>
      <c r="E6" s="16">
        <v>0</v>
      </c>
      <c r="F6" s="23">
        <v>8.49</v>
      </c>
      <c r="G6" s="24">
        <v>3</v>
      </c>
      <c r="H6" s="24">
        <v>26</v>
      </c>
      <c r="I6" s="24">
        <v>7</v>
      </c>
      <c r="J6" s="24">
        <v>14.9</v>
      </c>
      <c r="K6" s="24">
        <v>18</v>
      </c>
      <c r="L6" s="25">
        <v>25.95</v>
      </c>
      <c r="M6" s="37">
        <f>(F6-P6)/2</f>
        <v>0.69499999999999895</v>
      </c>
      <c r="N6" s="34">
        <f t="shared" ref="N6:O6" si="0">(G6-Q6)/2</f>
        <v>0.42999999999999994</v>
      </c>
      <c r="O6" s="38">
        <f t="shared" si="0"/>
        <v>0.71499999999999986</v>
      </c>
      <c r="P6" s="37">
        <f>GETPIVOTDATA("Média de Duração (ms)",'Resumo-DB'!$B$4)</f>
        <v>7.1000000000000023</v>
      </c>
      <c r="Q6" s="34">
        <f>GETPIVOTDATA("Mín. de Duração (ms)",'Resumo-DB'!$B$4)</f>
        <v>2.14</v>
      </c>
      <c r="R6" s="38">
        <f>GETPIVOTDATA("Máx. de Duração (ms)",'Resumo-DB'!$B$4)</f>
        <v>24.57</v>
      </c>
      <c r="S6" s="37">
        <f>F6-P6-M6</f>
        <v>0.69499999999999895</v>
      </c>
      <c r="T6" s="34">
        <f t="shared" ref="T6:U6" si="1">G6-Q6-N6</f>
        <v>0.42999999999999994</v>
      </c>
      <c r="U6" s="38">
        <f t="shared" si="1"/>
        <v>0.71499999999999986</v>
      </c>
      <c r="V6" s="31">
        <v>112.49</v>
      </c>
      <c r="W6" s="23">
        <v>412.76</v>
      </c>
      <c r="X6" s="25">
        <v>22.35</v>
      </c>
      <c r="Z6" s="11" t="s">
        <v>1811</v>
      </c>
      <c r="AA6" s="14">
        <v>500</v>
      </c>
      <c r="AB6" s="15">
        <v>40</v>
      </c>
      <c r="AC6" s="16">
        <v>0.08</v>
      </c>
      <c r="AD6" s="23">
        <v>19.940000000000001</v>
      </c>
      <c r="AE6" s="24">
        <v>3</v>
      </c>
      <c r="AF6" s="24">
        <v>71</v>
      </c>
      <c r="AG6" s="24">
        <v>17</v>
      </c>
      <c r="AH6" s="24">
        <v>34</v>
      </c>
      <c r="AI6" s="24">
        <v>42</v>
      </c>
      <c r="AJ6" s="25">
        <v>54.99</v>
      </c>
      <c r="AK6" s="37">
        <f>(AD6-AN6)/2</f>
        <v>3.5408080808080813</v>
      </c>
      <c r="AL6" s="34">
        <f t="shared" ref="AL6:AL16" si="2">(AE6-AO6)/2</f>
        <v>0.14500000000000002</v>
      </c>
      <c r="AM6" s="38">
        <f t="shared" ref="AM6:AM16" si="3">(AF6-AP6)/2</f>
        <v>1.1000000000000014</v>
      </c>
      <c r="AN6" s="37">
        <f>GETPIVOTDATA("Média de Duração (ms)",'Resumo-DB'!$H$4)</f>
        <v>12.858383838383839</v>
      </c>
      <c r="AO6" s="34">
        <f>GETPIVOTDATA("Mín. de Duração (ms)",'Resumo-DB'!$H$4)</f>
        <v>2.71</v>
      </c>
      <c r="AP6" s="38">
        <f>GETPIVOTDATA("Máx. de Duração (ms)",'Resumo-DB'!$H$4)</f>
        <v>68.8</v>
      </c>
      <c r="AQ6" s="37">
        <f>AD6-AN6-AK6</f>
        <v>3.5408080808080813</v>
      </c>
      <c r="AR6" s="34">
        <f t="shared" ref="AR6:AR16" si="4">AE6-AO6-AL6</f>
        <v>0.14500000000000002</v>
      </c>
      <c r="AS6" s="38">
        <f t="shared" ref="AS6:AS16" si="5">AF6-AP6-AM6</f>
        <v>1.1000000000000014</v>
      </c>
      <c r="AT6" s="31">
        <v>185.32</v>
      </c>
      <c r="AU6" s="23">
        <v>683.8</v>
      </c>
      <c r="AV6" s="25">
        <v>37.04</v>
      </c>
      <c r="AX6" s="11" t="s">
        <v>1811</v>
      </c>
      <c r="AY6" s="14">
        <v>1000</v>
      </c>
      <c r="AZ6" s="15">
        <v>108</v>
      </c>
      <c r="BA6" s="16">
        <v>0.108</v>
      </c>
      <c r="BB6" s="23">
        <v>21.69</v>
      </c>
      <c r="BC6" s="24">
        <v>2</v>
      </c>
      <c r="BD6" s="24">
        <v>66</v>
      </c>
      <c r="BE6" s="24">
        <v>20</v>
      </c>
      <c r="BF6" s="24">
        <v>37</v>
      </c>
      <c r="BG6" s="24">
        <v>43</v>
      </c>
      <c r="BH6" s="25">
        <v>55</v>
      </c>
      <c r="BI6" s="37">
        <f>(BB6-BL6)/2</f>
        <v>3.9813556531284293</v>
      </c>
      <c r="BJ6" s="34">
        <f t="shared" ref="BJ6:BJ16" si="6">(BC6-BM6)/2</f>
        <v>0.125</v>
      </c>
      <c r="BK6" s="38">
        <f t="shared" ref="BK6:BK16" si="7">(BD6-BN6)/2</f>
        <v>8.0249999999999986</v>
      </c>
      <c r="BL6" s="37">
        <f>GETPIVOTDATA("Média de duracaoMs2",'Resumo-DB'!$N$4)</f>
        <v>13.727288693743143</v>
      </c>
      <c r="BM6" s="34">
        <f>GETPIVOTDATA("Mín. de duracaoMs2",'Resumo-DB'!$N$4)</f>
        <v>1.75</v>
      </c>
      <c r="BN6" s="38">
        <f>GETPIVOTDATA("Máx. de duracaoMs2",'Resumo-DB'!$N$4)</f>
        <v>49.95</v>
      </c>
      <c r="BO6" s="37">
        <f>BB6-BL6-BI6</f>
        <v>3.9813556531284293</v>
      </c>
      <c r="BP6" s="34">
        <f t="shared" ref="BP6:BP16" si="8">BC6-BM6-BJ6</f>
        <v>0.125</v>
      </c>
      <c r="BQ6" s="38">
        <f t="shared" ref="BQ6:BQ16" si="9">BD6-BN6-BK6</f>
        <v>8.0249999999999986</v>
      </c>
      <c r="BR6" s="31">
        <v>332.23</v>
      </c>
      <c r="BS6" s="23">
        <v>1232.46</v>
      </c>
      <c r="BT6" s="25">
        <v>66.53</v>
      </c>
    </row>
    <row r="7" spans="2:72" x14ac:dyDescent="0.25">
      <c r="B7" s="12" t="s">
        <v>1801</v>
      </c>
      <c r="C7" s="17">
        <v>10</v>
      </c>
      <c r="D7" s="18">
        <v>0</v>
      </c>
      <c r="E7" s="19">
        <v>0</v>
      </c>
      <c r="F7" s="26">
        <v>7.9</v>
      </c>
      <c r="G7" s="2">
        <v>7</v>
      </c>
      <c r="H7" s="2">
        <v>11</v>
      </c>
      <c r="I7" s="2">
        <v>7.5</v>
      </c>
      <c r="J7" s="2">
        <v>10.8</v>
      </c>
      <c r="K7" s="2">
        <v>11</v>
      </c>
      <c r="L7" s="27">
        <v>11</v>
      </c>
      <c r="M7" s="39">
        <f t="shared" ref="M7:M16" si="10">(F7-P7)/2</f>
        <v>0.80850000000000044</v>
      </c>
      <c r="N7" s="35">
        <f t="shared" ref="N7:N16" si="11">(G7-Q7)/2</f>
        <v>0.78500000000000014</v>
      </c>
      <c r="O7" s="40">
        <f t="shared" ref="O7:O16" si="12">(H7-R7)/2</f>
        <v>1.77</v>
      </c>
      <c r="P7" s="39">
        <f>GETPIVOTDATA("Média de Duração (ms)",'Resumo-DB'!$B$4,"requisição","DELETE /pecas/:id")</f>
        <v>6.2829999999999995</v>
      </c>
      <c r="Q7" s="35">
        <f>GETPIVOTDATA("Mín. de Duração (ms)",'Resumo-DB'!$B$4,"requisição","DELETE /pecas/:id")</f>
        <v>5.43</v>
      </c>
      <c r="R7" s="40">
        <f>GETPIVOTDATA("Máx. de Duração (ms)",'Resumo-DB'!$B$4,"requisição","DELETE /pecas/:id")</f>
        <v>7.46</v>
      </c>
      <c r="S7" s="39">
        <f t="shared" ref="S7:S16" si="13">F7-P7-M7</f>
        <v>0.80850000000000044</v>
      </c>
      <c r="T7" s="35">
        <f t="shared" ref="T7:T16" si="14">G7-Q7-N7</f>
        <v>0.78500000000000014</v>
      </c>
      <c r="U7" s="40">
        <f t="shared" ref="U7:U16" si="15">H7-R7-O7</f>
        <v>1.77</v>
      </c>
      <c r="V7" s="32">
        <v>12.53</v>
      </c>
      <c r="W7" s="26">
        <v>2.0299999999999998</v>
      </c>
      <c r="X7" s="27">
        <v>2.2799999999999998</v>
      </c>
      <c r="Z7" s="12" t="s">
        <v>1801</v>
      </c>
      <c r="AA7" s="17">
        <v>50</v>
      </c>
      <c r="AB7" s="18">
        <v>10</v>
      </c>
      <c r="AC7" s="19">
        <v>0.2</v>
      </c>
      <c r="AD7" s="26">
        <v>18.14</v>
      </c>
      <c r="AE7" s="2">
        <v>7</v>
      </c>
      <c r="AF7" s="2">
        <v>42</v>
      </c>
      <c r="AG7" s="2">
        <v>16.5</v>
      </c>
      <c r="AH7" s="2">
        <v>28.9</v>
      </c>
      <c r="AI7" s="2">
        <v>33</v>
      </c>
      <c r="AJ7" s="27">
        <v>42</v>
      </c>
      <c r="AK7" s="39">
        <f t="shared" ref="AK7:AK16" si="16">(AD7-AN7)/2</f>
        <v>3.4813265306122458</v>
      </c>
      <c r="AL7" s="35">
        <f t="shared" si="2"/>
        <v>1.1349999999999998</v>
      </c>
      <c r="AM7" s="40">
        <f t="shared" si="3"/>
        <v>7.8000000000000007</v>
      </c>
      <c r="AN7" s="39">
        <f>GETPIVOTDATA("Média de Duração (ms)",'Resumo-DB'!$H$4,"requisição","DELETE /pecas/:id")</f>
        <v>11.177346938775509</v>
      </c>
      <c r="AO7" s="35">
        <f>GETPIVOTDATA("Mín. de Duração (ms)",'Resumo-DB'!$H$4,"requisição","DELETE /pecas/:id")</f>
        <v>4.7300000000000004</v>
      </c>
      <c r="AP7" s="40">
        <f>GETPIVOTDATA("Máx. de Duração (ms)",'Resumo-DB'!$H$4,"requisição","DELETE /pecas/:id")</f>
        <v>26.4</v>
      </c>
      <c r="AQ7" s="39">
        <f t="shared" ref="AQ7:AQ16" si="17">AD7-AN7-AK7</f>
        <v>3.4813265306122458</v>
      </c>
      <c r="AR7" s="35">
        <f t="shared" si="4"/>
        <v>1.1349999999999998</v>
      </c>
      <c r="AS7" s="40">
        <f t="shared" si="5"/>
        <v>7.8000000000000007</v>
      </c>
      <c r="AT7" s="32">
        <v>19.309999999999999</v>
      </c>
      <c r="AU7" s="26">
        <v>3.66</v>
      </c>
      <c r="AV7" s="27">
        <v>3.56</v>
      </c>
      <c r="AX7" s="12" t="s">
        <v>1801</v>
      </c>
      <c r="AY7" s="17">
        <v>100</v>
      </c>
      <c r="AZ7" s="18">
        <v>27</v>
      </c>
      <c r="BA7" s="19">
        <v>0.27</v>
      </c>
      <c r="BB7" s="26">
        <v>19.11</v>
      </c>
      <c r="BC7" s="2">
        <v>5</v>
      </c>
      <c r="BD7" s="2">
        <v>45</v>
      </c>
      <c r="BE7" s="2">
        <v>20</v>
      </c>
      <c r="BF7" s="2">
        <v>26.9</v>
      </c>
      <c r="BG7" s="2">
        <v>28.95</v>
      </c>
      <c r="BH7" s="27">
        <v>44.9</v>
      </c>
      <c r="BI7" s="39">
        <f t="shared" ref="BI7:BI16" si="18">(BB7-BL7)/2</f>
        <v>3.9055555555555559</v>
      </c>
      <c r="BJ7" s="35">
        <f t="shared" si="6"/>
        <v>0.9850000000000001</v>
      </c>
      <c r="BK7" s="40">
        <f t="shared" si="7"/>
        <v>11.2</v>
      </c>
      <c r="BL7" s="39">
        <f>GETPIVOTDATA("Média de duracaoMs2",'Resumo-DB'!$N$4,"requisição","DELETE /pecas/:id")</f>
        <v>11.298888888888888</v>
      </c>
      <c r="BM7" s="35">
        <f>GETPIVOTDATA("Mín. de duracaoMs2",'Resumo-DB'!$N$4,"requisição","DELETE /pecas/:id")</f>
        <v>3.03</v>
      </c>
      <c r="BN7" s="40">
        <f>GETPIVOTDATA("Máx. de duracaoMs2",'Resumo-DB'!$N$4,"requisição","DELETE /pecas/:id")</f>
        <v>22.6</v>
      </c>
      <c r="BO7" s="39">
        <f t="shared" ref="BO7:BO16" si="19">BB7-BL7-BI7</f>
        <v>3.9055555555555559</v>
      </c>
      <c r="BP7" s="35">
        <f t="shared" si="8"/>
        <v>0.9850000000000001</v>
      </c>
      <c r="BQ7" s="40">
        <f t="shared" si="9"/>
        <v>11.2</v>
      </c>
      <c r="BR7" s="32">
        <v>33.92</v>
      </c>
      <c r="BS7" s="26">
        <v>6.77</v>
      </c>
      <c r="BT7" s="27">
        <v>6.3</v>
      </c>
    </row>
    <row r="8" spans="2:72" x14ac:dyDescent="0.25">
      <c r="B8" s="12" t="s">
        <v>1802</v>
      </c>
      <c r="C8" s="17">
        <v>10</v>
      </c>
      <c r="D8" s="18">
        <v>0</v>
      </c>
      <c r="E8" s="19">
        <v>0</v>
      </c>
      <c r="F8" s="26">
        <v>17.899999999999999</v>
      </c>
      <c r="G8" s="2">
        <v>14</v>
      </c>
      <c r="H8" s="2">
        <v>26</v>
      </c>
      <c r="I8" s="2">
        <v>17.5</v>
      </c>
      <c r="J8" s="2">
        <v>25.3</v>
      </c>
      <c r="K8" s="2">
        <v>26</v>
      </c>
      <c r="L8" s="27">
        <v>26</v>
      </c>
      <c r="M8" s="39">
        <f t="shared" si="10"/>
        <v>0.74050000000000082</v>
      </c>
      <c r="N8" s="35">
        <f t="shared" si="11"/>
        <v>0.15500000000000025</v>
      </c>
      <c r="O8" s="40">
        <f t="shared" si="12"/>
        <v>0.71499999999999986</v>
      </c>
      <c r="P8" s="39">
        <f>GETPIVOTDATA("Média de Duração (ms)",'Resumo-DB'!$B$4,"requisição","GET /aeronaves/")</f>
        <v>16.418999999999997</v>
      </c>
      <c r="Q8" s="35">
        <f>GETPIVOTDATA("Mín. de Duração (ms)",'Resumo-DB'!$B$4,"requisição","GET /aeronaves/")</f>
        <v>13.69</v>
      </c>
      <c r="R8" s="40">
        <f>GETPIVOTDATA("Máx. de Duração (ms)",'Resumo-DB'!$B$4,"requisição","GET /aeronaves/")</f>
        <v>24.57</v>
      </c>
      <c r="S8" s="39">
        <f t="shared" si="13"/>
        <v>0.74050000000000082</v>
      </c>
      <c r="T8" s="35">
        <f t="shared" si="14"/>
        <v>0.15500000000000025</v>
      </c>
      <c r="U8" s="40">
        <f t="shared" si="15"/>
        <v>0.71499999999999986</v>
      </c>
      <c r="V8" s="32">
        <v>12.22</v>
      </c>
      <c r="W8" s="26">
        <v>173.8</v>
      </c>
      <c r="X8" s="27">
        <v>1.97</v>
      </c>
      <c r="Z8" s="12" t="s">
        <v>1802</v>
      </c>
      <c r="AA8" s="17">
        <v>50</v>
      </c>
      <c r="AB8" s="18">
        <v>0</v>
      </c>
      <c r="AC8" s="19">
        <v>0</v>
      </c>
      <c r="AD8" s="26">
        <v>36.36</v>
      </c>
      <c r="AE8" s="2">
        <v>17</v>
      </c>
      <c r="AF8" s="2">
        <v>71</v>
      </c>
      <c r="AG8" s="2">
        <v>34.5</v>
      </c>
      <c r="AH8" s="2">
        <v>52</v>
      </c>
      <c r="AI8" s="2">
        <v>58.8</v>
      </c>
      <c r="AJ8" s="27">
        <v>71</v>
      </c>
      <c r="AK8" s="39">
        <f t="shared" si="16"/>
        <v>3.6756122448979607</v>
      </c>
      <c r="AL8" s="35">
        <f t="shared" si="2"/>
        <v>1.3499999999999996</v>
      </c>
      <c r="AM8" s="40">
        <f t="shared" si="3"/>
        <v>1.1000000000000014</v>
      </c>
      <c r="AN8" s="39">
        <f>GETPIVOTDATA("Média de Duração (ms)",'Resumo-DB'!$H$4,"requisição","GET /aeronaves/")</f>
        <v>29.008775510204078</v>
      </c>
      <c r="AO8" s="35">
        <f>GETPIVOTDATA("Mín. de Duração (ms)",'Resumo-DB'!$H$4,"requisição","GET /aeronaves/")</f>
        <v>14.3</v>
      </c>
      <c r="AP8" s="40">
        <f>GETPIVOTDATA("Máx. de Duração (ms)",'Resumo-DB'!$H$4,"requisição","GET /aeronaves/")</f>
        <v>68.8</v>
      </c>
      <c r="AQ8" s="39">
        <f t="shared" si="17"/>
        <v>3.6756122448979607</v>
      </c>
      <c r="AR8" s="35">
        <f t="shared" si="4"/>
        <v>1.3499999999999996</v>
      </c>
      <c r="AS8" s="40">
        <f t="shared" si="5"/>
        <v>1.1000000000000014</v>
      </c>
      <c r="AT8" s="32">
        <v>18.96</v>
      </c>
      <c r="AU8" s="26">
        <v>274.5</v>
      </c>
      <c r="AV8" s="27">
        <v>3.06</v>
      </c>
      <c r="AX8" s="12" t="s">
        <v>1802</v>
      </c>
      <c r="AY8" s="17">
        <v>100</v>
      </c>
      <c r="AZ8" s="18">
        <v>0</v>
      </c>
      <c r="BA8" s="19">
        <v>0</v>
      </c>
      <c r="BB8" s="26">
        <v>31.86</v>
      </c>
      <c r="BC8" s="2">
        <v>11</v>
      </c>
      <c r="BD8" s="2">
        <v>66</v>
      </c>
      <c r="BE8" s="2">
        <v>31</v>
      </c>
      <c r="BF8" s="2">
        <v>48</v>
      </c>
      <c r="BG8" s="2">
        <v>54.95</v>
      </c>
      <c r="BH8" s="27">
        <v>65.95</v>
      </c>
      <c r="BI8" s="39">
        <f t="shared" si="18"/>
        <v>3.9180612244897954</v>
      </c>
      <c r="BJ8" s="35">
        <f t="shared" si="6"/>
        <v>1.21</v>
      </c>
      <c r="BK8" s="40">
        <f t="shared" si="7"/>
        <v>8.0249999999999986</v>
      </c>
      <c r="BL8" s="39">
        <f>GETPIVOTDATA("Média de duracaoMs2",'Resumo-DB'!$N$4,"requisição","GET /aeronaves/")</f>
        <v>24.023877551020409</v>
      </c>
      <c r="BM8" s="35">
        <f>GETPIVOTDATA("Mín. de duracaoMs2",'Resumo-DB'!$N$4,"requisição","GET /aeronaves/")</f>
        <v>8.58</v>
      </c>
      <c r="BN8" s="40">
        <f>GETPIVOTDATA("Máx. de duracaoMs2",'Resumo-DB'!$N$4,"requisição","GET /aeronaves/")</f>
        <v>49.95</v>
      </c>
      <c r="BO8" s="39">
        <f t="shared" si="19"/>
        <v>3.9180612244897954</v>
      </c>
      <c r="BP8" s="35">
        <f t="shared" si="8"/>
        <v>1.21</v>
      </c>
      <c r="BQ8" s="40">
        <f t="shared" si="9"/>
        <v>8.0249999999999986</v>
      </c>
      <c r="BR8" s="32">
        <v>33.81</v>
      </c>
      <c r="BS8" s="26">
        <v>496.86</v>
      </c>
      <c r="BT8" s="27">
        <v>5.45</v>
      </c>
    </row>
    <row r="9" spans="2:72" x14ac:dyDescent="0.25">
      <c r="B9" s="12" t="s">
        <v>1803</v>
      </c>
      <c r="C9" s="17">
        <v>10</v>
      </c>
      <c r="D9" s="18">
        <v>0</v>
      </c>
      <c r="E9" s="19">
        <v>0</v>
      </c>
      <c r="F9" s="26">
        <v>8.5</v>
      </c>
      <c r="G9" s="2">
        <v>7</v>
      </c>
      <c r="H9" s="2">
        <v>11</v>
      </c>
      <c r="I9" s="2">
        <v>8</v>
      </c>
      <c r="J9" s="2">
        <v>10.9</v>
      </c>
      <c r="K9" s="2">
        <v>11</v>
      </c>
      <c r="L9" s="27">
        <v>11</v>
      </c>
      <c r="M9" s="39">
        <f t="shared" si="10"/>
        <v>0.82400000000000029</v>
      </c>
      <c r="N9" s="35">
        <f t="shared" si="11"/>
        <v>0.8450000000000002</v>
      </c>
      <c r="O9" s="40">
        <f t="shared" si="12"/>
        <v>0.41000000000000014</v>
      </c>
      <c r="P9" s="39">
        <f>GETPIVOTDATA("Média de Duração (ms)",'Resumo-DB'!$B$4,"requisição","GET /etapas/")</f>
        <v>6.8519999999999994</v>
      </c>
      <c r="Q9" s="35">
        <f>GETPIVOTDATA("Mín. de Duração (ms)",'Resumo-DB'!$B$4,"requisição","GET /etapas/")</f>
        <v>5.31</v>
      </c>
      <c r="R9" s="40">
        <f>GETPIVOTDATA("Máx. de Duração (ms)",'Resumo-DB'!$B$4,"requisição","GET /etapas/")</f>
        <v>10.18</v>
      </c>
      <c r="S9" s="39">
        <f t="shared" si="13"/>
        <v>0.82400000000000029</v>
      </c>
      <c r="T9" s="35">
        <f t="shared" si="14"/>
        <v>0.8450000000000002</v>
      </c>
      <c r="U9" s="40">
        <f t="shared" si="15"/>
        <v>0.41000000000000014</v>
      </c>
      <c r="V9" s="32">
        <v>12.35</v>
      </c>
      <c r="W9" s="26">
        <v>43.79</v>
      </c>
      <c r="X9" s="27">
        <v>1.95</v>
      </c>
      <c r="Z9" s="12" t="s">
        <v>1803</v>
      </c>
      <c r="AA9" s="17">
        <v>50</v>
      </c>
      <c r="AB9" s="18">
        <v>0</v>
      </c>
      <c r="AC9" s="19">
        <v>0</v>
      </c>
      <c r="AD9" s="26">
        <v>20.5</v>
      </c>
      <c r="AE9" s="2">
        <v>8</v>
      </c>
      <c r="AF9" s="2">
        <v>42</v>
      </c>
      <c r="AG9" s="2">
        <v>20</v>
      </c>
      <c r="AH9" s="2">
        <v>30.9</v>
      </c>
      <c r="AI9" s="2">
        <v>41</v>
      </c>
      <c r="AJ9" s="27">
        <v>42</v>
      </c>
      <c r="AK9" s="39">
        <f t="shared" si="16"/>
        <v>4.2052000000000023</v>
      </c>
      <c r="AL9" s="35">
        <f t="shared" si="2"/>
        <v>1.3399999999999999</v>
      </c>
      <c r="AM9" s="40">
        <f t="shared" si="3"/>
        <v>7.1</v>
      </c>
      <c r="AN9" s="39">
        <f>GETPIVOTDATA("Média de Duração (ms)",'Resumo-DB'!$H$4,"requisição","GET /etapas/")</f>
        <v>12.089599999999995</v>
      </c>
      <c r="AO9" s="35">
        <f>GETPIVOTDATA("Mín. de Duração (ms)",'Resumo-DB'!$H$4,"requisição","GET /etapas/")</f>
        <v>5.32</v>
      </c>
      <c r="AP9" s="40">
        <f>GETPIVOTDATA("Máx. de Duração (ms)",'Resumo-DB'!$H$4,"requisição","GET /etapas/")</f>
        <v>27.8</v>
      </c>
      <c r="AQ9" s="39">
        <f t="shared" si="17"/>
        <v>4.2052000000000023</v>
      </c>
      <c r="AR9" s="35">
        <f t="shared" si="4"/>
        <v>1.3399999999999999</v>
      </c>
      <c r="AS9" s="40">
        <f t="shared" si="5"/>
        <v>7.1</v>
      </c>
      <c r="AT9" s="32">
        <v>19.16</v>
      </c>
      <c r="AU9" s="26">
        <v>67.95</v>
      </c>
      <c r="AV9" s="27">
        <v>3.03</v>
      </c>
      <c r="AX9" s="12" t="s">
        <v>1803</v>
      </c>
      <c r="AY9" s="17">
        <v>100</v>
      </c>
      <c r="AZ9" s="18">
        <v>0</v>
      </c>
      <c r="BA9" s="19">
        <v>0</v>
      </c>
      <c r="BB9" s="26">
        <v>20.11</v>
      </c>
      <c r="BC9" s="2">
        <v>5</v>
      </c>
      <c r="BD9" s="2">
        <v>42</v>
      </c>
      <c r="BE9" s="2">
        <v>20</v>
      </c>
      <c r="BF9" s="2">
        <v>30.8</v>
      </c>
      <c r="BG9" s="2">
        <v>34</v>
      </c>
      <c r="BH9" s="27">
        <v>41.99</v>
      </c>
      <c r="BI9" s="39">
        <f t="shared" si="18"/>
        <v>4.7083999999999993</v>
      </c>
      <c r="BJ9" s="35">
        <f t="shared" si="6"/>
        <v>0.73</v>
      </c>
      <c r="BK9" s="40">
        <f t="shared" si="7"/>
        <v>9.02</v>
      </c>
      <c r="BL9" s="39">
        <f>GETPIVOTDATA("Média de duracaoMs2",'Resumo-DB'!$N$4,"requisição","GET /etapas/")</f>
        <v>10.693200000000001</v>
      </c>
      <c r="BM9" s="35">
        <f>GETPIVOTDATA("Mín. de duracaoMs2",'Resumo-DB'!$N$4,"requisição","GET /etapas/")</f>
        <v>3.54</v>
      </c>
      <c r="BN9" s="40">
        <f>GETPIVOTDATA("Máx. de duracaoMs2",'Resumo-DB'!$N$4,"requisição","GET /etapas/")</f>
        <v>23.96</v>
      </c>
      <c r="BO9" s="39">
        <f t="shared" si="19"/>
        <v>4.7083999999999993</v>
      </c>
      <c r="BP9" s="35">
        <f t="shared" si="8"/>
        <v>0.73</v>
      </c>
      <c r="BQ9" s="40">
        <f t="shared" si="9"/>
        <v>9.02</v>
      </c>
      <c r="BR9" s="32">
        <v>33.97</v>
      </c>
      <c r="BS9" s="26">
        <v>120.48</v>
      </c>
      <c r="BT9" s="27">
        <v>5.37</v>
      </c>
    </row>
    <row r="10" spans="2:72" x14ac:dyDescent="0.25">
      <c r="B10" s="12" t="s">
        <v>1804</v>
      </c>
      <c r="C10" s="17">
        <v>10</v>
      </c>
      <c r="D10" s="18">
        <v>0</v>
      </c>
      <c r="E10" s="19">
        <v>0</v>
      </c>
      <c r="F10" s="26">
        <v>5.7</v>
      </c>
      <c r="G10" s="2">
        <v>5</v>
      </c>
      <c r="H10" s="2">
        <v>9</v>
      </c>
      <c r="I10" s="2">
        <v>5</v>
      </c>
      <c r="J10" s="2">
        <v>8.6999999999999993</v>
      </c>
      <c r="K10" s="2">
        <v>9</v>
      </c>
      <c r="L10" s="27">
        <v>9</v>
      </c>
      <c r="M10" s="39">
        <f t="shared" si="10"/>
        <v>1.0235000000000001</v>
      </c>
      <c r="N10" s="35">
        <f t="shared" si="11"/>
        <v>0.96500000000000008</v>
      </c>
      <c r="O10" s="40">
        <f t="shared" si="12"/>
        <v>2.2999999999999998</v>
      </c>
      <c r="P10" s="39">
        <f>GETPIVOTDATA("Média de Duração (ms)",'Resumo-DB'!$B$4,"requisição","GET /funcionarios/")</f>
        <v>3.653</v>
      </c>
      <c r="Q10" s="35">
        <f>GETPIVOTDATA("Mín. de Duração (ms)",'Resumo-DB'!$B$4,"requisição","GET /funcionarios/")</f>
        <v>3.07</v>
      </c>
      <c r="R10" s="40">
        <f>GETPIVOTDATA("Máx. de Duração (ms)",'Resumo-DB'!$B$4,"requisição","GET /funcionarios/")</f>
        <v>4.4000000000000004</v>
      </c>
      <c r="S10" s="39">
        <f t="shared" si="13"/>
        <v>1.0235000000000001</v>
      </c>
      <c r="T10" s="35">
        <f t="shared" si="14"/>
        <v>0.96500000000000008</v>
      </c>
      <c r="U10" s="40">
        <f t="shared" si="15"/>
        <v>2.2999999999999998</v>
      </c>
      <c r="V10" s="32">
        <v>12.41</v>
      </c>
      <c r="W10" s="26">
        <v>26.18</v>
      </c>
      <c r="X10" s="27">
        <v>2.04</v>
      </c>
      <c r="Z10" s="12" t="s">
        <v>1804</v>
      </c>
      <c r="AA10" s="17">
        <v>50</v>
      </c>
      <c r="AB10" s="18">
        <v>0</v>
      </c>
      <c r="AC10" s="19">
        <v>0</v>
      </c>
      <c r="AD10" s="26">
        <v>16.64</v>
      </c>
      <c r="AE10" s="2">
        <v>5</v>
      </c>
      <c r="AF10" s="2">
        <v>42</v>
      </c>
      <c r="AG10" s="2">
        <v>15.5</v>
      </c>
      <c r="AH10" s="2">
        <v>28</v>
      </c>
      <c r="AI10" s="2">
        <v>34.799999999999997</v>
      </c>
      <c r="AJ10" s="27">
        <v>42</v>
      </c>
      <c r="AK10" s="39">
        <f t="shared" si="16"/>
        <v>4.1298000000000004</v>
      </c>
      <c r="AL10" s="35">
        <f t="shared" si="2"/>
        <v>1.095</v>
      </c>
      <c r="AM10" s="40">
        <f t="shared" si="3"/>
        <v>10.31</v>
      </c>
      <c r="AN10" s="39">
        <f>GETPIVOTDATA("Média de Duração (ms)",'Resumo-DB'!$H$4,"requisição","GET /funcionarios/")</f>
        <v>8.3803999999999998</v>
      </c>
      <c r="AO10" s="35">
        <f>GETPIVOTDATA("Mín. de Duração (ms)",'Resumo-DB'!$H$4,"requisição","GET /funcionarios/")</f>
        <v>2.81</v>
      </c>
      <c r="AP10" s="40">
        <f>GETPIVOTDATA("Máx. de Duração (ms)",'Resumo-DB'!$H$4,"requisição","GET /funcionarios/")</f>
        <v>21.38</v>
      </c>
      <c r="AQ10" s="39">
        <f t="shared" si="17"/>
        <v>4.1298000000000004</v>
      </c>
      <c r="AR10" s="35">
        <f t="shared" si="4"/>
        <v>1.095</v>
      </c>
      <c r="AS10" s="40">
        <f t="shared" si="5"/>
        <v>10.31</v>
      </c>
      <c r="AT10" s="32">
        <v>19.16</v>
      </c>
      <c r="AU10" s="26">
        <v>40.44</v>
      </c>
      <c r="AV10" s="27">
        <v>3.14</v>
      </c>
      <c r="AX10" s="12" t="s">
        <v>1804</v>
      </c>
      <c r="AY10" s="17">
        <v>100</v>
      </c>
      <c r="AZ10" s="18">
        <v>0</v>
      </c>
      <c r="BA10" s="19">
        <v>0</v>
      </c>
      <c r="BB10" s="26">
        <v>17.05</v>
      </c>
      <c r="BC10" s="2">
        <v>4</v>
      </c>
      <c r="BD10" s="2">
        <v>40</v>
      </c>
      <c r="BE10" s="2">
        <v>18</v>
      </c>
      <c r="BF10" s="2">
        <v>23.9</v>
      </c>
      <c r="BG10" s="2">
        <v>32.700000000000003</v>
      </c>
      <c r="BH10" s="27">
        <v>39.97</v>
      </c>
      <c r="BI10" s="39">
        <f t="shared" si="18"/>
        <v>4.3100499999999995</v>
      </c>
      <c r="BJ10" s="35">
        <f t="shared" si="6"/>
        <v>0.89500000000000002</v>
      </c>
      <c r="BK10" s="40">
        <f t="shared" si="7"/>
        <v>8.67</v>
      </c>
      <c r="BL10" s="39">
        <f>GETPIVOTDATA("Média de duracaoMs2",'Resumo-DB'!$N$4,"requisição","GET /funcionarios/")</f>
        <v>8.4299000000000017</v>
      </c>
      <c r="BM10" s="35">
        <f>GETPIVOTDATA("Mín. de duracaoMs2",'Resumo-DB'!$N$4,"requisição","GET /funcionarios/")</f>
        <v>2.21</v>
      </c>
      <c r="BN10" s="40">
        <f>GETPIVOTDATA("Máx. de duracaoMs2",'Resumo-DB'!$N$4,"requisição","GET /funcionarios/")</f>
        <v>22.66</v>
      </c>
      <c r="BO10" s="39">
        <f t="shared" si="19"/>
        <v>4.3100499999999995</v>
      </c>
      <c r="BP10" s="35">
        <f t="shared" si="8"/>
        <v>0.89500000000000002</v>
      </c>
      <c r="BQ10" s="40">
        <f t="shared" si="9"/>
        <v>8.67</v>
      </c>
      <c r="BR10" s="32">
        <v>33.97</v>
      </c>
      <c r="BS10" s="26">
        <v>71.680000000000007</v>
      </c>
      <c r="BT10" s="27">
        <v>5.57</v>
      </c>
    </row>
    <row r="11" spans="2:72" x14ac:dyDescent="0.25">
      <c r="B11" s="12" t="s">
        <v>1805</v>
      </c>
      <c r="C11" s="17">
        <v>10</v>
      </c>
      <c r="D11" s="18">
        <v>0</v>
      </c>
      <c r="E11" s="19">
        <v>0</v>
      </c>
      <c r="F11" s="26">
        <v>5.6</v>
      </c>
      <c r="G11" s="2">
        <v>4</v>
      </c>
      <c r="H11" s="2">
        <v>7</v>
      </c>
      <c r="I11" s="2">
        <v>6</v>
      </c>
      <c r="J11" s="2">
        <v>7</v>
      </c>
      <c r="K11" s="2">
        <v>7</v>
      </c>
      <c r="L11" s="27">
        <v>7</v>
      </c>
      <c r="M11" s="39">
        <f t="shared" si="10"/>
        <v>0.62000000000000011</v>
      </c>
      <c r="N11" s="35">
        <f t="shared" si="11"/>
        <v>0.32499999999999996</v>
      </c>
      <c r="O11" s="40">
        <f t="shared" si="12"/>
        <v>0.7200000000000002</v>
      </c>
      <c r="P11" s="39">
        <f>GETPIVOTDATA("Média de Duração (ms)",'Resumo-DB'!$B$4,"requisição","GET /pecas/")</f>
        <v>4.3599999999999994</v>
      </c>
      <c r="Q11" s="35">
        <f>GETPIVOTDATA("Mín. de Duração (ms)",'Resumo-DB'!$B$4,"requisição","GET /pecas/")</f>
        <v>3.35</v>
      </c>
      <c r="R11" s="40">
        <f>GETPIVOTDATA("Máx. de Duração (ms)",'Resumo-DB'!$B$4,"requisição","GET /pecas/")</f>
        <v>5.56</v>
      </c>
      <c r="S11" s="39">
        <f t="shared" si="13"/>
        <v>0.62000000000000011</v>
      </c>
      <c r="T11" s="35">
        <f t="shared" si="14"/>
        <v>0.32499999999999996</v>
      </c>
      <c r="U11" s="40">
        <f t="shared" si="15"/>
        <v>0.7200000000000002</v>
      </c>
      <c r="V11" s="32">
        <v>12.39</v>
      </c>
      <c r="W11" s="26">
        <v>37.1</v>
      </c>
      <c r="X11" s="27">
        <v>1.95</v>
      </c>
      <c r="Z11" s="12" t="s">
        <v>1805</v>
      </c>
      <c r="AA11" s="17">
        <v>50</v>
      </c>
      <c r="AB11" s="18">
        <v>0</v>
      </c>
      <c r="AC11" s="19">
        <v>0</v>
      </c>
      <c r="AD11" s="26">
        <v>15.94</v>
      </c>
      <c r="AE11" s="2">
        <v>4</v>
      </c>
      <c r="AF11" s="2">
        <v>54</v>
      </c>
      <c r="AG11" s="2">
        <v>13</v>
      </c>
      <c r="AH11" s="2">
        <v>27.8</v>
      </c>
      <c r="AI11" s="2">
        <v>33</v>
      </c>
      <c r="AJ11" s="27">
        <v>54</v>
      </c>
      <c r="AK11" s="39">
        <f t="shared" si="16"/>
        <v>3.5045999999999982</v>
      </c>
      <c r="AL11" s="35">
        <f t="shared" si="2"/>
        <v>0.3899999999999999</v>
      </c>
      <c r="AM11" s="40">
        <f t="shared" si="3"/>
        <v>15.185</v>
      </c>
      <c r="AN11" s="39">
        <f>GETPIVOTDATA("Média de Duração (ms)",'Resumo-DB'!$H$4,"requisição","GET /pecas/")</f>
        <v>8.9308000000000032</v>
      </c>
      <c r="AO11" s="35">
        <f>GETPIVOTDATA("Mín. de Duração (ms)",'Resumo-DB'!$H$4,"requisição","GET /pecas/")</f>
        <v>3.22</v>
      </c>
      <c r="AP11" s="40">
        <f>GETPIVOTDATA("Máx. de Duração (ms)",'Resumo-DB'!$H$4,"requisição","GET /pecas/")</f>
        <v>23.63</v>
      </c>
      <c r="AQ11" s="39">
        <f t="shared" si="17"/>
        <v>3.5045999999999982</v>
      </c>
      <c r="AR11" s="35">
        <f t="shared" si="4"/>
        <v>0.3899999999999999</v>
      </c>
      <c r="AS11" s="40">
        <f t="shared" si="5"/>
        <v>15.185</v>
      </c>
      <c r="AT11" s="32">
        <v>19.18</v>
      </c>
      <c r="AU11" s="26">
        <v>57.43</v>
      </c>
      <c r="AV11" s="27">
        <v>3.02</v>
      </c>
      <c r="AX11" s="12" t="s">
        <v>1805</v>
      </c>
      <c r="AY11" s="17">
        <v>100</v>
      </c>
      <c r="AZ11" s="18">
        <v>0</v>
      </c>
      <c r="BA11" s="19">
        <v>0</v>
      </c>
      <c r="BB11" s="26">
        <v>16.52</v>
      </c>
      <c r="BC11" s="2">
        <v>4</v>
      </c>
      <c r="BD11" s="2">
        <v>38</v>
      </c>
      <c r="BE11" s="2">
        <v>17.5</v>
      </c>
      <c r="BF11" s="2">
        <v>25</v>
      </c>
      <c r="BG11" s="2">
        <v>27.95</v>
      </c>
      <c r="BH11" s="27">
        <v>38</v>
      </c>
      <c r="BI11" s="39">
        <f t="shared" si="18"/>
        <v>3.7903535353535354</v>
      </c>
      <c r="BJ11" s="35">
        <f t="shared" si="6"/>
        <v>0.71</v>
      </c>
      <c r="BK11" s="40">
        <f t="shared" si="7"/>
        <v>8.98</v>
      </c>
      <c r="BL11" s="39">
        <f>GETPIVOTDATA("Média de duracaoMs2",'Resumo-DB'!$N$4,"requisição","GET /pecas/")</f>
        <v>8.9392929292929288</v>
      </c>
      <c r="BM11" s="35">
        <f>GETPIVOTDATA("Mín. de duracaoMs2",'Resumo-DB'!$N$4,"requisição","GET /pecas/")</f>
        <v>2.58</v>
      </c>
      <c r="BN11" s="40">
        <f>GETPIVOTDATA("Máx. de duracaoMs2",'Resumo-DB'!$N$4,"requisição","GET /pecas/")</f>
        <v>20.04</v>
      </c>
      <c r="BO11" s="39">
        <f t="shared" si="19"/>
        <v>3.7903535353535354</v>
      </c>
      <c r="BP11" s="35">
        <f t="shared" si="8"/>
        <v>0.71</v>
      </c>
      <c r="BQ11" s="40">
        <f t="shared" si="9"/>
        <v>8.98</v>
      </c>
      <c r="BR11" s="32">
        <v>33.97</v>
      </c>
      <c r="BS11" s="26">
        <v>101.7</v>
      </c>
      <c r="BT11" s="27">
        <v>5.34</v>
      </c>
    </row>
    <row r="12" spans="2:72" x14ac:dyDescent="0.25">
      <c r="B12" s="12" t="s">
        <v>1806</v>
      </c>
      <c r="C12" s="17">
        <v>10</v>
      </c>
      <c r="D12" s="18">
        <v>0</v>
      </c>
      <c r="E12" s="19">
        <v>0</v>
      </c>
      <c r="F12" s="26">
        <v>3.8</v>
      </c>
      <c r="G12" s="2">
        <v>3</v>
      </c>
      <c r="H12" s="2">
        <v>6</v>
      </c>
      <c r="I12" s="2">
        <v>3.5</v>
      </c>
      <c r="J12" s="2">
        <v>5.9</v>
      </c>
      <c r="K12" s="2">
        <v>6</v>
      </c>
      <c r="L12" s="27">
        <v>6</v>
      </c>
      <c r="M12" s="39">
        <f t="shared" si="10"/>
        <v>0.54849999999999977</v>
      </c>
      <c r="N12" s="35">
        <f t="shared" si="11"/>
        <v>0.42999999999999994</v>
      </c>
      <c r="O12" s="40">
        <f t="shared" si="12"/>
        <v>1.2250000000000001</v>
      </c>
      <c r="P12" s="39">
        <f>GETPIVOTDATA("Média de Duração (ms)",'Resumo-DB'!$B$4,"requisição","GET /pecas/:id")</f>
        <v>2.7030000000000003</v>
      </c>
      <c r="Q12" s="35">
        <f>GETPIVOTDATA("Mín. de Duração (ms)",'Resumo-DB'!$B$4,"requisição","GET /pecas/:id")</f>
        <v>2.14</v>
      </c>
      <c r="R12" s="40">
        <f>GETPIVOTDATA("Máx. de Duração (ms)",'Resumo-DB'!$B$4,"requisição","GET /pecas/:id")</f>
        <v>3.55</v>
      </c>
      <c r="S12" s="39">
        <f t="shared" si="13"/>
        <v>0.54849999999999977</v>
      </c>
      <c r="T12" s="35">
        <f t="shared" si="14"/>
        <v>0.42999999999999994</v>
      </c>
      <c r="U12" s="40">
        <f t="shared" si="15"/>
        <v>1.2250000000000001</v>
      </c>
      <c r="V12" s="32">
        <v>12.59</v>
      </c>
      <c r="W12" s="26">
        <v>7.2</v>
      </c>
      <c r="X12" s="27">
        <v>2.02</v>
      </c>
      <c r="Z12" s="12" t="s">
        <v>1806</v>
      </c>
      <c r="AA12" s="17">
        <v>50</v>
      </c>
      <c r="AB12" s="18">
        <v>10</v>
      </c>
      <c r="AC12" s="19">
        <v>0.2</v>
      </c>
      <c r="AD12" s="26">
        <v>12.7</v>
      </c>
      <c r="AE12" s="2">
        <v>3</v>
      </c>
      <c r="AF12" s="2">
        <v>34</v>
      </c>
      <c r="AG12" s="2">
        <v>10.5</v>
      </c>
      <c r="AH12" s="2">
        <v>24</v>
      </c>
      <c r="AI12" s="2">
        <v>31.35</v>
      </c>
      <c r="AJ12" s="27">
        <v>34</v>
      </c>
      <c r="AK12" s="39">
        <f t="shared" si="16"/>
        <v>2.8158163265306122</v>
      </c>
      <c r="AL12" s="35">
        <f t="shared" si="2"/>
        <v>0.14500000000000002</v>
      </c>
      <c r="AM12" s="40">
        <f t="shared" si="3"/>
        <v>8.4450000000000003</v>
      </c>
      <c r="AN12" s="39">
        <f>GETPIVOTDATA("Média de Duração (ms)",'Resumo-DB'!$H$4,"requisição","GET /pecas/:id")</f>
        <v>7.0683673469387749</v>
      </c>
      <c r="AO12" s="35">
        <f>GETPIVOTDATA("Mín. de Duração (ms)",'Resumo-DB'!$H$4,"requisição","GET /pecas/:id")</f>
        <v>2.71</v>
      </c>
      <c r="AP12" s="40">
        <f>GETPIVOTDATA("Máx. de Duração (ms)",'Resumo-DB'!$H$4,"requisição","GET /pecas/:id")</f>
        <v>17.11</v>
      </c>
      <c r="AQ12" s="39">
        <f t="shared" si="17"/>
        <v>2.8158163265306122</v>
      </c>
      <c r="AR12" s="35">
        <f t="shared" si="4"/>
        <v>0.14500000000000002</v>
      </c>
      <c r="AS12" s="40">
        <f t="shared" si="5"/>
        <v>8.4450000000000003</v>
      </c>
      <c r="AT12" s="32">
        <v>19.329999999999998</v>
      </c>
      <c r="AU12" s="26">
        <v>10.02</v>
      </c>
      <c r="AV12" s="27">
        <v>3.15</v>
      </c>
      <c r="AX12" s="12" t="s">
        <v>1806</v>
      </c>
      <c r="AY12" s="17">
        <v>100</v>
      </c>
      <c r="AZ12" s="18">
        <v>27</v>
      </c>
      <c r="BA12" s="19">
        <v>0.27</v>
      </c>
      <c r="BB12" s="26">
        <v>16.260000000000002</v>
      </c>
      <c r="BC12" s="2">
        <v>2</v>
      </c>
      <c r="BD12" s="2">
        <v>38</v>
      </c>
      <c r="BE12" s="2">
        <v>18</v>
      </c>
      <c r="BF12" s="2">
        <v>23.9</v>
      </c>
      <c r="BG12" s="2">
        <v>25.95</v>
      </c>
      <c r="BH12" s="27">
        <v>37.94</v>
      </c>
      <c r="BI12" s="39">
        <f t="shared" si="18"/>
        <v>3.9987671232876725</v>
      </c>
      <c r="BJ12" s="35">
        <f t="shared" si="6"/>
        <v>0.125</v>
      </c>
      <c r="BK12" s="40">
        <f t="shared" si="7"/>
        <v>9.07</v>
      </c>
      <c r="BL12" s="39">
        <f>GETPIVOTDATA("Média de duracaoMs2",'Resumo-DB'!$N$4,"requisição","GET /pecas/:id")</f>
        <v>8.2624657534246566</v>
      </c>
      <c r="BM12" s="35">
        <f>GETPIVOTDATA("Mín. de duracaoMs2",'Resumo-DB'!$N$4,"requisição","GET /pecas/:id")</f>
        <v>1.75</v>
      </c>
      <c r="BN12" s="40">
        <f>GETPIVOTDATA("Máx. de duracaoMs2",'Resumo-DB'!$N$4,"requisição","GET /pecas/:id")</f>
        <v>19.86</v>
      </c>
      <c r="BO12" s="39">
        <f t="shared" si="19"/>
        <v>3.9987671232876725</v>
      </c>
      <c r="BP12" s="35">
        <f t="shared" si="8"/>
        <v>0.125</v>
      </c>
      <c r="BQ12" s="40">
        <f t="shared" si="9"/>
        <v>9.07</v>
      </c>
      <c r="BR12" s="32">
        <v>33.94</v>
      </c>
      <c r="BS12" s="26">
        <v>16.96</v>
      </c>
      <c r="BT12" s="27">
        <v>5.57</v>
      </c>
    </row>
    <row r="13" spans="2:72" x14ac:dyDescent="0.25">
      <c r="B13" s="12" t="s">
        <v>1807</v>
      </c>
      <c r="C13" s="17">
        <v>10</v>
      </c>
      <c r="D13" s="18">
        <v>0</v>
      </c>
      <c r="E13" s="19">
        <v>0</v>
      </c>
      <c r="F13" s="26">
        <v>5.6</v>
      </c>
      <c r="G13" s="2">
        <v>5</v>
      </c>
      <c r="H13" s="2">
        <v>7</v>
      </c>
      <c r="I13" s="2">
        <v>5.5</v>
      </c>
      <c r="J13" s="2">
        <v>6.9</v>
      </c>
      <c r="K13" s="2">
        <v>7</v>
      </c>
      <c r="L13" s="27">
        <v>7</v>
      </c>
      <c r="M13" s="39">
        <f t="shared" si="10"/>
        <v>0.46699999999999964</v>
      </c>
      <c r="N13" s="35">
        <f t="shared" si="11"/>
        <v>0.7350000000000001</v>
      </c>
      <c r="O13" s="40">
        <f t="shared" si="12"/>
        <v>0.85999999999999988</v>
      </c>
      <c r="P13" s="39">
        <f>GETPIVOTDATA("Média de Duração (ms)",'Resumo-DB'!$B$4,"requisição","GET /relatorios/")</f>
        <v>4.6660000000000004</v>
      </c>
      <c r="Q13" s="35">
        <f>GETPIVOTDATA("Mín. de Duração (ms)",'Resumo-DB'!$B$4,"requisição","GET /relatorios/")</f>
        <v>3.53</v>
      </c>
      <c r="R13" s="40">
        <f>GETPIVOTDATA("Máx. de Duração (ms)",'Resumo-DB'!$B$4,"requisição","GET /relatorios/")</f>
        <v>5.28</v>
      </c>
      <c r="S13" s="39">
        <f t="shared" si="13"/>
        <v>0.46699999999999964</v>
      </c>
      <c r="T13" s="35">
        <f t="shared" si="14"/>
        <v>0.7350000000000001</v>
      </c>
      <c r="U13" s="40">
        <f t="shared" si="15"/>
        <v>0.85999999999999988</v>
      </c>
      <c r="V13" s="32">
        <v>12.39</v>
      </c>
      <c r="W13" s="26">
        <v>112.9</v>
      </c>
      <c r="X13" s="27">
        <v>2.0099999999999998</v>
      </c>
      <c r="Z13" s="12" t="s">
        <v>1807</v>
      </c>
      <c r="AA13" s="17">
        <v>50</v>
      </c>
      <c r="AB13" s="18">
        <v>0</v>
      </c>
      <c r="AC13" s="19">
        <v>0</v>
      </c>
      <c r="AD13" s="26">
        <v>15.44</v>
      </c>
      <c r="AE13" s="2">
        <v>4</v>
      </c>
      <c r="AF13" s="2">
        <v>50</v>
      </c>
      <c r="AG13" s="2">
        <v>12.5</v>
      </c>
      <c r="AH13" s="2">
        <v>25.8</v>
      </c>
      <c r="AI13" s="2">
        <v>37.9</v>
      </c>
      <c r="AJ13" s="27">
        <v>50</v>
      </c>
      <c r="AK13" s="39">
        <f t="shared" si="16"/>
        <v>3.6115000000000004</v>
      </c>
      <c r="AL13" s="35">
        <f t="shared" si="2"/>
        <v>0.43999999999999995</v>
      </c>
      <c r="AM13" s="40">
        <f t="shared" si="3"/>
        <v>12.02</v>
      </c>
      <c r="AN13" s="39">
        <f>GETPIVOTDATA("Média de Duração (ms)",'Resumo-DB'!$H$4,"requisição","GET /relatorios/")</f>
        <v>8.2169999999999987</v>
      </c>
      <c r="AO13" s="35">
        <f>GETPIVOTDATA("Mín. de Duração (ms)",'Resumo-DB'!$H$4,"requisição","GET /relatorios/")</f>
        <v>3.12</v>
      </c>
      <c r="AP13" s="40">
        <f>GETPIVOTDATA("Máx. de Duração (ms)",'Resumo-DB'!$H$4,"requisição","GET /relatorios/")</f>
        <v>25.96</v>
      </c>
      <c r="AQ13" s="39">
        <f t="shared" si="17"/>
        <v>3.6115000000000004</v>
      </c>
      <c r="AR13" s="35">
        <f t="shared" si="4"/>
        <v>0.43999999999999995</v>
      </c>
      <c r="AS13" s="40">
        <f t="shared" si="5"/>
        <v>12.02</v>
      </c>
      <c r="AT13" s="32">
        <v>19.2</v>
      </c>
      <c r="AU13" s="26">
        <v>174.95</v>
      </c>
      <c r="AV13" s="27">
        <v>3.11</v>
      </c>
      <c r="AX13" s="12" t="s">
        <v>1807</v>
      </c>
      <c r="AY13" s="17">
        <v>100</v>
      </c>
      <c r="AZ13" s="18">
        <v>0</v>
      </c>
      <c r="BA13" s="19">
        <v>0</v>
      </c>
      <c r="BB13" s="26">
        <v>18.04</v>
      </c>
      <c r="BC13" s="2">
        <v>4</v>
      </c>
      <c r="BD13" s="2">
        <v>45</v>
      </c>
      <c r="BE13" s="2">
        <v>18</v>
      </c>
      <c r="BF13" s="2">
        <v>26</v>
      </c>
      <c r="BG13" s="2">
        <v>34.85</v>
      </c>
      <c r="BH13" s="27">
        <v>44.94</v>
      </c>
      <c r="BI13" s="39">
        <f t="shared" si="18"/>
        <v>4.0301010101010108</v>
      </c>
      <c r="BJ13" s="35">
        <f t="shared" si="6"/>
        <v>0.83499999999999996</v>
      </c>
      <c r="BK13" s="40">
        <f t="shared" si="7"/>
        <v>6.0150000000000006</v>
      </c>
      <c r="BL13" s="39">
        <f>GETPIVOTDATA("Média de duracaoMs2",'Resumo-DB'!$N$4,"requisição","GET /relatorios/")</f>
        <v>9.9797979797979774</v>
      </c>
      <c r="BM13" s="35">
        <f>GETPIVOTDATA("Mín. de duracaoMs2",'Resumo-DB'!$N$4,"requisição","GET /relatorios/")</f>
        <v>2.33</v>
      </c>
      <c r="BN13" s="40">
        <f>GETPIVOTDATA("Máx. de duracaoMs2",'Resumo-DB'!$N$4,"requisição","GET /relatorios/")</f>
        <v>32.97</v>
      </c>
      <c r="BO13" s="39">
        <f t="shared" si="19"/>
        <v>4.0301010101010108</v>
      </c>
      <c r="BP13" s="35">
        <f t="shared" si="8"/>
        <v>0.83499999999999996</v>
      </c>
      <c r="BQ13" s="40">
        <f t="shared" si="9"/>
        <v>6.0150000000000006</v>
      </c>
      <c r="BR13" s="32">
        <v>33.97</v>
      </c>
      <c r="BS13" s="26">
        <v>309.49</v>
      </c>
      <c r="BT13" s="27">
        <v>5.51</v>
      </c>
    </row>
    <row r="14" spans="2:72" x14ac:dyDescent="0.25">
      <c r="B14" s="12" t="s">
        <v>1808</v>
      </c>
      <c r="C14" s="17">
        <v>10</v>
      </c>
      <c r="D14" s="18">
        <v>0</v>
      </c>
      <c r="E14" s="19">
        <v>0</v>
      </c>
      <c r="F14" s="26">
        <v>4.8</v>
      </c>
      <c r="G14" s="2">
        <v>4</v>
      </c>
      <c r="H14" s="2">
        <v>6</v>
      </c>
      <c r="I14" s="2">
        <v>5</v>
      </c>
      <c r="J14" s="2">
        <v>5.9</v>
      </c>
      <c r="K14" s="2">
        <v>6</v>
      </c>
      <c r="L14" s="27">
        <v>6</v>
      </c>
      <c r="M14" s="39">
        <f t="shared" si="10"/>
        <v>0.52349999999999985</v>
      </c>
      <c r="N14" s="35">
        <f t="shared" si="11"/>
        <v>0.6399999999999999</v>
      </c>
      <c r="O14" s="40">
        <f t="shared" si="12"/>
        <v>0.75999999999999979</v>
      </c>
      <c r="P14" s="39">
        <f>GETPIVOTDATA("Média de Duração (ms)",'Resumo-DB'!$B$4,"requisição","GET /testes/")</f>
        <v>3.7530000000000001</v>
      </c>
      <c r="Q14" s="35">
        <f>GETPIVOTDATA("Mín. de Duração (ms)",'Resumo-DB'!$B$4,"requisição","GET /testes/")</f>
        <v>2.72</v>
      </c>
      <c r="R14" s="40">
        <f>GETPIVOTDATA("Máx. de Duração (ms)",'Resumo-DB'!$B$4,"requisição","GET /testes/")</f>
        <v>4.4800000000000004</v>
      </c>
      <c r="S14" s="39">
        <f t="shared" si="13"/>
        <v>0.52349999999999985</v>
      </c>
      <c r="T14" s="35">
        <f t="shared" si="14"/>
        <v>0.6399999999999999</v>
      </c>
      <c r="U14" s="40">
        <f t="shared" si="15"/>
        <v>0.75999999999999979</v>
      </c>
      <c r="V14" s="32">
        <v>12.39</v>
      </c>
      <c r="W14" s="26">
        <v>35.229999999999997</v>
      </c>
      <c r="X14" s="27">
        <v>1.96</v>
      </c>
      <c r="Z14" s="12" t="s">
        <v>1808</v>
      </c>
      <c r="AA14" s="17">
        <v>50</v>
      </c>
      <c r="AB14" s="18">
        <v>0</v>
      </c>
      <c r="AC14" s="19">
        <v>0</v>
      </c>
      <c r="AD14" s="26">
        <v>14.38</v>
      </c>
      <c r="AE14" s="2">
        <v>4</v>
      </c>
      <c r="AF14" s="2">
        <v>52</v>
      </c>
      <c r="AG14" s="2">
        <v>13</v>
      </c>
      <c r="AH14" s="2">
        <v>25.9</v>
      </c>
      <c r="AI14" s="2">
        <v>31.8</v>
      </c>
      <c r="AJ14" s="27">
        <v>52</v>
      </c>
      <c r="AK14" s="39">
        <f t="shared" si="16"/>
        <v>3.4937</v>
      </c>
      <c r="AL14" s="35">
        <f t="shared" si="2"/>
        <v>0.26</v>
      </c>
      <c r="AM14" s="40">
        <f t="shared" si="3"/>
        <v>8.4649999999999999</v>
      </c>
      <c r="AN14" s="39">
        <f>GETPIVOTDATA("Média de Duração (ms)",'Resumo-DB'!$H$4,"requisição","GET /testes/")</f>
        <v>7.3926000000000007</v>
      </c>
      <c r="AO14" s="35">
        <f>GETPIVOTDATA("Mín. de Duração (ms)",'Resumo-DB'!$H$4,"requisição","GET /testes/")</f>
        <v>3.48</v>
      </c>
      <c r="AP14" s="40">
        <f>GETPIVOTDATA("Máx. de Duração (ms)",'Resumo-DB'!$H$4,"requisição","GET /testes/")</f>
        <v>35.07</v>
      </c>
      <c r="AQ14" s="39">
        <f t="shared" si="17"/>
        <v>3.4937</v>
      </c>
      <c r="AR14" s="35">
        <f t="shared" si="4"/>
        <v>0.26</v>
      </c>
      <c r="AS14" s="40">
        <f t="shared" si="5"/>
        <v>8.4649999999999999</v>
      </c>
      <c r="AT14" s="32">
        <v>19.23</v>
      </c>
      <c r="AU14" s="26">
        <v>54.67</v>
      </c>
      <c r="AV14" s="27">
        <v>3.04</v>
      </c>
      <c r="AX14" s="12" t="s">
        <v>1808</v>
      </c>
      <c r="AY14" s="17">
        <v>100</v>
      </c>
      <c r="AZ14" s="18">
        <v>0</v>
      </c>
      <c r="BA14" s="19">
        <v>0</v>
      </c>
      <c r="BB14" s="26">
        <v>17.899999999999999</v>
      </c>
      <c r="BC14" s="2">
        <v>3</v>
      </c>
      <c r="BD14" s="2">
        <v>39</v>
      </c>
      <c r="BE14" s="2">
        <v>18</v>
      </c>
      <c r="BF14" s="2">
        <v>27.9</v>
      </c>
      <c r="BG14" s="2">
        <v>31.9</v>
      </c>
      <c r="BH14" s="27">
        <v>38.979999999999997</v>
      </c>
      <c r="BI14" s="39">
        <f t="shared" si="18"/>
        <v>4.4152020202020195</v>
      </c>
      <c r="BJ14" s="35">
        <f t="shared" si="6"/>
        <v>0.52</v>
      </c>
      <c r="BK14" s="40">
        <f t="shared" si="7"/>
        <v>6.9550000000000001</v>
      </c>
      <c r="BL14" s="39">
        <f>GETPIVOTDATA("Média de duracaoMs2",'Resumo-DB'!$N$4,"requisição","GET /testes/")</f>
        <v>9.0695959595959597</v>
      </c>
      <c r="BM14" s="35">
        <f>GETPIVOTDATA("Mín. de duracaoMs2",'Resumo-DB'!$N$4,"requisição","GET /testes/")</f>
        <v>1.96</v>
      </c>
      <c r="BN14" s="40">
        <f>GETPIVOTDATA("Máx. de duracaoMs2",'Resumo-DB'!$N$4,"requisição","GET /testes/")</f>
        <v>25.09</v>
      </c>
      <c r="BO14" s="39">
        <f t="shared" si="19"/>
        <v>4.4152020202020195</v>
      </c>
      <c r="BP14" s="35">
        <f t="shared" si="8"/>
        <v>0.52</v>
      </c>
      <c r="BQ14" s="40">
        <f t="shared" si="9"/>
        <v>6.9550000000000001</v>
      </c>
      <c r="BR14" s="32">
        <v>33.97</v>
      </c>
      <c r="BS14" s="26">
        <v>96.56</v>
      </c>
      <c r="BT14" s="27">
        <v>5.37</v>
      </c>
    </row>
    <row r="15" spans="2:72" x14ac:dyDescent="0.25">
      <c r="B15" s="12" t="s">
        <v>1809</v>
      </c>
      <c r="C15" s="17">
        <v>10</v>
      </c>
      <c r="D15" s="18">
        <v>0</v>
      </c>
      <c r="E15" s="19">
        <v>0</v>
      </c>
      <c r="F15" s="26">
        <v>11.8</v>
      </c>
      <c r="G15" s="2">
        <v>10</v>
      </c>
      <c r="H15" s="2">
        <v>14</v>
      </c>
      <c r="I15" s="2">
        <v>12</v>
      </c>
      <c r="J15" s="2">
        <v>14</v>
      </c>
      <c r="K15" s="2">
        <v>14</v>
      </c>
      <c r="L15" s="27">
        <v>14</v>
      </c>
      <c r="M15" s="39">
        <f t="shared" si="10"/>
        <v>0.69200000000000017</v>
      </c>
      <c r="N15" s="35">
        <f t="shared" si="11"/>
        <v>0.81500000000000039</v>
      </c>
      <c r="O15" s="40">
        <f t="shared" si="12"/>
        <v>0.69500000000000028</v>
      </c>
      <c r="P15" s="39">
        <f>GETPIVOTDATA("Média de Duração (ms)",'Resumo-DB'!$B$4,"requisição","PATCH /pecas/:id")</f>
        <v>10.416</v>
      </c>
      <c r="Q15" s="35">
        <f>GETPIVOTDATA("Mín. de Duração (ms)",'Resumo-DB'!$B$4,"requisição","PATCH /pecas/:id")</f>
        <v>8.3699999999999992</v>
      </c>
      <c r="R15" s="40">
        <f>GETPIVOTDATA("Máx. de Duração (ms)",'Resumo-DB'!$B$4,"requisição","PATCH /pecas/:id")</f>
        <v>12.61</v>
      </c>
      <c r="S15" s="39">
        <f t="shared" si="13"/>
        <v>0.69200000000000017</v>
      </c>
      <c r="T15" s="35">
        <f t="shared" si="14"/>
        <v>0.81500000000000039</v>
      </c>
      <c r="U15" s="40">
        <f t="shared" si="15"/>
        <v>0.69500000000000028</v>
      </c>
      <c r="V15" s="32">
        <v>12.42</v>
      </c>
      <c r="W15" s="26">
        <v>7.1</v>
      </c>
      <c r="X15" s="27">
        <v>4.34</v>
      </c>
      <c r="Z15" s="12" t="s">
        <v>1809</v>
      </c>
      <c r="AA15" s="17">
        <v>50</v>
      </c>
      <c r="AB15" s="18">
        <v>10</v>
      </c>
      <c r="AC15" s="19">
        <v>0.2</v>
      </c>
      <c r="AD15" s="26">
        <v>22</v>
      </c>
      <c r="AE15" s="2">
        <v>6</v>
      </c>
      <c r="AF15" s="2">
        <v>55</v>
      </c>
      <c r="AG15" s="2">
        <v>20.5</v>
      </c>
      <c r="AH15" s="2">
        <v>37.5</v>
      </c>
      <c r="AI15" s="2">
        <v>50.05</v>
      </c>
      <c r="AJ15" s="27">
        <v>55</v>
      </c>
      <c r="AK15" s="39">
        <f t="shared" si="16"/>
        <v>3.1706122448979608</v>
      </c>
      <c r="AL15" s="35">
        <f t="shared" si="2"/>
        <v>1.425</v>
      </c>
      <c r="AM15" s="40">
        <f t="shared" si="3"/>
        <v>2.9600000000000009</v>
      </c>
      <c r="AN15" s="39">
        <f>GETPIVOTDATA("Média de Duração (ms)",'Resumo-DB'!$H$4,"requisição","PATCH /pecas/:id")</f>
        <v>15.658775510204078</v>
      </c>
      <c r="AO15" s="35">
        <f>GETPIVOTDATA("Mín. de Duração (ms)",'Resumo-DB'!$H$4,"requisição","PATCH /pecas/:id")</f>
        <v>3.15</v>
      </c>
      <c r="AP15" s="40">
        <f>GETPIVOTDATA("Máx. de Duração (ms)",'Resumo-DB'!$H$4,"requisição","PATCH /pecas/:id")</f>
        <v>49.08</v>
      </c>
      <c r="AQ15" s="39">
        <f t="shared" si="17"/>
        <v>3.1706122448979608</v>
      </c>
      <c r="AR15" s="35">
        <f t="shared" si="4"/>
        <v>1.425</v>
      </c>
      <c r="AS15" s="40">
        <f t="shared" si="5"/>
        <v>2.9600000000000009</v>
      </c>
      <c r="AT15" s="32">
        <v>19.260000000000002</v>
      </c>
      <c r="AU15" s="26">
        <v>9.99</v>
      </c>
      <c r="AV15" s="27">
        <v>6.81</v>
      </c>
      <c r="AX15" s="12" t="s">
        <v>1809</v>
      </c>
      <c r="AY15" s="17">
        <v>100</v>
      </c>
      <c r="AZ15" s="18">
        <v>27</v>
      </c>
      <c r="BA15" s="19">
        <v>0.27</v>
      </c>
      <c r="BB15" s="26">
        <v>25.98</v>
      </c>
      <c r="BC15" s="2">
        <v>4</v>
      </c>
      <c r="BD15" s="2">
        <v>59</v>
      </c>
      <c r="BE15" s="2">
        <v>25.5</v>
      </c>
      <c r="BF15" s="2">
        <v>41</v>
      </c>
      <c r="BG15" s="2">
        <v>47.9</v>
      </c>
      <c r="BH15" s="27">
        <v>58.94</v>
      </c>
      <c r="BI15" s="39">
        <f t="shared" si="18"/>
        <v>2.4442361111111151</v>
      </c>
      <c r="BJ15" s="35">
        <f t="shared" si="6"/>
        <v>-0.73</v>
      </c>
      <c r="BK15" s="40">
        <f t="shared" si="7"/>
        <v>7.7100000000000009</v>
      </c>
      <c r="BL15" s="39">
        <f>GETPIVOTDATA("Média de duracaoMs2",'Resumo-DB'!$N$4,"requisição","PATCH /pecas/:id")</f>
        <v>21.09152777777777</v>
      </c>
      <c r="BM15" s="35">
        <f>GETPIVOTDATA("Mín. de duracaoMs2",'Resumo-DB'!$N$4,"requisição","PATCH /pecas/:id")</f>
        <v>5.46</v>
      </c>
      <c r="BN15" s="40">
        <f>GETPIVOTDATA("Máx. de duracaoMs2",'Resumo-DB'!$N$4,"requisição","PATCH /pecas/:id")</f>
        <v>43.58</v>
      </c>
      <c r="BO15" s="39">
        <f t="shared" si="19"/>
        <v>2.4442361111111151</v>
      </c>
      <c r="BP15" s="35">
        <f t="shared" si="8"/>
        <v>-0.73</v>
      </c>
      <c r="BQ15" s="40">
        <f t="shared" si="9"/>
        <v>7.7100000000000009</v>
      </c>
      <c r="BR15" s="32">
        <v>33.89</v>
      </c>
      <c r="BS15" s="26">
        <v>16.93</v>
      </c>
      <c r="BT15" s="27">
        <v>12.02</v>
      </c>
    </row>
    <row r="16" spans="2:72" x14ac:dyDescent="0.25">
      <c r="B16" s="13" t="s">
        <v>1810</v>
      </c>
      <c r="C16" s="20">
        <v>10</v>
      </c>
      <c r="D16" s="21">
        <v>0</v>
      </c>
      <c r="E16" s="22">
        <v>0</v>
      </c>
      <c r="F16" s="28">
        <v>13.3</v>
      </c>
      <c r="G16" s="29">
        <v>10</v>
      </c>
      <c r="H16" s="29">
        <v>21</v>
      </c>
      <c r="I16" s="29">
        <v>13</v>
      </c>
      <c r="J16" s="29">
        <v>20.3</v>
      </c>
      <c r="K16" s="29">
        <v>21</v>
      </c>
      <c r="L16" s="30">
        <v>21</v>
      </c>
      <c r="M16" s="41">
        <f t="shared" si="10"/>
        <v>0.83950000000000014</v>
      </c>
      <c r="N16" s="36">
        <f t="shared" si="11"/>
        <v>0.41000000000000014</v>
      </c>
      <c r="O16" s="42">
        <f t="shared" si="12"/>
        <v>1.0150000000000006</v>
      </c>
      <c r="P16" s="41">
        <f>GETPIVOTDATA("Média de Duração (ms)",'Resumo-DB'!$B$4,"requisição","POST /pecas/")</f>
        <v>11.621</v>
      </c>
      <c r="Q16" s="36">
        <f>GETPIVOTDATA("Mín. de Duração (ms)",'Resumo-DB'!$B$4,"requisição","POST /pecas/")</f>
        <v>9.18</v>
      </c>
      <c r="R16" s="42">
        <f>GETPIVOTDATA("Máx. de Duração (ms)",'Resumo-DB'!$B$4,"requisição","POST /pecas/")</f>
        <v>18.97</v>
      </c>
      <c r="S16" s="41">
        <f t="shared" si="13"/>
        <v>0.83950000000000014</v>
      </c>
      <c r="T16" s="36">
        <f t="shared" si="14"/>
        <v>0.41000000000000014</v>
      </c>
      <c r="U16" s="42">
        <f t="shared" si="15"/>
        <v>1.0150000000000006</v>
      </c>
      <c r="V16" s="33">
        <v>12.27</v>
      </c>
      <c r="W16" s="28">
        <v>6.95</v>
      </c>
      <c r="X16" s="30">
        <v>4.1100000000000003</v>
      </c>
      <c r="Z16" s="13" t="s">
        <v>1810</v>
      </c>
      <c r="AA16" s="20">
        <v>50</v>
      </c>
      <c r="AB16" s="21">
        <v>10</v>
      </c>
      <c r="AC16" s="22">
        <v>0.2</v>
      </c>
      <c r="AD16" s="28">
        <v>27.26</v>
      </c>
      <c r="AE16" s="29">
        <v>10</v>
      </c>
      <c r="AF16" s="29">
        <v>50</v>
      </c>
      <c r="AG16" s="29">
        <v>27</v>
      </c>
      <c r="AH16" s="29">
        <v>36.9</v>
      </c>
      <c r="AI16" s="29">
        <v>44.35</v>
      </c>
      <c r="AJ16" s="30">
        <v>50</v>
      </c>
      <c r="AK16" s="41">
        <f t="shared" si="16"/>
        <v>3.1031632653061223</v>
      </c>
      <c r="AL16" s="36">
        <f t="shared" si="2"/>
        <v>0.75499999999999989</v>
      </c>
      <c r="AM16" s="42">
        <f t="shared" si="3"/>
        <v>6.254999999999999</v>
      </c>
      <c r="AN16" s="41">
        <f>GETPIVOTDATA("Média de Duração (ms)",'Resumo-DB'!$H$4,"requisição","POST /pecas/")</f>
        <v>21.053673469387757</v>
      </c>
      <c r="AO16" s="36">
        <f>GETPIVOTDATA("Mín. de Duração (ms)",'Resumo-DB'!$H$4,"requisição","POST /pecas/")</f>
        <v>8.49</v>
      </c>
      <c r="AP16" s="42">
        <f>GETPIVOTDATA("Máx. de Duração (ms)",'Resumo-DB'!$H$4,"requisição","POST /pecas/")</f>
        <v>37.49</v>
      </c>
      <c r="AQ16" s="41">
        <f t="shared" si="17"/>
        <v>3.1031632653061223</v>
      </c>
      <c r="AR16" s="36">
        <f t="shared" si="4"/>
        <v>0.75499999999999989</v>
      </c>
      <c r="AS16" s="42">
        <f t="shared" si="5"/>
        <v>6.254999999999999</v>
      </c>
      <c r="AT16" s="33">
        <v>19.21</v>
      </c>
      <c r="AU16" s="28">
        <v>11.3</v>
      </c>
      <c r="AV16" s="30">
        <v>6.46</v>
      </c>
      <c r="AX16" s="13" t="s">
        <v>1810</v>
      </c>
      <c r="AY16" s="20">
        <v>100</v>
      </c>
      <c r="AZ16" s="21">
        <v>27</v>
      </c>
      <c r="BA16" s="22">
        <v>0.27</v>
      </c>
      <c r="BB16" s="28">
        <v>34.03</v>
      </c>
      <c r="BC16" s="29">
        <v>9</v>
      </c>
      <c r="BD16" s="29">
        <v>63</v>
      </c>
      <c r="BE16" s="29">
        <v>35</v>
      </c>
      <c r="BF16" s="29">
        <v>50.8</v>
      </c>
      <c r="BG16" s="29">
        <v>57.85</v>
      </c>
      <c r="BH16" s="30">
        <v>63</v>
      </c>
      <c r="BI16" s="41">
        <f t="shared" si="18"/>
        <v>4.2232828282828319</v>
      </c>
      <c r="BJ16" s="36">
        <f t="shared" si="6"/>
        <v>0.75</v>
      </c>
      <c r="BK16" s="42">
        <f t="shared" si="7"/>
        <v>7.6999999999999993</v>
      </c>
      <c r="BL16" s="41">
        <f>GETPIVOTDATA("Média de duracaoMs2",'Resumo-DB'!$N$4,"requisição","POST /pecas/")</f>
        <v>25.583434343434337</v>
      </c>
      <c r="BM16" s="36">
        <f>GETPIVOTDATA("Mín. de duracaoMs2",'Resumo-DB'!$N$4,"requisição","POST /pecas/")</f>
        <v>7.5</v>
      </c>
      <c r="BN16" s="42">
        <f>GETPIVOTDATA("Máx. de duracaoMs2",'Resumo-DB'!$N$4,"requisição","POST /pecas/")</f>
        <v>47.6</v>
      </c>
      <c r="BO16" s="41">
        <f t="shared" si="19"/>
        <v>4.2232828282828319</v>
      </c>
      <c r="BP16" s="36">
        <f t="shared" si="8"/>
        <v>0.75</v>
      </c>
      <c r="BQ16" s="42">
        <f t="shared" si="9"/>
        <v>7.6999999999999993</v>
      </c>
      <c r="BR16" s="33">
        <v>33.86</v>
      </c>
      <c r="BS16" s="28">
        <v>20.170000000000002</v>
      </c>
      <c r="BT16" s="30">
        <v>11.41</v>
      </c>
    </row>
  </sheetData>
  <mergeCells count="18">
    <mergeCell ref="AQ4:AS4"/>
    <mergeCell ref="BI4:BK4"/>
    <mergeCell ref="C4:E4"/>
    <mergeCell ref="F4:L4"/>
    <mergeCell ref="W4:X4"/>
    <mergeCell ref="AA4:AC4"/>
    <mergeCell ref="AD4:AJ4"/>
    <mergeCell ref="AU4:AV4"/>
    <mergeCell ref="P4:R4"/>
    <mergeCell ref="M4:O4"/>
    <mergeCell ref="S4:U4"/>
    <mergeCell ref="AK4:AM4"/>
    <mergeCell ref="AN4:AP4"/>
    <mergeCell ref="BL4:BN4"/>
    <mergeCell ref="BO4:BQ4"/>
    <mergeCell ref="AY4:BA4"/>
    <mergeCell ref="BB4:BH4"/>
    <mergeCell ref="BS4:BT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6097-3FA2-42CA-B732-EE893333B384}">
  <dimension ref="B2:Q42"/>
  <sheetViews>
    <sheetView topLeftCell="A4" zoomScaleNormal="100" workbookViewId="0">
      <selection activeCell="G46" sqref="G46"/>
    </sheetView>
  </sheetViews>
  <sheetFormatPr defaultRowHeight="15" x14ac:dyDescent="0.25"/>
  <cols>
    <col min="1" max="1" width="3.7109375" customWidth="1"/>
    <col min="2" max="2" width="24.42578125" bestFit="1" customWidth="1"/>
    <col min="3" max="3" width="15.7109375" customWidth="1"/>
    <col min="4" max="5" width="20.7109375" customWidth="1"/>
    <col min="6" max="6" width="23.7109375" bestFit="1" customWidth="1"/>
    <col min="7" max="7" width="26.85546875" bestFit="1" customWidth="1"/>
    <col min="8" max="8" width="29.42578125" bestFit="1" customWidth="1"/>
    <col min="9" max="9" width="25.140625" bestFit="1" customWidth="1"/>
    <col min="10" max="10" width="3.7109375" customWidth="1"/>
    <col min="11" max="13" width="20.7109375" customWidth="1"/>
    <col min="14" max="14" width="23.7109375" bestFit="1" customWidth="1"/>
    <col min="15" max="15" width="26.85546875" bestFit="1" customWidth="1"/>
    <col min="16" max="16" width="29.42578125" bestFit="1" customWidth="1"/>
    <col min="17" max="17" width="25.140625" bestFit="1" customWidth="1"/>
    <col min="18" max="18" width="3.7109375" customWidth="1"/>
    <col min="19" max="19" width="20.7109375" customWidth="1"/>
    <col min="20" max="20" width="23.7109375" bestFit="1" customWidth="1"/>
    <col min="21" max="21" width="26.85546875" bestFit="1" customWidth="1"/>
    <col min="22" max="22" width="29.42578125" bestFit="1" customWidth="1"/>
    <col min="23" max="23" width="25.140625" bestFit="1" customWidth="1"/>
    <col min="24" max="24" width="3.7109375" customWidth="1"/>
  </cols>
  <sheetData>
    <row r="2" spans="2:17" x14ac:dyDescent="0.25">
      <c r="B2" s="9" t="s">
        <v>1836</v>
      </c>
      <c r="C2" s="9" t="s">
        <v>1835</v>
      </c>
      <c r="D2" s="9" t="s">
        <v>1812</v>
      </c>
      <c r="E2" s="9" t="s">
        <v>1835</v>
      </c>
      <c r="F2" s="43" t="s">
        <v>1834</v>
      </c>
      <c r="G2" s="43" t="s">
        <v>1832</v>
      </c>
      <c r="H2" s="43" t="s">
        <v>1831</v>
      </c>
      <c r="I2" s="43" t="s">
        <v>1833</v>
      </c>
      <c r="K2" s="53"/>
      <c r="L2" s="53"/>
      <c r="M2" s="53"/>
      <c r="N2" s="54"/>
      <c r="O2" s="54"/>
      <c r="P2" s="54"/>
      <c r="Q2" s="54"/>
    </row>
    <row r="3" spans="2:17" x14ac:dyDescent="0.25">
      <c r="B3" s="10" t="s">
        <v>1813</v>
      </c>
      <c r="C3" s="10" t="s">
        <v>1813</v>
      </c>
      <c r="D3" s="10" t="s">
        <v>1813</v>
      </c>
      <c r="E3" s="10" t="s">
        <v>1813</v>
      </c>
      <c r="F3" s="10" t="s">
        <v>1818</v>
      </c>
      <c r="G3" s="10" t="s">
        <v>1818</v>
      </c>
      <c r="H3" s="10" t="s">
        <v>1818</v>
      </c>
      <c r="I3" s="10" t="s">
        <v>1818</v>
      </c>
      <c r="K3" s="53"/>
      <c r="L3" s="53"/>
      <c r="M3" s="53"/>
      <c r="N3" s="53"/>
      <c r="O3" s="53"/>
      <c r="P3" s="53"/>
      <c r="Q3" s="53"/>
    </row>
    <row r="4" spans="2:17" x14ac:dyDescent="0.25">
      <c r="B4" s="12" t="str">
        <f t="shared" ref="B4:B15" si="0">"["&amp;C4&amp;"] : "&amp;D4</f>
        <v xml:space="preserve">[1] : </v>
      </c>
      <c r="C4" s="51">
        <v>1</v>
      </c>
      <c r="D4" s="12"/>
      <c r="E4" s="50" t="str">
        <f t="shared" ref="E4:E15" si="1">"[ "&amp;C4&amp;" ]"</f>
        <v>[ 1 ]</v>
      </c>
      <c r="F4" s="46">
        <v>13.3</v>
      </c>
      <c r="G4" s="47">
        <v>0.83950000000000014</v>
      </c>
      <c r="H4" s="47">
        <v>11.621</v>
      </c>
      <c r="I4" s="47">
        <v>0.83950000000000014</v>
      </c>
    </row>
    <row r="5" spans="2:17" x14ac:dyDescent="0.25">
      <c r="B5" s="12" t="str">
        <f t="shared" si="0"/>
        <v>[5] : POST /pecas</v>
      </c>
      <c r="C5" s="51">
        <v>5</v>
      </c>
      <c r="D5" s="12" t="s">
        <v>1810</v>
      </c>
      <c r="E5" s="51" t="str">
        <f t="shared" si="1"/>
        <v>[ 5 ]</v>
      </c>
      <c r="F5" s="46">
        <v>27.26</v>
      </c>
      <c r="G5" s="47">
        <v>3.1031632653061223</v>
      </c>
      <c r="H5" s="47">
        <v>21.053673469387757</v>
      </c>
      <c r="I5" s="47">
        <v>3.1031632653061223</v>
      </c>
    </row>
    <row r="6" spans="2:17" x14ac:dyDescent="0.25">
      <c r="B6" s="12" t="str">
        <f t="shared" si="0"/>
        <v xml:space="preserve">[10] : </v>
      </c>
      <c r="C6" s="51">
        <v>10</v>
      </c>
      <c r="D6" s="12"/>
      <c r="E6" s="51" t="str">
        <f t="shared" si="1"/>
        <v>[ 10 ]</v>
      </c>
      <c r="F6" s="46">
        <v>34.03</v>
      </c>
      <c r="G6" s="47">
        <v>4.2232828282828319</v>
      </c>
      <c r="H6" s="47">
        <v>25.583434343434337</v>
      </c>
      <c r="I6" s="47">
        <v>4.2232828282828319</v>
      </c>
    </row>
    <row r="7" spans="2:17" x14ac:dyDescent="0.25">
      <c r="B7" s="12" t="str">
        <f t="shared" si="0"/>
        <v xml:space="preserve">[1] : </v>
      </c>
      <c r="C7" s="51">
        <v>1</v>
      </c>
      <c r="D7" s="12"/>
      <c r="E7" s="51" t="str">
        <f t="shared" si="1"/>
        <v>[ 1 ]</v>
      </c>
      <c r="F7" s="46">
        <v>11.8</v>
      </c>
      <c r="G7" s="47">
        <v>0.69200000000000017</v>
      </c>
      <c r="H7" s="47">
        <v>10.416</v>
      </c>
      <c r="I7" s="47">
        <v>0.69200000000000017</v>
      </c>
    </row>
    <row r="8" spans="2:17" x14ac:dyDescent="0.25">
      <c r="B8" s="12" t="str">
        <f t="shared" si="0"/>
        <v>[5] : PATCH /pecas/{id}</v>
      </c>
      <c r="C8" s="51">
        <v>5</v>
      </c>
      <c r="D8" s="12" t="s">
        <v>1809</v>
      </c>
      <c r="E8" s="51" t="str">
        <f t="shared" si="1"/>
        <v>[ 5 ]</v>
      </c>
      <c r="F8" s="46">
        <v>22</v>
      </c>
      <c r="G8" s="47">
        <v>3.1706122448979608</v>
      </c>
      <c r="H8" s="47">
        <v>15.658775510204078</v>
      </c>
      <c r="I8" s="47">
        <v>3.1706122448979608</v>
      </c>
    </row>
    <row r="9" spans="2:17" x14ac:dyDescent="0.25">
      <c r="B9" s="12" t="str">
        <f t="shared" si="0"/>
        <v xml:space="preserve">[10] : </v>
      </c>
      <c r="C9" s="51">
        <v>10</v>
      </c>
      <c r="D9" s="12"/>
      <c r="E9" s="51" t="str">
        <f t="shared" si="1"/>
        <v>[ 10 ]</v>
      </c>
      <c r="F9" s="46">
        <v>25.98</v>
      </c>
      <c r="G9" s="47">
        <v>2.4442361111111151</v>
      </c>
      <c r="H9" s="47">
        <v>21.09152777777777</v>
      </c>
      <c r="I9" s="47">
        <v>2.4442361111111151</v>
      </c>
    </row>
    <row r="10" spans="2:17" x14ac:dyDescent="0.25">
      <c r="B10" s="12" t="str">
        <f t="shared" si="0"/>
        <v xml:space="preserve">[1] : </v>
      </c>
      <c r="C10" s="51">
        <v>1</v>
      </c>
      <c r="D10" s="12"/>
      <c r="E10" s="51" t="str">
        <f t="shared" si="1"/>
        <v>[ 1 ]</v>
      </c>
      <c r="F10" s="46">
        <v>3.8</v>
      </c>
      <c r="G10" s="47">
        <v>0.54849999999999977</v>
      </c>
      <c r="H10" s="47">
        <v>2.7030000000000003</v>
      </c>
      <c r="I10" s="47">
        <v>0.54849999999999977</v>
      </c>
    </row>
    <row r="11" spans="2:17" x14ac:dyDescent="0.25">
      <c r="B11" s="12" t="str">
        <f t="shared" si="0"/>
        <v>[5] : GET /pecas/{id}</v>
      </c>
      <c r="C11" s="51">
        <v>5</v>
      </c>
      <c r="D11" s="12" t="s">
        <v>1806</v>
      </c>
      <c r="E11" s="51" t="str">
        <f t="shared" si="1"/>
        <v>[ 5 ]</v>
      </c>
      <c r="F11" s="46">
        <v>12.7</v>
      </c>
      <c r="G11" s="47">
        <v>2.8158163265306122</v>
      </c>
      <c r="H11" s="47">
        <v>7.0683673469387749</v>
      </c>
      <c r="I11" s="47">
        <v>2.8158163265306122</v>
      </c>
    </row>
    <row r="12" spans="2:17" x14ac:dyDescent="0.25">
      <c r="B12" s="12" t="str">
        <f t="shared" si="0"/>
        <v xml:space="preserve">[10] : </v>
      </c>
      <c r="C12" s="51">
        <v>10</v>
      </c>
      <c r="D12" s="12"/>
      <c r="E12" s="51" t="str">
        <f t="shared" si="1"/>
        <v>[ 10 ]</v>
      </c>
      <c r="F12" s="46">
        <v>16.260000000000002</v>
      </c>
      <c r="G12" s="47">
        <v>3.9987671232876725</v>
      </c>
      <c r="H12" s="47">
        <v>8.2624657534246566</v>
      </c>
      <c r="I12" s="47">
        <v>3.9987671232876725</v>
      </c>
    </row>
    <row r="13" spans="2:17" x14ac:dyDescent="0.25">
      <c r="B13" s="12" t="str">
        <f t="shared" si="0"/>
        <v xml:space="preserve">[1] : </v>
      </c>
      <c r="C13" s="51">
        <v>1</v>
      </c>
      <c r="D13" s="12"/>
      <c r="E13" s="51" t="str">
        <f t="shared" si="1"/>
        <v>[ 1 ]</v>
      </c>
      <c r="F13" s="46">
        <v>7.9</v>
      </c>
      <c r="G13" s="47">
        <v>0.80850000000000044</v>
      </c>
      <c r="H13" s="47">
        <v>6.2829999999999995</v>
      </c>
      <c r="I13" s="47">
        <v>0.80850000000000044</v>
      </c>
    </row>
    <row r="14" spans="2:17" x14ac:dyDescent="0.25">
      <c r="B14" s="12" t="str">
        <f t="shared" si="0"/>
        <v>[5] : DELETE /pecas/{id}</v>
      </c>
      <c r="C14" s="51">
        <v>5</v>
      </c>
      <c r="D14" s="12" t="s">
        <v>1801</v>
      </c>
      <c r="E14" s="51" t="str">
        <f t="shared" si="1"/>
        <v>[ 5 ]</v>
      </c>
      <c r="F14" s="46">
        <v>18.14</v>
      </c>
      <c r="G14" s="47">
        <v>3.4813265306122458</v>
      </c>
      <c r="H14" s="47">
        <v>11.177346938775509</v>
      </c>
      <c r="I14" s="47">
        <v>3.4813265306122458</v>
      </c>
    </row>
    <row r="15" spans="2:17" x14ac:dyDescent="0.25">
      <c r="B15" s="13" t="str">
        <f t="shared" si="0"/>
        <v xml:space="preserve">[10] : </v>
      </c>
      <c r="C15" s="52">
        <v>10</v>
      </c>
      <c r="D15" s="13"/>
      <c r="E15" s="52" t="str">
        <f t="shared" si="1"/>
        <v>[ 10 ]</v>
      </c>
      <c r="F15" s="48">
        <v>19.11</v>
      </c>
      <c r="G15" s="49">
        <v>3.9055555555555559</v>
      </c>
      <c r="H15" s="49">
        <v>11.298888888888888</v>
      </c>
      <c r="I15" s="49">
        <v>3.9055555555555559</v>
      </c>
    </row>
    <row r="17" spans="2:9" x14ac:dyDescent="0.25">
      <c r="B17" s="9" t="s">
        <v>1836</v>
      </c>
      <c r="C17" s="9" t="s">
        <v>1835</v>
      </c>
      <c r="D17" s="9" t="s">
        <v>1812</v>
      </c>
      <c r="E17" s="9" t="s">
        <v>1835</v>
      </c>
      <c r="F17" s="43" t="s">
        <v>1834</v>
      </c>
      <c r="G17" s="43" t="s">
        <v>1832</v>
      </c>
      <c r="H17" s="43" t="s">
        <v>1831</v>
      </c>
      <c r="I17" s="43" t="s">
        <v>1833</v>
      </c>
    </row>
    <row r="18" spans="2:9" x14ac:dyDescent="0.25">
      <c r="B18" s="10" t="s">
        <v>1813</v>
      </c>
      <c r="C18" s="10" t="s">
        <v>1813</v>
      </c>
      <c r="D18" s="10" t="s">
        <v>1813</v>
      </c>
      <c r="E18" s="10" t="s">
        <v>1813</v>
      </c>
      <c r="F18" s="10" t="s">
        <v>1818</v>
      </c>
      <c r="G18" s="10" t="s">
        <v>1818</v>
      </c>
      <c r="H18" s="10" t="s">
        <v>1818</v>
      </c>
      <c r="I18" s="10" t="s">
        <v>1818</v>
      </c>
    </row>
    <row r="19" spans="2:9" x14ac:dyDescent="0.25">
      <c r="B19" s="12" t="str">
        <f t="shared" ref="B19:B36" si="2">"["&amp;C19&amp;"] : "&amp;D19</f>
        <v xml:space="preserve">[1] : </v>
      </c>
      <c r="C19" s="51">
        <v>1</v>
      </c>
      <c r="D19" s="12"/>
      <c r="E19" s="50" t="str">
        <f t="shared" ref="E19:E36" si="3">"[ "&amp;C19&amp;" ]"</f>
        <v>[ 1 ]</v>
      </c>
      <c r="F19" s="46">
        <v>17.899999999999999</v>
      </c>
      <c r="G19" s="47">
        <v>0.74050000000000082</v>
      </c>
      <c r="H19" s="47">
        <v>16.418999999999997</v>
      </c>
      <c r="I19" s="47">
        <v>0.74050000000000082</v>
      </c>
    </row>
    <row r="20" spans="2:9" x14ac:dyDescent="0.25">
      <c r="B20" s="12" t="str">
        <f t="shared" si="2"/>
        <v>[5] : GET /aeronaves</v>
      </c>
      <c r="C20" s="51">
        <v>5</v>
      </c>
      <c r="D20" s="12" t="s">
        <v>1802</v>
      </c>
      <c r="E20" s="51" t="str">
        <f t="shared" si="3"/>
        <v>[ 5 ]</v>
      </c>
      <c r="F20" s="46">
        <v>36.36</v>
      </c>
      <c r="G20" s="47">
        <v>3.6756122448979607</v>
      </c>
      <c r="H20" s="47">
        <v>29.008775510204078</v>
      </c>
      <c r="I20" s="47">
        <v>3.6756122448979607</v>
      </c>
    </row>
    <row r="21" spans="2:9" x14ac:dyDescent="0.25">
      <c r="B21" s="12" t="str">
        <f t="shared" si="2"/>
        <v xml:space="preserve">[10] : </v>
      </c>
      <c r="C21" s="51">
        <v>10</v>
      </c>
      <c r="D21" s="12"/>
      <c r="E21" s="51" t="str">
        <f t="shared" si="3"/>
        <v>[ 10 ]</v>
      </c>
      <c r="F21" s="46">
        <v>31.86</v>
      </c>
      <c r="G21" s="47">
        <v>3.9180612244897954</v>
      </c>
      <c r="H21" s="47">
        <v>24.023877551020409</v>
      </c>
      <c r="I21" s="47">
        <v>3.9180612244897954</v>
      </c>
    </row>
    <row r="22" spans="2:9" x14ac:dyDescent="0.25">
      <c r="B22" s="12" t="str">
        <f t="shared" si="2"/>
        <v xml:space="preserve">[1] : </v>
      </c>
      <c r="C22" s="51">
        <v>1</v>
      </c>
      <c r="D22" s="12"/>
      <c r="E22" s="51" t="str">
        <f t="shared" si="3"/>
        <v>[ 1 ]</v>
      </c>
      <c r="F22" s="46">
        <v>8.5</v>
      </c>
      <c r="G22" s="47">
        <v>0.82400000000000029</v>
      </c>
      <c r="H22" s="47">
        <v>6.8519999999999994</v>
      </c>
      <c r="I22" s="47">
        <v>0.82400000000000029</v>
      </c>
    </row>
    <row r="23" spans="2:9" x14ac:dyDescent="0.25">
      <c r="B23" s="12" t="str">
        <f t="shared" si="2"/>
        <v>[5] : GET /etapas</v>
      </c>
      <c r="C23" s="51">
        <v>5</v>
      </c>
      <c r="D23" s="12" t="s">
        <v>1803</v>
      </c>
      <c r="E23" s="51" t="str">
        <f t="shared" si="3"/>
        <v>[ 5 ]</v>
      </c>
      <c r="F23" s="46">
        <v>20.5</v>
      </c>
      <c r="G23" s="47">
        <v>4.2052000000000023</v>
      </c>
      <c r="H23" s="47">
        <v>12.089599999999995</v>
      </c>
      <c r="I23" s="47">
        <v>4.2052000000000023</v>
      </c>
    </row>
    <row r="24" spans="2:9" x14ac:dyDescent="0.25">
      <c r="B24" s="12" t="str">
        <f t="shared" si="2"/>
        <v xml:space="preserve">[10] : </v>
      </c>
      <c r="C24" s="51">
        <v>10</v>
      </c>
      <c r="D24" s="12"/>
      <c r="E24" s="51" t="str">
        <f t="shared" si="3"/>
        <v>[ 10 ]</v>
      </c>
      <c r="F24" s="46">
        <v>20.11</v>
      </c>
      <c r="G24" s="47">
        <v>4.7083999999999993</v>
      </c>
      <c r="H24" s="47">
        <v>10.693200000000001</v>
      </c>
      <c r="I24" s="47">
        <v>4.7083999999999993</v>
      </c>
    </row>
    <row r="25" spans="2:9" x14ac:dyDescent="0.25">
      <c r="B25" s="12" t="str">
        <f t="shared" si="2"/>
        <v xml:space="preserve">[1] : </v>
      </c>
      <c r="C25" s="51">
        <v>1</v>
      </c>
      <c r="D25" s="12"/>
      <c r="E25" s="51" t="str">
        <f t="shared" si="3"/>
        <v>[ 1 ]</v>
      </c>
      <c r="F25" s="46">
        <v>5.7</v>
      </c>
      <c r="G25" s="47">
        <v>1.0235000000000001</v>
      </c>
      <c r="H25" s="47">
        <v>3.653</v>
      </c>
      <c r="I25" s="47">
        <v>1.0235000000000001</v>
      </c>
    </row>
    <row r="26" spans="2:9" x14ac:dyDescent="0.25">
      <c r="B26" s="12" t="str">
        <f t="shared" si="2"/>
        <v>[5] : GET /funcionarios</v>
      </c>
      <c r="C26" s="51">
        <v>5</v>
      </c>
      <c r="D26" s="12" t="s">
        <v>1804</v>
      </c>
      <c r="E26" s="51" t="str">
        <f t="shared" si="3"/>
        <v>[ 5 ]</v>
      </c>
      <c r="F26" s="46">
        <v>16.64</v>
      </c>
      <c r="G26" s="47">
        <v>4.1298000000000004</v>
      </c>
      <c r="H26" s="47">
        <v>8.3803999999999998</v>
      </c>
      <c r="I26" s="47">
        <v>4.1298000000000004</v>
      </c>
    </row>
    <row r="27" spans="2:9" x14ac:dyDescent="0.25">
      <c r="B27" s="12" t="str">
        <f t="shared" si="2"/>
        <v xml:space="preserve">[10] : </v>
      </c>
      <c r="C27" s="51">
        <v>10</v>
      </c>
      <c r="D27" s="12"/>
      <c r="E27" s="51" t="str">
        <f t="shared" si="3"/>
        <v>[ 10 ]</v>
      </c>
      <c r="F27" s="46">
        <v>17.05</v>
      </c>
      <c r="G27" s="47">
        <v>4.3100499999999995</v>
      </c>
      <c r="H27" s="47">
        <v>8.4299000000000017</v>
      </c>
      <c r="I27" s="47">
        <v>4.3100499999999995</v>
      </c>
    </row>
    <row r="28" spans="2:9" x14ac:dyDescent="0.25">
      <c r="B28" s="12" t="str">
        <f t="shared" si="2"/>
        <v xml:space="preserve">[1] : </v>
      </c>
      <c r="C28" s="51">
        <v>1</v>
      </c>
      <c r="D28" s="12"/>
      <c r="E28" s="51" t="str">
        <f t="shared" si="3"/>
        <v>[ 1 ]</v>
      </c>
      <c r="F28" s="46">
        <v>5.6</v>
      </c>
      <c r="G28" s="47">
        <v>0.62000000000000011</v>
      </c>
      <c r="H28" s="47">
        <v>4.3599999999999994</v>
      </c>
      <c r="I28" s="47">
        <v>0.62000000000000011</v>
      </c>
    </row>
    <row r="29" spans="2:9" x14ac:dyDescent="0.25">
      <c r="B29" s="12" t="str">
        <f t="shared" si="2"/>
        <v>[5] : GET /pecas</v>
      </c>
      <c r="C29" s="51">
        <v>5</v>
      </c>
      <c r="D29" s="12" t="s">
        <v>1805</v>
      </c>
      <c r="E29" s="51" t="str">
        <f t="shared" si="3"/>
        <v>[ 5 ]</v>
      </c>
      <c r="F29" s="46">
        <v>15.94</v>
      </c>
      <c r="G29" s="47">
        <v>3.5045999999999982</v>
      </c>
      <c r="H29" s="47">
        <v>8.9308000000000032</v>
      </c>
      <c r="I29" s="47">
        <v>3.5045999999999982</v>
      </c>
    </row>
    <row r="30" spans="2:9" x14ac:dyDescent="0.25">
      <c r="B30" s="12" t="str">
        <f t="shared" si="2"/>
        <v xml:space="preserve">[10] : </v>
      </c>
      <c r="C30" s="51">
        <v>10</v>
      </c>
      <c r="D30" s="12"/>
      <c r="E30" s="51" t="str">
        <f t="shared" si="3"/>
        <v>[ 10 ]</v>
      </c>
      <c r="F30" s="46">
        <v>16.52</v>
      </c>
      <c r="G30" s="47">
        <v>3.7903535353535354</v>
      </c>
      <c r="H30" s="47">
        <v>8.9392929292929288</v>
      </c>
      <c r="I30" s="47">
        <v>3.7903535353535354</v>
      </c>
    </row>
    <row r="31" spans="2:9" x14ac:dyDescent="0.25">
      <c r="B31" s="12" t="str">
        <f t="shared" si="2"/>
        <v xml:space="preserve">[1] : </v>
      </c>
      <c r="C31" s="51">
        <v>1</v>
      </c>
      <c r="D31" s="12"/>
      <c r="E31" s="51" t="str">
        <f t="shared" si="3"/>
        <v>[ 1 ]</v>
      </c>
      <c r="F31" s="46">
        <v>5.6</v>
      </c>
      <c r="G31" s="47">
        <v>0.46699999999999964</v>
      </c>
      <c r="H31" s="47">
        <v>4.6660000000000004</v>
      </c>
      <c r="I31" s="47">
        <v>0.46699999999999964</v>
      </c>
    </row>
    <row r="32" spans="2:9" x14ac:dyDescent="0.25">
      <c r="B32" s="12" t="str">
        <f t="shared" si="2"/>
        <v>[5] : GET /relatorios</v>
      </c>
      <c r="C32" s="51">
        <v>5</v>
      </c>
      <c r="D32" s="12" t="s">
        <v>1807</v>
      </c>
      <c r="E32" s="51" t="str">
        <f t="shared" si="3"/>
        <v>[ 5 ]</v>
      </c>
      <c r="F32" s="46">
        <v>15.44</v>
      </c>
      <c r="G32" s="47">
        <v>3.6115000000000004</v>
      </c>
      <c r="H32" s="47">
        <v>8.2169999999999987</v>
      </c>
      <c r="I32" s="47">
        <v>3.6115000000000004</v>
      </c>
    </row>
    <row r="33" spans="2:9" x14ac:dyDescent="0.25">
      <c r="B33" s="12" t="str">
        <f t="shared" si="2"/>
        <v xml:space="preserve">[10] : </v>
      </c>
      <c r="C33" s="51">
        <v>10</v>
      </c>
      <c r="D33" s="12"/>
      <c r="E33" s="51" t="str">
        <f t="shared" si="3"/>
        <v>[ 10 ]</v>
      </c>
      <c r="F33" s="46">
        <v>18.04</v>
      </c>
      <c r="G33" s="47">
        <v>4.0301010101010108</v>
      </c>
      <c r="H33" s="47">
        <v>9.9797979797979774</v>
      </c>
      <c r="I33" s="47">
        <v>4.0301010101010108</v>
      </c>
    </row>
    <row r="34" spans="2:9" x14ac:dyDescent="0.25">
      <c r="B34" s="12" t="str">
        <f t="shared" si="2"/>
        <v xml:space="preserve">[1] : </v>
      </c>
      <c r="C34" s="51">
        <v>1</v>
      </c>
      <c r="D34" s="12"/>
      <c r="E34" s="51" t="str">
        <f t="shared" si="3"/>
        <v>[ 1 ]</v>
      </c>
      <c r="F34" s="46">
        <v>4.8</v>
      </c>
      <c r="G34" s="47">
        <v>0.52349999999999985</v>
      </c>
      <c r="H34" s="47">
        <v>3.7530000000000001</v>
      </c>
      <c r="I34" s="47">
        <v>0.52349999999999985</v>
      </c>
    </row>
    <row r="35" spans="2:9" x14ac:dyDescent="0.25">
      <c r="B35" s="12" t="str">
        <f t="shared" si="2"/>
        <v>[5] : GET /testes</v>
      </c>
      <c r="C35" s="51">
        <v>5</v>
      </c>
      <c r="D35" s="12" t="s">
        <v>1808</v>
      </c>
      <c r="E35" s="51" t="str">
        <f t="shared" si="3"/>
        <v>[ 5 ]</v>
      </c>
      <c r="F35" s="46">
        <v>14.38</v>
      </c>
      <c r="G35" s="47">
        <v>3.4937</v>
      </c>
      <c r="H35" s="47">
        <v>7.3926000000000007</v>
      </c>
      <c r="I35" s="47">
        <v>3.4937</v>
      </c>
    </row>
    <row r="36" spans="2:9" x14ac:dyDescent="0.25">
      <c r="B36" s="13" t="str">
        <f t="shared" si="2"/>
        <v xml:space="preserve">[10] : </v>
      </c>
      <c r="C36" s="52">
        <v>10</v>
      </c>
      <c r="D36" s="13"/>
      <c r="E36" s="52" t="str">
        <f t="shared" si="3"/>
        <v>[ 10 ]</v>
      </c>
      <c r="F36" s="48">
        <v>17.899999999999999</v>
      </c>
      <c r="G36" s="49">
        <v>4.4152020202020195</v>
      </c>
      <c r="H36" s="49">
        <v>9.0695959595959597</v>
      </c>
      <c r="I36" s="49">
        <v>4.4152020202020195</v>
      </c>
    </row>
    <row r="38" spans="2:9" x14ac:dyDescent="0.25">
      <c r="B38" s="9" t="s">
        <v>1836</v>
      </c>
      <c r="C38" s="9" t="s">
        <v>1835</v>
      </c>
      <c r="D38" s="9" t="s">
        <v>1812</v>
      </c>
      <c r="E38" s="9" t="s">
        <v>1835</v>
      </c>
      <c r="F38" s="43" t="s">
        <v>1834</v>
      </c>
      <c r="G38" s="43" t="s">
        <v>1832</v>
      </c>
      <c r="H38" s="43" t="s">
        <v>1831</v>
      </c>
      <c r="I38" s="43" t="s">
        <v>1833</v>
      </c>
    </row>
    <row r="39" spans="2:9" x14ac:dyDescent="0.25">
      <c r="B39" s="10" t="s">
        <v>1813</v>
      </c>
      <c r="C39" s="10" t="s">
        <v>1813</v>
      </c>
      <c r="D39" s="10" t="s">
        <v>1813</v>
      </c>
      <c r="E39" s="10" t="s">
        <v>1813</v>
      </c>
      <c r="F39" s="10" t="s">
        <v>1818</v>
      </c>
      <c r="G39" s="10" t="s">
        <v>1818</v>
      </c>
      <c r="H39" s="10" t="s">
        <v>1818</v>
      </c>
      <c r="I39" s="10" t="s">
        <v>1818</v>
      </c>
    </row>
    <row r="40" spans="2:9" x14ac:dyDescent="0.25">
      <c r="B40" s="11" t="str">
        <f>"["&amp;C40&amp;"] : "&amp;D40</f>
        <v xml:space="preserve">[1] : </v>
      </c>
      <c r="C40" s="50">
        <v>1</v>
      </c>
      <c r="D40" s="11"/>
      <c r="E40" s="50" t="str">
        <f>"[ "&amp;C40&amp;" ]"</f>
        <v>[ 1 ]</v>
      </c>
      <c r="F40" s="44">
        <v>8.49</v>
      </c>
      <c r="G40" s="45">
        <v>0.69499999999999895</v>
      </c>
      <c r="H40" s="45">
        <v>7.1000000000000023</v>
      </c>
      <c r="I40" s="45">
        <v>0.69499999999999895</v>
      </c>
    </row>
    <row r="41" spans="2:9" x14ac:dyDescent="0.25">
      <c r="B41" s="12" t="str">
        <f>"["&amp;C41&amp;"] : "&amp;D41</f>
        <v>[5] : Média</v>
      </c>
      <c r="C41" s="51">
        <v>5</v>
      </c>
      <c r="D41" s="12" t="s">
        <v>1837</v>
      </c>
      <c r="E41" s="51" t="str">
        <f>"[ "&amp;C41&amp;" ]"</f>
        <v>[ 5 ]</v>
      </c>
      <c r="F41" s="46">
        <v>19.940000000000001</v>
      </c>
      <c r="G41" s="47">
        <v>3.5408080808080813</v>
      </c>
      <c r="H41" s="47">
        <v>12.858383838383839</v>
      </c>
      <c r="I41" s="47">
        <v>3.5408080808080813</v>
      </c>
    </row>
    <row r="42" spans="2:9" x14ac:dyDescent="0.25">
      <c r="B42" s="13" t="str">
        <f>"["&amp;C42&amp;"] : "&amp;D42</f>
        <v xml:space="preserve">[10] : </v>
      </c>
      <c r="C42" s="52">
        <v>10</v>
      </c>
      <c r="D42" s="13"/>
      <c r="E42" s="52" t="str">
        <f>"[ "&amp;C42&amp;" ]"</f>
        <v>[ 10 ]</v>
      </c>
      <c r="F42" s="48">
        <v>21.69</v>
      </c>
      <c r="G42" s="49">
        <v>3.9813556531284293</v>
      </c>
      <c r="H42" s="49">
        <v>13.727288693743143</v>
      </c>
      <c r="I42" s="49">
        <v>3.9813556531284293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A3A4AC-936B-40A1-A7B0-68E6311A17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Gráficos</vt:lpstr>
      </vt:variant>
      <vt:variant>
        <vt:i4>3</vt:i4>
      </vt:variant>
    </vt:vector>
  </HeadingPairs>
  <TitlesOfParts>
    <vt:vector size="10" baseType="lpstr">
      <vt:lpstr>resultado-db-usuario-1</vt:lpstr>
      <vt:lpstr>resultado-db-usuario-5</vt:lpstr>
      <vt:lpstr>resultado-db-usuario-10</vt:lpstr>
      <vt:lpstr>Resumo-DB</vt:lpstr>
      <vt:lpstr>Resumo-JMeter</vt:lpstr>
      <vt:lpstr>Resumo</vt:lpstr>
      <vt:lpstr>Tempo</vt:lpstr>
      <vt:lpstr>Grafico-Pecas</vt:lpstr>
      <vt:lpstr>Grafico-Entidades</vt:lpstr>
      <vt:lpstr>Grafico-Media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Rebelo Tebecherani</dc:creator>
  <cp:lastModifiedBy>JONIEL RODRIGUES DE OLIVEIRA</cp:lastModifiedBy>
  <dcterms:created xsi:type="dcterms:W3CDTF">2026-05-24T17:04:39Z</dcterms:created>
  <dcterms:modified xsi:type="dcterms:W3CDTF">2026-05-24T21:34:59Z</dcterms:modified>
</cp:coreProperties>
</file>